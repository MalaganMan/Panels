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67fe2a78b1d8e33/Musa Jutut/"/>
    </mc:Choice>
  </mc:AlternateContent>
  <xr:revisionPtr revIDLastSave="781" documentId="8_{37F49B67-E71A-408E-BB15-EC7ED308B11D}" xr6:coauthVersionLast="47" xr6:coauthVersionMax="47" xr10:uidLastSave="{C9C41B27-F366-4FB3-BD08-F78190A9E06F}"/>
  <bookViews>
    <workbookView xWindow="28680" yWindow="450" windowWidth="25440" windowHeight="15990" xr2:uid="{D01D28B5-EDCA-4917-95C4-0C8FBB58874D}"/>
  </bookViews>
  <sheets>
    <sheet name="SRX" sheetId="8" r:id="rId1"/>
    <sheet name="Fantom-S Waves" sheetId="2" r:id="rId2"/>
    <sheet name="SonicCell Waves" sheetId="1" r:id="rId3"/>
    <sheet name="Fantom-S SonicCell Shift Tables" sheetId="4" r:id="rId4"/>
    <sheet name="Fantom-S Patches" sheetId="5" r:id="rId5"/>
    <sheet name="Fantom-XR Patches" sheetId="7" r:id="rId6"/>
    <sheet name="SonicCell Patches" sheetId="6" r:id="rId7"/>
    <sheet name="XV-5050" sheetId="3" r:id="rId8"/>
  </sheets>
  <definedNames>
    <definedName name="_xlnm.Print_Area" localSheetId="3">'Fantom-S SonicCell Shift Tables'!$A$1:$L$1402</definedName>
    <definedName name="_xlnm.Print_Titles" localSheetId="3">'Fantom-S SonicCell Shift Tables'!$D:$F,'Fantom-S SonicCell Shift Tables'!$1:$1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9" i="5" l="1"/>
  <c r="G128" i="5"/>
  <c r="G127" i="5"/>
  <c r="G126" i="5"/>
  <c r="G125" i="5"/>
  <c r="G124" i="5"/>
  <c r="G123" i="5"/>
  <c r="G122" i="5"/>
  <c r="G121" i="5"/>
  <c r="G120" i="5"/>
  <c r="G119" i="5"/>
  <c r="G118" i="5"/>
  <c r="G117" i="5"/>
  <c r="G116" i="5"/>
  <c r="G115" i="5"/>
  <c r="G114" i="5"/>
  <c r="G113" i="5"/>
  <c r="G112" i="5"/>
  <c r="G111" i="5"/>
  <c r="G110" i="5"/>
  <c r="G109" i="5"/>
  <c r="G108" i="5"/>
  <c r="G107" i="5"/>
  <c r="G106" i="5"/>
  <c r="G105" i="5"/>
  <c r="G104" i="5"/>
  <c r="G103" i="5"/>
  <c r="G102" i="5"/>
  <c r="G101" i="5"/>
  <c r="G100" i="5"/>
  <c r="G99" i="5"/>
  <c r="G98" i="5"/>
  <c r="G97" i="5"/>
  <c r="G96" i="5"/>
  <c r="G95" i="5"/>
  <c r="G94" i="5"/>
  <c r="G93" i="5"/>
  <c r="G92" i="5"/>
  <c r="G91" i="5"/>
  <c r="G90" i="5"/>
  <c r="G89" i="5"/>
  <c r="G88" i="5"/>
  <c r="G87" i="5"/>
  <c r="G86" i="5"/>
  <c r="G85" i="5"/>
  <c r="G84" i="5"/>
  <c r="G83" i="5"/>
  <c r="G82" i="5"/>
  <c r="G81" i="5"/>
  <c r="G80" i="5"/>
  <c r="G79" i="5"/>
  <c r="G78" i="5"/>
  <c r="G77" i="5"/>
  <c r="G76" i="5"/>
  <c r="G75" i="5"/>
  <c r="G74" i="5"/>
  <c r="G73" i="5"/>
  <c r="G72" i="5"/>
  <c r="G71" i="5"/>
  <c r="G70" i="5"/>
  <c r="G69" i="5"/>
  <c r="G68" i="5"/>
  <c r="G67" i="5"/>
  <c r="G66" i="5"/>
  <c r="G65" i="5"/>
  <c r="G64" i="5"/>
  <c r="G63" i="5"/>
  <c r="G62" i="5"/>
  <c r="G61" i="5"/>
  <c r="G60" i="5"/>
  <c r="G59" i="5"/>
  <c r="G58" i="5"/>
  <c r="G57" i="5"/>
  <c r="G56" i="5"/>
  <c r="G55" i="5"/>
  <c r="G54" i="5"/>
  <c r="G53" i="5"/>
  <c r="G52" i="5"/>
  <c r="G51" i="5"/>
  <c r="G50" i="5"/>
  <c r="G49" i="5"/>
  <c r="G48" i="5"/>
  <c r="G47" i="5"/>
  <c r="G46" i="5"/>
  <c r="G45" i="5"/>
  <c r="G44" i="5"/>
  <c r="G43" i="5"/>
  <c r="G42" i="5"/>
  <c r="G41" i="5"/>
  <c r="G40" i="5"/>
  <c r="G39" i="5"/>
  <c r="G38" i="5"/>
  <c r="G37" i="5"/>
  <c r="G36" i="5"/>
  <c r="G35" i="5"/>
  <c r="G34" i="5"/>
  <c r="G33" i="5"/>
  <c r="G32" i="5"/>
  <c r="G31" i="5"/>
  <c r="G30" i="5"/>
  <c r="G29" i="5"/>
  <c r="G28" i="5"/>
  <c r="G27" i="5"/>
  <c r="G26" i="5"/>
  <c r="G25" i="5"/>
  <c r="G24" i="5"/>
  <c r="G23" i="5"/>
  <c r="G22" i="5"/>
  <c r="G21" i="5"/>
  <c r="G20" i="5"/>
  <c r="G19" i="5"/>
  <c r="G18" i="5"/>
  <c r="G17" i="5"/>
  <c r="G16" i="5"/>
  <c r="G15" i="5"/>
  <c r="G14" i="5"/>
  <c r="G13" i="5"/>
  <c r="G12" i="5"/>
  <c r="G11" i="5"/>
  <c r="G10" i="5"/>
  <c r="K257" i="7"/>
  <c r="K256" i="7"/>
  <c r="K255" i="7"/>
  <c r="K254" i="7"/>
  <c r="K253" i="7"/>
  <c r="K252" i="7"/>
  <c r="K251" i="7"/>
  <c r="K250" i="7"/>
  <c r="K249" i="7"/>
  <c r="K248" i="7"/>
  <c r="K247" i="7"/>
  <c r="K246" i="7"/>
  <c r="K245" i="7"/>
  <c r="K244" i="7"/>
  <c r="K243" i="7"/>
  <c r="K242" i="7"/>
  <c r="K241" i="7"/>
  <c r="K240" i="7"/>
  <c r="K239" i="7"/>
  <c r="K238" i="7"/>
  <c r="K237" i="7"/>
  <c r="K236" i="7"/>
  <c r="K235" i="7"/>
  <c r="K234" i="7"/>
  <c r="K233" i="7"/>
  <c r="K232" i="7"/>
  <c r="K231" i="7"/>
  <c r="K230" i="7"/>
  <c r="K229" i="7"/>
  <c r="K228" i="7"/>
  <c r="K227" i="7"/>
  <c r="K226" i="7"/>
  <c r="K225" i="7"/>
  <c r="K224" i="7"/>
  <c r="K223" i="7"/>
  <c r="K222" i="7"/>
  <c r="K221" i="7"/>
  <c r="K220" i="7"/>
  <c r="K219" i="7"/>
  <c r="K218" i="7"/>
  <c r="K217" i="7"/>
  <c r="K216" i="7"/>
  <c r="K215" i="7"/>
  <c r="K214" i="7"/>
  <c r="K213" i="7"/>
  <c r="K212" i="7"/>
  <c r="K211" i="7"/>
  <c r="K210" i="7"/>
  <c r="K209" i="7"/>
  <c r="K208" i="7"/>
  <c r="K207" i="7"/>
  <c r="K206" i="7"/>
  <c r="K205" i="7"/>
  <c r="K204" i="7"/>
  <c r="K203" i="7"/>
  <c r="K202" i="7"/>
  <c r="K201" i="7"/>
  <c r="K200" i="7"/>
  <c r="K199" i="7"/>
  <c r="K198" i="7"/>
  <c r="K197" i="7"/>
  <c r="K196" i="7"/>
  <c r="K195" i="7"/>
  <c r="K194" i="7"/>
  <c r="K193" i="7"/>
  <c r="K192" i="7"/>
  <c r="K191" i="7"/>
  <c r="K190" i="7"/>
  <c r="K189" i="7"/>
  <c r="K188" i="7"/>
  <c r="K187" i="7"/>
  <c r="K186" i="7"/>
  <c r="K185" i="7"/>
  <c r="K184" i="7"/>
  <c r="K183" i="7"/>
  <c r="K182" i="7"/>
  <c r="K181" i="7"/>
  <c r="K180" i="7"/>
  <c r="K179" i="7"/>
  <c r="K178" i="7"/>
  <c r="K177" i="7"/>
  <c r="K176" i="7"/>
  <c r="K175" i="7"/>
  <c r="K174" i="7"/>
  <c r="K173" i="7"/>
  <c r="K172" i="7"/>
  <c r="K171" i="7"/>
  <c r="K170" i="7"/>
  <c r="K169" i="7"/>
  <c r="K168" i="7"/>
  <c r="K167" i="7"/>
  <c r="K166" i="7"/>
  <c r="K165" i="7"/>
  <c r="K164" i="7"/>
  <c r="K163" i="7"/>
  <c r="K162" i="7"/>
  <c r="K161" i="7"/>
  <c r="K160" i="7"/>
  <c r="K159" i="7"/>
  <c r="K158" i="7"/>
  <c r="K157" i="7"/>
  <c r="K156" i="7"/>
  <c r="K155" i="7"/>
  <c r="K154" i="7"/>
  <c r="K153" i="7"/>
  <c r="K152" i="7"/>
  <c r="K151" i="7"/>
  <c r="K150" i="7"/>
  <c r="K149" i="7"/>
  <c r="K148" i="7"/>
  <c r="K147" i="7"/>
  <c r="K146" i="7"/>
  <c r="K145" i="7"/>
  <c r="K144" i="7"/>
  <c r="K143" i="7"/>
  <c r="K142" i="7"/>
  <c r="K141" i="7"/>
  <c r="K140" i="7"/>
  <c r="K139" i="7"/>
  <c r="K138" i="7"/>
  <c r="K137" i="7"/>
  <c r="K136" i="7"/>
  <c r="K135" i="7"/>
  <c r="K134" i="7"/>
  <c r="K133" i="7"/>
  <c r="K132" i="7"/>
  <c r="K131" i="7"/>
  <c r="K130" i="7"/>
  <c r="K129" i="7"/>
  <c r="K128" i="7"/>
  <c r="K127" i="7"/>
  <c r="K126" i="7"/>
  <c r="K125" i="7"/>
  <c r="K124" i="7"/>
  <c r="K123" i="7"/>
  <c r="K122" i="7"/>
  <c r="K121" i="7"/>
  <c r="K120" i="7"/>
  <c r="K119" i="7"/>
  <c r="K118" i="7"/>
  <c r="K117" i="7"/>
  <c r="K116" i="7"/>
  <c r="K115" i="7"/>
  <c r="K114" i="7"/>
  <c r="K113" i="7"/>
  <c r="K112" i="7"/>
  <c r="K111" i="7"/>
  <c r="K110" i="7"/>
  <c r="K109" i="7"/>
  <c r="K108" i="7"/>
  <c r="K107" i="7"/>
  <c r="K106" i="7"/>
  <c r="K105" i="7"/>
  <c r="K104" i="7"/>
  <c r="K103" i="7"/>
  <c r="K102" i="7"/>
  <c r="K101" i="7"/>
  <c r="K100" i="7"/>
  <c r="K99" i="7"/>
  <c r="K98" i="7"/>
  <c r="K97" i="7"/>
  <c r="K96" i="7"/>
  <c r="K95" i="7"/>
  <c r="K94" i="7"/>
  <c r="K93" i="7"/>
  <c r="K92" i="7"/>
  <c r="K91" i="7"/>
  <c r="K90" i="7"/>
  <c r="K89" i="7"/>
  <c r="K88" i="7"/>
  <c r="K87" i="7"/>
  <c r="K86" i="7"/>
  <c r="K85" i="7"/>
  <c r="K84" i="7"/>
  <c r="K83" i="7"/>
  <c r="K82" i="7"/>
  <c r="K81" i="7"/>
  <c r="K80" i="7"/>
  <c r="K79" i="7"/>
  <c r="K78" i="7"/>
  <c r="K77" i="7"/>
  <c r="K76" i="7"/>
  <c r="K75" i="7"/>
  <c r="K74" i="7"/>
  <c r="K73" i="7"/>
  <c r="K72" i="7"/>
  <c r="K71" i="7"/>
  <c r="K70" i="7"/>
  <c r="K69" i="7"/>
  <c r="K68" i="7"/>
  <c r="K67" i="7"/>
  <c r="K66" i="7"/>
  <c r="K65" i="7"/>
  <c r="K64" i="7"/>
  <c r="K63" i="7"/>
  <c r="K62" i="7"/>
  <c r="K61" i="7"/>
  <c r="K60" i="7"/>
  <c r="K59" i="7"/>
  <c r="K58" i="7"/>
  <c r="K57" i="7"/>
  <c r="K56" i="7"/>
  <c r="K55" i="7"/>
  <c r="K54" i="7"/>
  <c r="K53" i="7"/>
  <c r="K52" i="7"/>
  <c r="K51" i="7"/>
  <c r="K50" i="7"/>
  <c r="K49" i="7"/>
  <c r="K48" i="7"/>
  <c r="K47" i="7"/>
  <c r="K46" i="7"/>
  <c r="K45" i="7"/>
  <c r="K44" i="7"/>
  <c r="K43" i="7"/>
  <c r="K42" i="7"/>
  <c r="K41" i="7"/>
  <c r="K40" i="7"/>
  <c r="K39" i="7"/>
  <c r="K38" i="7"/>
  <c r="K37" i="7"/>
  <c r="K36" i="7"/>
  <c r="K35" i="7"/>
  <c r="K34" i="7"/>
  <c r="K33" i="7"/>
  <c r="K32" i="7"/>
  <c r="K31" i="7"/>
  <c r="K30" i="7"/>
  <c r="K29" i="7"/>
  <c r="K28" i="7"/>
  <c r="K27" i="7"/>
  <c r="K26" i="7"/>
  <c r="K25" i="7"/>
  <c r="K24" i="7"/>
  <c r="K23" i="7"/>
  <c r="K22" i="7"/>
  <c r="K21" i="7"/>
  <c r="K20" i="7"/>
  <c r="K19" i="7"/>
  <c r="K18" i="7"/>
  <c r="K17" i="7"/>
  <c r="K16" i="7"/>
  <c r="K15" i="7"/>
  <c r="K14" i="7"/>
  <c r="K13" i="7"/>
  <c r="K12" i="7"/>
  <c r="K11" i="7"/>
  <c r="K10" i="7"/>
  <c r="K9" i="7"/>
  <c r="K8" i="7"/>
  <c r="K7" i="7"/>
  <c r="K6" i="7"/>
  <c r="K5" i="7"/>
  <c r="K4" i="7"/>
  <c r="K3" i="7"/>
  <c r="K2" i="7"/>
  <c r="N72" i="7"/>
  <c r="O72" i="7"/>
  <c r="P72" i="7"/>
  <c r="Q72" i="7"/>
  <c r="R72" i="7"/>
  <c r="S72" i="7"/>
  <c r="N73" i="7"/>
  <c r="O73" i="7"/>
  <c r="P73" i="7"/>
  <c r="Q73" i="7"/>
  <c r="R73" i="7"/>
  <c r="S73" i="7"/>
  <c r="N74" i="7"/>
  <c r="O74" i="7"/>
  <c r="P74" i="7"/>
  <c r="Q74" i="7"/>
  <c r="R74" i="7"/>
  <c r="S74" i="7"/>
  <c r="N75" i="7"/>
  <c r="O75" i="7"/>
  <c r="P75" i="7"/>
  <c r="Q75" i="7"/>
  <c r="R75" i="7"/>
  <c r="S75" i="7"/>
  <c r="N76" i="7"/>
  <c r="O76" i="7"/>
  <c r="P76" i="7"/>
  <c r="Q76" i="7"/>
  <c r="R76" i="7"/>
  <c r="S76" i="7"/>
  <c r="N77" i="7"/>
  <c r="O77" i="7"/>
  <c r="P77" i="7"/>
  <c r="Q77" i="7"/>
  <c r="R77" i="7"/>
  <c r="S77" i="7"/>
  <c r="N78" i="7"/>
  <c r="O78" i="7"/>
  <c r="P78" i="7"/>
  <c r="Q78" i="7"/>
  <c r="R78" i="7"/>
  <c r="S78" i="7"/>
  <c r="N79" i="7"/>
  <c r="O79" i="7"/>
  <c r="P79" i="7"/>
  <c r="Q79" i="7"/>
  <c r="R79" i="7"/>
  <c r="S79" i="7"/>
  <c r="N80" i="7"/>
  <c r="O80" i="7"/>
  <c r="P80" i="7"/>
  <c r="Q80" i="7"/>
  <c r="R80" i="7"/>
  <c r="S80" i="7"/>
  <c r="N81" i="7"/>
  <c r="O81" i="7"/>
  <c r="P81" i="7"/>
  <c r="Q81" i="7"/>
  <c r="R81" i="7"/>
  <c r="S81" i="7"/>
  <c r="N82" i="7"/>
  <c r="O82" i="7"/>
  <c r="P82" i="7"/>
  <c r="Q82" i="7"/>
  <c r="R82" i="7"/>
  <c r="S82" i="7"/>
  <c r="N83" i="7"/>
  <c r="O83" i="7"/>
  <c r="P83" i="7"/>
  <c r="Q83" i="7"/>
  <c r="R83" i="7"/>
  <c r="S83" i="7"/>
  <c r="N84" i="7"/>
  <c r="O84" i="7"/>
  <c r="P84" i="7"/>
  <c r="Q84" i="7"/>
  <c r="R84" i="7"/>
  <c r="S84" i="7"/>
  <c r="N85" i="7"/>
  <c r="O85" i="7"/>
  <c r="P85" i="7"/>
  <c r="Q85" i="7"/>
  <c r="R85" i="7"/>
  <c r="S85" i="7"/>
  <c r="N86" i="7"/>
  <c r="O86" i="7"/>
  <c r="P86" i="7"/>
  <c r="Q86" i="7"/>
  <c r="R86" i="7"/>
  <c r="S86" i="7"/>
  <c r="N87" i="7"/>
  <c r="O87" i="7"/>
  <c r="P87" i="7"/>
  <c r="Q87" i="7"/>
  <c r="R87" i="7"/>
  <c r="S87" i="7"/>
  <c r="N88" i="7"/>
  <c r="O88" i="7"/>
  <c r="P88" i="7"/>
  <c r="Q88" i="7"/>
  <c r="R88" i="7"/>
  <c r="S88" i="7"/>
  <c r="N89" i="7"/>
  <c r="O89" i="7"/>
  <c r="P89" i="7"/>
  <c r="Q89" i="7"/>
  <c r="R89" i="7"/>
  <c r="S89" i="7"/>
  <c r="N90" i="7"/>
  <c r="O90" i="7"/>
  <c r="P90" i="7"/>
  <c r="Q90" i="7"/>
  <c r="R90" i="7"/>
  <c r="S90" i="7"/>
  <c r="N91" i="7"/>
  <c r="O91" i="7"/>
  <c r="P91" i="7"/>
  <c r="Q91" i="7"/>
  <c r="R91" i="7"/>
  <c r="S91" i="7"/>
  <c r="N92" i="7"/>
  <c r="O92" i="7"/>
  <c r="P92" i="7"/>
  <c r="Q92" i="7"/>
  <c r="R92" i="7"/>
  <c r="S92" i="7"/>
  <c r="N93" i="7"/>
  <c r="O93" i="7"/>
  <c r="P93" i="7"/>
  <c r="Q93" i="7"/>
  <c r="R93" i="7"/>
  <c r="S93" i="7"/>
  <c r="N94" i="7"/>
  <c r="O94" i="7"/>
  <c r="P94" i="7"/>
  <c r="Q94" i="7"/>
  <c r="R94" i="7"/>
  <c r="S94" i="7"/>
  <c r="N95" i="7"/>
  <c r="O95" i="7"/>
  <c r="P95" i="7"/>
  <c r="Q95" i="7"/>
  <c r="R95" i="7"/>
  <c r="S95" i="7"/>
  <c r="N96" i="7"/>
  <c r="O96" i="7"/>
  <c r="P96" i="7"/>
  <c r="Q96" i="7"/>
  <c r="R96" i="7"/>
  <c r="S96" i="7"/>
  <c r="N97" i="7"/>
  <c r="O97" i="7"/>
  <c r="P97" i="7"/>
  <c r="Q97" i="7"/>
  <c r="R97" i="7"/>
  <c r="S97" i="7"/>
  <c r="N98" i="7"/>
  <c r="O98" i="7"/>
  <c r="P98" i="7"/>
  <c r="Q98" i="7"/>
  <c r="R98" i="7"/>
  <c r="S98" i="7"/>
  <c r="N99" i="7"/>
  <c r="O99" i="7"/>
  <c r="P99" i="7"/>
  <c r="Q99" i="7"/>
  <c r="R99" i="7"/>
  <c r="S99" i="7"/>
  <c r="N100" i="7"/>
  <c r="O100" i="7"/>
  <c r="P100" i="7"/>
  <c r="Q100" i="7"/>
  <c r="R100" i="7"/>
  <c r="S100" i="7"/>
  <c r="N101" i="7"/>
  <c r="O101" i="7"/>
  <c r="P101" i="7"/>
  <c r="Q101" i="7"/>
  <c r="R101" i="7"/>
  <c r="S101" i="7"/>
  <c r="N102" i="7"/>
  <c r="O102" i="7"/>
  <c r="P102" i="7"/>
  <c r="Q102" i="7"/>
  <c r="R102" i="7"/>
  <c r="S102" i="7"/>
  <c r="N103" i="7"/>
  <c r="O103" i="7"/>
  <c r="P103" i="7"/>
  <c r="Q103" i="7"/>
  <c r="R103" i="7"/>
  <c r="S103" i="7"/>
  <c r="N104" i="7"/>
  <c r="O104" i="7"/>
  <c r="P104" i="7"/>
  <c r="Q104" i="7"/>
  <c r="R104" i="7"/>
  <c r="S104" i="7"/>
  <c r="N105" i="7"/>
  <c r="O105" i="7"/>
  <c r="P105" i="7"/>
  <c r="Q105" i="7"/>
  <c r="R105" i="7"/>
  <c r="S105" i="7"/>
  <c r="N106" i="7"/>
  <c r="O106" i="7"/>
  <c r="P106" i="7"/>
  <c r="Q106" i="7"/>
  <c r="R106" i="7"/>
  <c r="S106" i="7"/>
  <c r="N107" i="7"/>
  <c r="O107" i="7"/>
  <c r="P107" i="7"/>
  <c r="Q107" i="7"/>
  <c r="R107" i="7"/>
  <c r="S107" i="7"/>
  <c r="N108" i="7"/>
  <c r="O108" i="7"/>
  <c r="P108" i="7"/>
  <c r="Q108" i="7"/>
  <c r="R108" i="7"/>
  <c r="S108" i="7"/>
  <c r="N109" i="7"/>
  <c r="O109" i="7"/>
  <c r="P109" i="7"/>
  <c r="Q109" i="7"/>
  <c r="R109" i="7"/>
  <c r="S109" i="7"/>
  <c r="N110" i="7"/>
  <c r="O110" i="7"/>
  <c r="P110" i="7"/>
  <c r="Q110" i="7"/>
  <c r="R110" i="7"/>
  <c r="S110" i="7"/>
  <c r="N111" i="7"/>
  <c r="O111" i="7"/>
  <c r="P111" i="7"/>
  <c r="Q111" i="7"/>
  <c r="R111" i="7"/>
  <c r="S111" i="7"/>
  <c r="N112" i="7"/>
  <c r="O112" i="7"/>
  <c r="P112" i="7"/>
  <c r="Q112" i="7"/>
  <c r="R112" i="7"/>
  <c r="S112" i="7"/>
  <c r="N113" i="7"/>
  <c r="O113" i="7"/>
  <c r="P113" i="7"/>
  <c r="Q113" i="7"/>
  <c r="R113" i="7"/>
  <c r="S113" i="7"/>
  <c r="N114" i="7"/>
  <c r="O114" i="7"/>
  <c r="P114" i="7"/>
  <c r="Q114" i="7"/>
  <c r="R114" i="7"/>
  <c r="S114" i="7"/>
  <c r="N115" i="7"/>
  <c r="O115" i="7"/>
  <c r="P115" i="7"/>
  <c r="Q115" i="7"/>
  <c r="R115" i="7"/>
  <c r="S115" i="7"/>
  <c r="N116" i="7"/>
  <c r="O116" i="7"/>
  <c r="P116" i="7"/>
  <c r="Q116" i="7"/>
  <c r="R116" i="7"/>
  <c r="S116" i="7"/>
  <c r="N117" i="7"/>
  <c r="O117" i="7"/>
  <c r="P117" i="7"/>
  <c r="Q117" i="7"/>
  <c r="R117" i="7"/>
  <c r="S117" i="7"/>
  <c r="N118" i="7"/>
  <c r="O118" i="7"/>
  <c r="P118" i="7"/>
  <c r="Q118" i="7"/>
  <c r="R118" i="7"/>
  <c r="S118" i="7"/>
  <c r="N119" i="7"/>
  <c r="O119" i="7"/>
  <c r="P119" i="7"/>
  <c r="Q119" i="7"/>
  <c r="R119" i="7"/>
  <c r="S119" i="7"/>
  <c r="N120" i="7"/>
  <c r="O120" i="7"/>
  <c r="P120" i="7"/>
  <c r="Q120" i="7"/>
  <c r="R120" i="7"/>
  <c r="S120" i="7"/>
  <c r="N121" i="7"/>
  <c r="O121" i="7"/>
  <c r="P121" i="7"/>
  <c r="Q121" i="7"/>
  <c r="R121" i="7"/>
  <c r="S121" i="7"/>
  <c r="N122" i="7"/>
  <c r="O122" i="7"/>
  <c r="P122" i="7"/>
  <c r="Q122" i="7"/>
  <c r="R122" i="7"/>
  <c r="S122" i="7"/>
  <c r="N123" i="7"/>
  <c r="O123" i="7"/>
  <c r="P123" i="7"/>
  <c r="Q123" i="7"/>
  <c r="R123" i="7"/>
  <c r="S123" i="7"/>
  <c r="N124" i="7"/>
  <c r="O124" i="7"/>
  <c r="P124" i="7"/>
  <c r="Q124" i="7"/>
  <c r="R124" i="7"/>
  <c r="S124" i="7"/>
  <c r="N125" i="7"/>
  <c r="O125" i="7"/>
  <c r="P125" i="7"/>
  <c r="Q125" i="7"/>
  <c r="R125" i="7"/>
  <c r="S125" i="7"/>
  <c r="N126" i="7"/>
  <c r="O126" i="7"/>
  <c r="P126" i="7"/>
  <c r="Q126" i="7"/>
  <c r="R126" i="7"/>
  <c r="S126" i="7"/>
  <c r="N127" i="7"/>
  <c r="O127" i="7"/>
  <c r="P127" i="7"/>
  <c r="Q127" i="7"/>
  <c r="R127" i="7"/>
  <c r="S127" i="7"/>
  <c r="N128" i="7"/>
  <c r="O128" i="7"/>
  <c r="P128" i="7"/>
  <c r="Q128" i="7"/>
  <c r="R128" i="7"/>
  <c r="S128" i="7"/>
  <c r="N129" i="7"/>
  <c r="O129" i="7"/>
  <c r="P129" i="7"/>
  <c r="Q129" i="7"/>
  <c r="R129" i="7"/>
  <c r="S129" i="7"/>
  <c r="M129" i="7"/>
  <c r="L129" i="7"/>
  <c r="M128" i="7"/>
  <c r="L128" i="7"/>
  <c r="M127" i="7"/>
  <c r="L127" i="7"/>
  <c r="M126" i="7"/>
  <c r="L126" i="7"/>
  <c r="M125" i="7"/>
  <c r="L125" i="7"/>
  <c r="M124" i="7"/>
  <c r="L124" i="7"/>
  <c r="M123" i="7"/>
  <c r="L123" i="7"/>
  <c r="M122" i="7"/>
  <c r="L122" i="7"/>
  <c r="M121" i="7"/>
  <c r="L121" i="7"/>
  <c r="M120" i="7"/>
  <c r="L120" i="7"/>
  <c r="M119" i="7"/>
  <c r="L119" i="7"/>
  <c r="M118" i="7"/>
  <c r="L118" i="7"/>
  <c r="M117" i="7"/>
  <c r="L117" i="7"/>
  <c r="M116" i="7"/>
  <c r="L116" i="7"/>
  <c r="M115" i="7"/>
  <c r="L115" i="7"/>
  <c r="M114" i="7"/>
  <c r="L114" i="7"/>
  <c r="M113" i="7"/>
  <c r="L113" i="7"/>
  <c r="M112" i="7"/>
  <c r="L112" i="7"/>
  <c r="M111" i="7"/>
  <c r="L111" i="7"/>
  <c r="M110" i="7"/>
  <c r="L110" i="7"/>
  <c r="M109" i="7"/>
  <c r="L109" i="7"/>
  <c r="M108" i="7"/>
  <c r="L108" i="7"/>
  <c r="M107" i="7"/>
  <c r="L107" i="7"/>
  <c r="M106" i="7"/>
  <c r="L106" i="7"/>
  <c r="M105" i="7"/>
  <c r="L105" i="7"/>
  <c r="M104" i="7"/>
  <c r="L104" i="7"/>
  <c r="M103" i="7"/>
  <c r="L103" i="7"/>
  <c r="M102" i="7"/>
  <c r="L102" i="7"/>
  <c r="M101" i="7"/>
  <c r="L101" i="7"/>
  <c r="M100" i="7"/>
  <c r="L100" i="7"/>
  <c r="M99" i="7"/>
  <c r="L99" i="7"/>
  <c r="M98" i="7"/>
  <c r="L98" i="7"/>
  <c r="M97" i="7"/>
  <c r="L97" i="7"/>
  <c r="M96" i="7"/>
  <c r="L96" i="7"/>
  <c r="M95" i="7"/>
  <c r="L95" i="7"/>
  <c r="M94" i="7"/>
  <c r="L94" i="7"/>
  <c r="M93" i="7"/>
  <c r="L93" i="7"/>
  <c r="M92" i="7"/>
  <c r="L92" i="7"/>
  <c r="M91" i="7"/>
  <c r="L91" i="7"/>
  <c r="M90" i="7"/>
  <c r="L90" i="7"/>
  <c r="M89" i="7"/>
  <c r="L89" i="7"/>
  <c r="M88" i="7"/>
  <c r="L88" i="7"/>
  <c r="M87" i="7"/>
  <c r="L87" i="7"/>
  <c r="M86" i="7"/>
  <c r="L86" i="7"/>
  <c r="M85" i="7"/>
  <c r="L85" i="7"/>
  <c r="M84" i="7"/>
  <c r="L84" i="7"/>
  <c r="M83" i="7"/>
  <c r="L83" i="7"/>
  <c r="M82" i="7"/>
  <c r="L82" i="7"/>
  <c r="M81" i="7"/>
  <c r="L81" i="7"/>
  <c r="M80" i="7"/>
  <c r="L80" i="7"/>
  <c r="M79" i="7"/>
  <c r="L79" i="7"/>
  <c r="M78" i="7"/>
  <c r="L78" i="7"/>
  <c r="M77" i="7"/>
  <c r="L77" i="7"/>
  <c r="M76" i="7"/>
  <c r="L76" i="7"/>
  <c r="M75" i="7"/>
  <c r="L75" i="7"/>
  <c r="M74" i="7"/>
  <c r="L74" i="7"/>
  <c r="M73" i="7"/>
  <c r="L73" i="7"/>
  <c r="M72" i="7"/>
  <c r="L72" i="7"/>
  <c r="S71" i="7"/>
  <c r="R71" i="7"/>
  <c r="Q71" i="7"/>
  <c r="P71" i="7"/>
  <c r="O71" i="7"/>
  <c r="N71" i="7"/>
  <c r="M71" i="7"/>
  <c r="L71" i="7"/>
  <c r="S70" i="7"/>
  <c r="R70" i="7"/>
  <c r="Q70" i="7"/>
  <c r="P70" i="7"/>
  <c r="O70" i="7"/>
  <c r="N70" i="7"/>
  <c r="M70" i="7"/>
  <c r="L70" i="7"/>
  <c r="S69" i="7"/>
  <c r="R69" i="7"/>
  <c r="Q69" i="7"/>
  <c r="P69" i="7"/>
  <c r="O69" i="7"/>
  <c r="N69" i="7"/>
  <c r="M69" i="7"/>
  <c r="L69" i="7"/>
  <c r="S68" i="7"/>
  <c r="R68" i="7"/>
  <c r="Q68" i="7"/>
  <c r="P68" i="7"/>
  <c r="O68" i="7"/>
  <c r="N68" i="7"/>
  <c r="M68" i="7"/>
  <c r="L68" i="7"/>
  <c r="S67" i="7"/>
  <c r="R67" i="7"/>
  <c r="Q67" i="7"/>
  <c r="P67" i="7"/>
  <c r="O67" i="7"/>
  <c r="N67" i="7"/>
  <c r="M67" i="7"/>
  <c r="L67" i="7"/>
  <c r="S66" i="7"/>
  <c r="R66" i="7"/>
  <c r="Q66" i="7"/>
  <c r="P66" i="7"/>
  <c r="O66" i="7"/>
  <c r="N66" i="7"/>
  <c r="M66" i="7"/>
  <c r="L66" i="7"/>
  <c r="S65" i="7"/>
  <c r="R65" i="7"/>
  <c r="Q65" i="7"/>
  <c r="P65" i="7"/>
  <c r="O65" i="7"/>
  <c r="N65" i="7"/>
  <c r="M65" i="7"/>
  <c r="L65" i="7"/>
  <c r="S64" i="7"/>
  <c r="R64" i="7"/>
  <c r="Q64" i="7"/>
  <c r="P64" i="7"/>
  <c r="O64" i="7"/>
  <c r="N64" i="7"/>
  <c r="M64" i="7"/>
  <c r="L64" i="7"/>
  <c r="S63" i="7"/>
  <c r="R63" i="7"/>
  <c r="Q63" i="7"/>
  <c r="P63" i="7"/>
  <c r="O63" i="7"/>
  <c r="N63" i="7"/>
  <c r="M63" i="7"/>
  <c r="L63" i="7"/>
  <c r="S62" i="7"/>
  <c r="R62" i="7"/>
  <c r="Q62" i="7"/>
  <c r="P62" i="7"/>
  <c r="O62" i="7"/>
  <c r="N62" i="7"/>
  <c r="M62" i="7"/>
  <c r="L62" i="7"/>
  <c r="S61" i="7"/>
  <c r="R61" i="7"/>
  <c r="Q61" i="7"/>
  <c r="P61" i="7"/>
  <c r="O61" i="7"/>
  <c r="N61" i="7"/>
  <c r="M61" i="7"/>
  <c r="L61" i="7"/>
  <c r="S60" i="7"/>
  <c r="R60" i="7"/>
  <c r="Q60" i="7"/>
  <c r="P60" i="7"/>
  <c r="O60" i="7"/>
  <c r="N60" i="7"/>
  <c r="M60" i="7"/>
  <c r="L60" i="7"/>
  <c r="S59" i="7"/>
  <c r="R59" i="7"/>
  <c r="Q59" i="7"/>
  <c r="P59" i="7"/>
  <c r="O59" i="7"/>
  <c r="N59" i="7"/>
  <c r="M59" i="7"/>
  <c r="L59" i="7"/>
  <c r="S58" i="7"/>
  <c r="R58" i="7"/>
  <c r="Q58" i="7"/>
  <c r="P58" i="7"/>
  <c r="O58" i="7"/>
  <c r="N58" i="7"/>
  <c r="M58" i="7"/>
  <c r="L58" i="7"/>
  <c r="S57" i="7"/>
  <c r="R57" i="7"/>
  <c r="Q57" i="7"/>
  <c r="P57" i="7"/>
  <c r="O57" i="7"/>
  <c r="N57" i="7"/>
  <c r="M57" i="7"/>
  <c r="L57" i="7"/>
  <c r="S56" i="7"/>
  <c r="R56" i="7"/>
  <c r="Q56" i="7"/>
  <c r="P56" i="7"/>
  <c r="O56" i="7"/>
  <c r="N56" i="7"/>
  <c r="M56" i="7"/>
  <c r="L56" i="7"/>
  <c r="S55" i="7"/>
  <c r="R55" i="7"/>
  <c r="Q55" i="7"/>
  <c r="P55" i="7"/>
  <c r="O55" i="7"/>
  <c r="N55" i="7"/>
  <c r="M55" i="7"/>
  <c r="L55" i="7"/>
  <c r="S54" i="7"/>
  <c r="R54" i="7"/>
  <c r="Q54" i="7"/>
  <c r="P54" i="7"/>
  <c r="O54" i="7"/>
  <c r="N54" i="7"/>
  <c r="M54" i="7"/>
  <c r="L54" i="7"/>
  <c r="S53" i="7"/>
  <c r="R53" i="7"/>
  <c r="Q53" i="7"/>
  <c r="P53" i="7"/>
  <c r="O53" i="7"/>
  <c r="N53" i="7"/>
  <c r="M53" i="7"/>
  <c r="L53" i="7"/>
  <c r="S52" i="7"/>
  <c r="R52" i="7"/>
  <c r="Q52" i="7"/>
  <c r="P52" i="7"/>
  <c r="O52" i="7"/>
  <c r="N52" i="7"/>
  <c r="M52" i="7"/>
  <c r="L52" i="7"/>
  <c r="S51" i="7"/>
  <c r="R51" i="7"/>
  <c r="Q51" i="7"/>
  <c r="P51" i="7"/>
  <c r="O51" i="7"/>
  <c r="N51" i="7"/>
  <c r="M51" i="7"/>
  <c r="L51" i="7"/>
  <c r="S50" i="7"/>
  <c r="R50" i="7"/>
  <c r="Q50" i="7"/>
  <c r="P50" i="7"/>
  <c r="O50" i="7"/>
  <c r="N50" i="7"/>
  <c r="M50" i="7"/>
  <c r="L50" i="7"/>
  <c r="S49" i="7"/>
  <c r="R49" i="7"/>
  <c r="Q49" i="7"/>
  <c r="P49" i="7"/>
  <c r="O49" i="7"/>
  <c r="N49" i="7"/>
  <c r="M49" i="7"/>
  <c r="L49" i="7"/>
  <c r="S48" i="7"/>
  <c r="R48" i="7"/>
  <c r="Q48" i="7"/>
  <c r="P48" i="7"/>
  <c r="O48" i="7"/>
  <c r="N48" i="7"/>
  <c r="M48" i="7"/>
  <c r="L48" i="7"/>
  <c r="S47" i="7"/>
  <c r="R47" i="7"/>
  <c r="Q47" i="7"/>
  <c r="P47" i="7"/>
  <c r="O47" i="7"/>
  <c r="N47" i="7"/>
  <c r="M47" i="7"/>
  <c r="L47" i="7"/>
  <c r="S46" i="7"/>
  <c r="R46" i="7"/>
  <c r="Q46" i="7"/>
  <c r="P46" i="7"/>
  <c r="O46" i="7"/>
  <c r="N46" i="7"/>
  <c r="M46" i="7"/>
  <c r="L46" i="7"/>
  <c r="S45" i="7"/>
  <c r="R45" i="7"/>
  <c r="Q45" i="7"/>
  <c r="P45" i="7"/>
  <c r="O45" i="7"/>
  <c r="N45" i="7"/>
  <c r="M45" i="7"/>
  <c r="L45" i="7"/>
  <c r="S44" i="7"/>
  <c r="R44" i="7"/>
  <c r="Q44" i="7"/>
  <c r="P44" i="7"/>
  <c r="O44" i="7"/>
  <c r="N44" i="7"/>
  <c r="M44" i="7"/>
  <c r="L44" i="7"/>
  <c r="S43" i="7"/>
  <c r="R43" i="7"/>
  <c r="Q43" i="7"/>
  <c r="P43" i="7"/>
  <c r="O43" i="7"/>
  <c r="N43" i="7"/>
  <c r="M43" i="7"/>
  <c r="L43" i="7"/>
  <c r="S42" i="7"/>
  <c r="R42" i="7"/>
  <c r="Q42" i="7"/>
  <c r="P42" i="7"/>
  <c r="O42" i="7"/>
  <c r="N42" i="7"/>
  <c r="M42" i="7"/>
  <c r="L42" i="7"/>
  <c r="S41" i="7"/>
  <c r="R41" i="7"/>
  <c r="Q41" i="7"/>
  <c r="P41" i="7"/>
  <c r="O41" i="7"/>
  <c r="N41" i="7"/>
  <c r="M41" i="7"/>
  <c r="L41" i="7"/>
  <c r="S40" i="7"/>
  <c r="R40" i="7"/>
  <c r="Q40" i="7"/>
  <c r="P40" i="7"/>
  <c r="O40" i="7"/>
  <c r="N40" i="7"/>
  <c r="M40" i="7"/>
  <c r="L40" i="7"/>
  <c r="S39" i="7"/>
  <c r="R39" i="7"/>
  <c r="Q39" i="7"/>
  <c r="P39" i="7"/>
  <c r="O39" i="7"/>
  <c r="N39" i="7"/>
  <c r="M39" i="7"/>
  <c r="L39" i="7"/>
  <c r="S38" i="7"/>
  <c r="R38" i="7"/>
  <c r="Q38" i="7"/>
  <c r="P38" i="7"/>
  <c r="O38" i="7"/>
  <c r="N38" i="7"/>
  <c r="M38" i="7"/>
  <c r="L38" i="7"/>
  <c r="S37" i="7"/>
  <c r="R37" i="7"/>
  <c r="Q37" i="7"/>
  <c r="P37" i="7"/>
  <c r="O37" i="7"/>
  <c r="N37" i="7"/>
  <c r="M37" i="7"/>
  <c r="L37" i="7"/>
  <c r="S36" i="7"/>
  <c r="R36" i="7"/>
  <c r="Q36" i="7"/>
  <c r="P36" i="7"/>
  <c r="O36" i="7"/>
  <c r="N36" i="7"/>
  <c r="M36" i="7"/>
  <c r="L36" i="7"/>
  <c r="S35" i="7"/>
  <c r="R35" i="7"/>
  <c r="Q35" i="7"/>
  <c r="P35" i="7"/>
  <c r="O35" i="7"/>
  <c r="N35" i="7"/>
  <c r="M35" i="7"/>
  <c r="L35" i="7"/>
  <c r="S34" i="7"/>
  <c r="R34" i="7"/>
  <c r="Q34" i="7"/>
  <c r="P34" i="7"/>
  <c r="O34" i="7"/>
  <c r="N34" i="7"/>
  <c r="M34" i="7"/>
  <c r="L34" i="7"/>
  <c r="S33" i="7"/>
  <c r="R33" i="7"/>
  <c r="Q33" i="7"/>
  <c r="P33" i="7"/>
  <c r="O33" i="7"/>
  <c r="N33" i="7"/>
  <c r="M33" i="7"/>
  <c r="L33" i="7"/>
  <c r="S32" i="7"/>
  <c r="R32" i="7"/>
  <c r="Q32" i="7"/>
  <c r="P32" i="7"/>
  <c r="O32" i="7"/>
  <c r="N32" i="7"/>
  <c r="M32" i="7"/>
  <c r="L32" i="7"/>
  <c r="S31" i="7"/>
  <c r="R31" i="7"/>
  <c r="Q31" i="7"/>
  <c r="P31" i="7"/>
  <c r="O31" i="7"/>
  <c r="N31" i="7"/>
  <c r="M31" i="7"/>
  <c r="L31" i="7"/>
  <c r="S30" i="7"/>
  <c r="R30" i="7"/>
  <c r="Q30" i="7"/>
  <c r="P30" i="7"/>
  <c r="O30" i="7"/>
  <c r="N30" i="7"/>
  <c r="M30" i="7"/>
  <c r="L30" i="7"/>
  <c r="S29" i="7"/>
  <c r="R29" i="7"/>
  <c r="Q29" i="7"/>
  <c r="P29" i="7"/>
  <c r="O29" i="7"/>
  <c r="N29" i="7"/>
  <c r="M29" i="7"/>
  <c r="L29" i="7"/>
  <c r="S28" i="7"/>
  <c r="R28" i="7"/>
  <c r="Q28" i="7"/>
  <c r="P28" i="7"/>
  <c r="O28" i="7"/>
  <c r="N28" i="7"/>
  <c r="M28" i="7"/>
  <c r="L28" i="7"/>
  <c r="S27" i="7"/>
  <c r="R27" i="7"/>
  <c r="Q27" i="7"/>
  <c r="P27" i="7"/>
  <c r="O27" i="7"/>
  <c r="N27" i="7"/>
  <c r="M27" i="7"/>
  <c r="L27" i="7"/>
  <c r="S26" i="7"/>
  <c r="R26" i="7"/>
  <c r="Q26" i="7"/>
  <c r="P26" i="7"/>
  <c r="O26" i="7"/>
  <c r="N26" i="7"/>
  <c r="M26" i="7"/>
  <c r="L26" i="7"/>
  <c r="S25" i="7"/>
  <c r="R25" i="7"/>
  <c r="Q25" i="7"/>
  <c r="P25" i="7"/>
  <c r="O25" i="7"/>
  <c r="N25" i="7"/>
  <c r="M25" i="7"/>
  <c r="L25" i="7"/>
  <c r="S24" i="7"/>
  <c r="R24" i="7"/>
  <c r="Q24" i="7"/>
  <c r="P24" i="7"/>
  <c r="O24" i="7"/>
  <c r="N24" i="7"/>
  <c r="M24" i="7"/>
  <c r="L24" i="7"/>
  <c r="S23" i="7"/>
  <c r="R23" i="7"/>
  <c r="Q23" i="7"/>
  <c r="P23" i="7"/>
  <c r="O23" i="7"/>
  <c r="N23" i="7"/>
  <c r="M23" i="7"/>
  <c r="L23" i="7"/>
  <c r="S22" i="7"/>
  <c r="R22" i="7"/>
  <c r="Q22" i="7"/>
  <c r="P22" i="7"/>
  <c r="O22" i="7"/>
  <c r="N22" i="7"/>
  <c r="M22" i="7"/>
  <c r="L22" i="7"/>
  <c r="S21" i="7"/>
  <c r="R21" i="7"/>
  <c r="Q21" i="7"/>
  <c r="P21" i="7"/>
  <c r="O21" i="7"/>
  <c r="N21" i="7"/>
  <c r="M21" i="7"/>
  <c r="L21" i="7"/>
  <c r="S20" i="7"/>
  <c r="R20" i="7"/>
  <c r="Q20" i="7"/>
  <c r="P20" i="7"/>
  <c r="O20" i="7"/>
  <c r="N20" i="7"/>
  <c r="M20" i="7"/>
  <c r="L20" i="7"/>
  <c r="S19" i="7"/>
  <c r="R19" i="7"/>
  <c r="Q19" i="7"/>
  <c r="P19" i="7"/>
  <c r="O19" i="7"/>
  <c r="N19" i="7"/>
  <c r="M19" i="7"/>
  <c r="L19" i="7"/>
  <c r="S18" i="7"/>
  <c r="R18" i="7"/>
  <c r="Q18" i="7"/>
  <c r="P18" i="7"/>
  <c r="O18" i="7"/>
  <c r="N18" i="7"/>
  <c r="M18" i="7"/>
  <c r="L18" i="7"/>
  <c r="S17" i="7"/>
  <c r="R17" i="7"/>
  <c r="Q17" i="7"/>
  <c r="P17" i="7"/>
  <c r="O17" i="7"/>
  <c r="N17" i="7"/>
  <c r="M17" i="7"/>
  <c r="L17" i="7"/>
  <c r="S16" i="7"/>
  <c r="R16" i="7"/>
  <c r="Q16" i="7"/>
  <c r="P16" i="7"/>
  <c r="O16" i="7"/>
  <c r="N16" i="7"/>
  <c r="M16" i="7"/>
  <c r="L16" i="7"/>
  <c r="S15" i="7"/>
  <c r="R15" i="7"/>
  <c r="Q15" i="7"/>
  <c r="P15" i="7"/>
  <c r="O15" i="7"/>
  <c r="N15" i="7"/>
  <c r="M15" i="7"/>
  <c r="L15" i="7"/>
  <c r="S14" i="7"/>
  <c r="R14" i="7"/>
  <c r="Q14" i="7"/>
  <c r="P14" i="7"/>
  <c r="O14" i="7"/>
  <c r="N14" i="7"/>
  <c r="M14" i="7"/>
  <c r="L14" i="7"/>
  <c r="S13" i="7"/>
  <c r="R13" i="7"/>
  <c r="Q13" i="7"/>
  <c r="P13" i="7"/>
  <c r="O13" i="7"/>
  <c r="N13" i="7"/>
  <c r="M13" i="7"/>
  <c r="L13" i="7"/>
  <c r="S12" i="7"/>
  <c r="R12" i="7"/>
  <c r="Q12" i="7"/>
  <c r="P12" i="7"/>
  <c r="O12" i="7"/>
  <c r="N12" i="7"/>
  <c r="M12" i="7"/>
  <c r="L12" i="7"/>
  <c r="S11" i="7"/>
  <c r="R11" i="7"/>
  <c r="Q11" i="7"/>
  <c r="P11" i="7"/>
  <c r="O11" i="7"/>
  <c r="N11" i="7"/>
  <c r="M11" i="7"/>
  <c r="L11" i="7"/>
  <c r="S10" i="7"/>
  <c r="R10" i="7"/>
  <c r="Q10" i="7"/>
  <c r="P10" i="7"/>
  <c r="O10" i="7"/>
  <c r="N10" i="7"/>
  <c r="M10" i="7"/>
  <c r="L10" i="7"/>
  <c r="S9" i="7"/>
  <c r="R9" i="7"/>
  <c r="Q9" i="7"/>
  <c r="P9" i="7"/>
  <c r="O9" i="7"/>
  <c r="N9" i="7"/>
  <c r="M9" i="7"/>
  <c r="L9" i="7"/>
  <c r="S8" i="7"/>
  <c r="R8" i="7"/>
  <c r="Q8" i="7"/>
  <c r="P8" i="7"/>
  <c r="O8" i="7"/>
  <c r="N8" i="7"/>
  <c r="M8" i="7"/>
  <c r="L8" i="7"/>
  <c r="S7" i="7"/>
  <c r="R7" i="7"/>
  <c r="Q7" i="7"/>
  <c r="P7" i="7"/>
  <c r="O7" i="7"/>
  <c r="N7" i="7"/>
  <c r="M7" i="7"/>
  <c r="L7" i="7"/>
  <c r="S6" i="7"/>
  <c r="R6" i="7"/>
  <c r="Q6" i="7"/>
  <c r="P6" i="7"/>
  <c r="O6" i="7"/>
  <c r="N6" i="7"/>
  <c r="M6" i="7"/>
  <c r="L6" i="7"/>
  <c r="S5" i="7"/>
  <c r="R5" i="7"/>
  <c r="Q5" i="7"/>
  <c r="P5" i="7"/>
  <c r="O5" i="7"/>
  <c r="N5" i="7"/>
  <c r="M5" i="7"/>
  <c r="L5" i="7"/>
  <c r="S4" i="7"/>
  <c r="R4" i="7"/>
  <c r="Q4" i="7"/>
  <c r="P4" i="7"/>
  <c r="O4" i="7"/>
  <c r="N4" i="7"/>
  <c r="M4" i="7"/>
  <c r="L4" i="7"/>
  <c r="S3" i="7"/>
  <c r="R3" i="7"/>
  <c r="Q3" i="7"/>
  <c r="P3" i="7"/>
  <c r="O3" i="7"/>
  <c r="N3" i="7"/>
  <c r="M3" i="7"/>
  <c r="L3" i="7"/>
  <c r="S2" i="7"/>
  <c r="R2" i="7"/>
  <c r="Q2" i="7"/>
  <c r="P2" i="7"/>
  <c r="O2" i="7"/>
  <c r="N2" i="7"/>
  <c r="M2" i="7"/>
  <c r="L2" i="7"/>
  <c r="T1" i="7"/>
  <c r="S1" i="7"/>
  <c r="R1" i="7"/>
  <c r="Q1" i="7"/>
  <c r="P1" i="7"/>
  <c r="O1" i="7"/>
  <c r="N1" i="7"/>
  <c r="M1" i="7"/>
  <c r="L1" i="7"/>
  <c r="K1" i="7"/>
  <c r="Q129" i="6"/>
  <c r="P129" i="6"/>
  <c r="O129" i="6"/>
  <c r="N129" i="6"/>
  <c r="M129" i="6"/>
  <c r="L129" i="6"/>
  <c r="K129" i="6"/>
  <c r="Q128" i="6"/>
  <c r="P128" i="6"/>
  <c r="O128" i="6"/>
  <c r="N128" i="6"/>
  <c r="M128" i="6"/>
  <c r="L128" i="6"/>
  <c r="K128" i="6"/>
  <c r="Q127" i="6"/>
  <c r="P127" i="6"/>
  <c r="O127" i="6"/>
  <c r="N127" i="6"/>
  <c r="M127" i="6"/>
  <c r="L127" i="6"/>
  <c r="K127" i="6"/>
  <c r="Q126" i="6"/>
  <c r="P126" i="6"/>
  <c r="O126" i="6"/>
  <c r="N126" i="6"/>
  <c r="M126" i="6"/>
  <c r="L126" i="6"/>
  <c r="K126" i="6"/>
  <c r="Q125" i="6"/>
  <c r="P125" i="6"/>
  <c r="O125" i="6"/>
  <c r="N125" i="6"/>
  <c r="M125" i="6"/>
  <c r="L125" i="6"/>
  <c r="K125" i="6"/>
  <c r="Q124" i="6"/>
  <c r="P124" i="6"/>
  <c r="O124" i="6"/>
  <c r="N124" i="6"/>
  <c r="M124" i="6"/>
  <c r="L124" i="6"/>
  <c r="K124" i="6"/>
  <c r="Q123" i="6"/>
  <c r="P123" i="6"/>
  <c r="O123" i="6"/>
  <c r="N123" i="6"/>
  <c r="M123" i="6"/>
  <c r="L123" i="6"/>
  <c r="K123" i="6"/>
  <c r="Q122" i="6"/>
  <c r="P122" i="6"/>
  <c r="O122" i="6"/>
  <c r="N122" i="6"/>
  <c r="M122" i="6"/>
  <c r="L122" i="6"/>
  <c r="K122" i="6"/>
  <c r="Q121" i="6"/>
  <c r="P121" i="6"/>
  <c r="O121" i="6"/>
  <c r="N121" i="6"/>
  <c r="M121" i="6"/>
  <c r="L121" i="6"/>
  <c r="K121" i="6"/>
  <c r="Q120" i="6"/>
  <c r="P120" i="6"/>
  <c r="O120" i="6"/>
  <c r="N120" i="6"/>
  <c r="M120" i="6"/>
  <c r="L120" i="6"/>
  <c r="K120" i="6"/>
  <c r="Q119" i="6"/>
  <c r="P119" i="6"/>
  <c r="O119" i="6"/>
  <c r="N119" i="6"/>
  <c r="M119" i="6"/>
  <c r="L119" i="6"/>
  <c r="K119" i="6"/>
  <c r="Q118" i="6"/>
  <c r="P118" i="6"/>
  <c r="O118" i="6"/>
  <c r="N118" i="6"/>
  <c r="M118" i="6"/>
  <c r="L118" i="6"/>
  <c r="K118" i="6"/>
  <c r="Q117" i="6"/>
  <c r="P117" i="6"/>
  <c r="O117" i="6"/>
  <c r="N117" i="6"/>
  <c r="M117" i="6"/>
  <c r="L117" i="6"/>
  <c r="K117" i="6"/>
  <c r="Q116" i="6"/>
  <c r="P116" i="6"/>
  <c r="O116" i="6"/>
  <c r="N116" i="6"/>
  <c r="M116" i="6"/>
  <c r="L116" i="6"/>
  <c r="K116" i="6"/>
  <c r="Q115" i="6"/>
  <c r="P115" i="6"/>
  <c r="O115" i="6"/>
  <c r="N115" i="6"/>
  <c r="M115" i="6"/>
  <c r="L115" i="6"/>
  <c r="K115" i="6"/>
  <c r="Q114" i="6"/>
  <c r="P114" i="6"/>
  <c r="O114" i="6"/>
  <c r="N114" i="6"/>
  <c r="M114" i="6"/>
  <c r="L114" i="6"/>
  <c r="K114" i="6"/>
  <c r="Q113" i="6"/>
  <c r="P113" i="6"/>
  <c r="O113" i="6"/>
  <c r="N113" i="6"/>
  <c r="M113" i="6"/>
  <c r="L113" i="6"/>
  <c r="K113" i="6"/>
  <c r="Q112" i="6"/>
  <c r="P112" i="6"/>
  <c r="O112" i="6"/>
  <c r="N112" i="6"/>
  <c r="M112" i="6"/>
  <c r="L112" i="6"/>
  <c r="K112" i="6"/>
  <c r="Q111" i="6"/>
  <c r="P111" i="6"/>
  <c r="O111" i="6"/>
  <c r="N111" i="6"/>
  <c r="M111" i="6"/>
  <c r="L111" i="6"/>
  <c r="K111" i="6"/>
  <c r="Q110" i="6"/>
  <c r="P110" i="6"/>
  <c r="O110" i="6"/>
  <c r="N110" i="6"/>
  <c r="M110" i="6"/>
  <c r="L110" i="6"/>
  <c r="K110" i="6"/>
  <c r="Q109" i="6"/>
  <c r="P109" i="6"/>
  <c r="O109" i="6"/>
  <c r="N109" i="6"/>
  <c r="M109" i="6"/>
  <c r="L109" i="6"/>
  <c r="K109" i="6"/>
  <c r="Q108" i="6"/>
  <c r="P108" i="6"/>
  <c r="O108" i="6"/>
  <c r="N108" i="6"/>
  <c r="M108" i="6"/>
  <c r="L108" i="6"/>
  <c r="K108" i="6"/>
  <c r="Q107" i="6"/>
  <c r="P107" i="6"/>
  <c r="O107" i="6"/>
  <c r="N107" i="6"/>
  <c r="M107" i="6"/>
  <c r="L107" i="6"/>
  <c r="K107" i="6"/>
  <c r="Q106" i="6"/>
  <c r="P106" i="6"/>
  <c r="O106" i="6"/>
  <c r="N106" i="6"/>
  <c r="M106" i="6"/>
  <c r="L106" i="6"/>
  <c r="K106" i="6"/>
  <c r="Q105" i="6"/>
  <c r="P105" i="6"/>
  <c r="O105" i="6"/>
  <c r="N105" i="6"/>
  <c r="M105" i="6"/>
  <c r="L105" i="6"/>
  <c r="K105" i="6"/>
  <c r="Q104" i="6"/>
  <c r="P104" i="6"/>
  <c r="O104" i="6"/>
  <c r="N104" i="6"/>
  <c r="M104" i="6"/>
  <c r="L104" i="6"/>
  <c r="K104" i="6"/>
  <c r="Q103" i="6"/>
  <c r="P103" i="6"/>
  <c r="O103" i="6"/>
  <c r="N103" i="6"/>
  <c r="M103" i="6"/>
  <c r="L103" i="6"/>
  <c r="K103" i="6"/>
  <c r="Q102" i="6"/>
  <c r="P102" i="6"/>
  <c r="O102" i="6"/>
  <c r="N102" i="6"/>
  <c r="M102" i="6"/>
  <c r="L102" i="6"/>
  <c r="K102" i="6"/>
  <c r="Q101" i="6"/>
  <c r="P101" i="6"/>
  <c r="O101" i="6"/>
  <c r="N101" i="6"/>
  <c r="M101" i="6"/>
  <c r="L101" i="6"/>
  <c r="K101" i="6"/>
  <c r="Q100" i="6"/>
  <c r="P100" i="6"/>
  <c r="O100" i="6"/>
  <c r="N100" i="6"/>
  <c r="M100" i="6"/>
  <c r="L100" i="6"/>
  <c r="K100" i="6"/>
  <c r="Q99" i="6"/>
  <c r="P99" i="6"/>
  <c r="O99" i="6"/>
  <c r="N99" i="6"/>
  <c r="M99" i="6"/>
  <c r="L99" i="6"/>
  <c r="K99" i="6"/>
  <c r="Q98" i="6"/>
  <c r="P98" i="6"/>
  <c r="O98" i="6"/>
  <c r="N98" i="6"/>
  <c r="M98" i="6"/>
  <c r="L98" i="6"/>
  <c r="K98" i="6"/>
  <c r="Q97" i="6"/>
  <c r="P97" i="6"/>
  <c r="O97" i="6"/>
  <c r="N97" i="6"/>
  <c r="M97" i="6"/>
  <c r="L97" i="6"/>
  <c r="K97" i="6"/>
  <c r="Q96" i="6"/>
  <c r="P96" i="6"/>
  <c r="O96" i="6"/>
  <c r="N96" i="6"/>
  <c r="M96" i="6"/>
  <c r="L96" i="6"/>
  <c r="K96" i="6"/>
  <c r="Q95" i="6"/>
  <c r="P95" i="6"/>
  <c r="O95" i="6"/>
  <c r="N95" i="6"/>
  <c r="M95" i="6"/>
  <c r="L95" i="6"/>
  <c r="K95" i="6"/>
  <c r="Q94" i="6"/>
  <c r="P94" i="6"/>
  <c r="O94" i="6"/>
  <c r="N94" i="6"/>
  <c r="M94" i="6"/>
  <c r="L94" i="6"/>
  <c r="K94" i="6"/>
  <c r="Q93" i="6"/>
  <c r="P93" i="6"/>
  <c r="O93" i="6"/>
  <c r="N93" i="6"/>
  <c r="M93" i="6"/>
  <c r="L93" i="6"/>
  <c r="K93" i="6"/>
  <c r="Q92" i="6"/>
  <c r="P92" i="6"/>
  <c r="O92" i="6"/>
  <c r="N92" i="6"/>
  <c r="M92" i="6"/>
  <c r="L92" i="6"/>
  <c r="K92" i="6"/>
  <c r="Q91" i="6"/>
  <c r="P91" i="6"/>
  <c r="O91" i="6"/>
  <c r="N91" i="6"/>
  <c r="M91" i="6"/>
  <c r="L91" i="6"/>
  <c r="K91" i="6"/>
  <c r="Q90" i="6"/>
  <c r="P90" i="6"/>
  <c r="O90" i="6"/>
  <c r="N90" i="6"/>
  <c r="M90" i="6"/>
  <c r="L90" i="6"/>
  <c r="K90" i="6"/>
  <c r="Q89" i="6"/>
  <c r="P89" i="6"/>
  <c r="O89" i="6"/>
  <c r="N89" i="6"/>
  <c r="M89" i="6"/>
  <c r="L89" i="6"/>
  <c r="K89" i="6"/>
  <c r="Q88" i="6"/>
  <c r="P88" i="6"/>
  <c r="O88" i="6"/>
  <c r="N88" i="6"/>
  <c r="M88" i="6"/>
  <c r="L88" i="6"/>
  <c r="K88" i="6"/>
  <c r="Q87" i="6"/>
  <c r="P87" i="6"/>
  <c r="O87" i="6"/>
  <c r="N87" i="6"/>
  <c r="M87" i="6"/>
  <c r="L87" i="6"/>
  <c r="K87" i="6"/>
  <c r="Q86" i="6"/>
  <c r="P86" i="6"/>
  <c r="O86" i="6"/>
  <c r="N86" i="6"/>
  <c r="M86" i="6"/>
  <c r="L86" i="6"/>
  <c r="K86" i="6"/>
  <c r="Q85" i="6"/>
  <c r="P85" i="6"/>
  <c r="O85" i="6"/>
  <c r="N85" i="6"/>
  <c r="M85" i="6"/>
  <c r="L85" i="6"/>
  <c r="K85" i="6"/>
  <c r="Q84" i="6"/>
  <c r="P84" i="6"/>
  <c r="O84" i="6"/>
  <c r="N84" i="6"/>
  <c r="M84" i="6"/>
  <c r="L84" i="6"/>
  <c r="K84" i="6"/>
  <c r="Q83" i="6"/>
  <c r="P83" i="6"/>
  <c r="O83" i="6"/>
  <c r="N83" i="6"/>
  <c r="M83" i="6"/>
  <c r="L83" i="6"/>
  <c r="K83" i="6"/>
  <c r="Q82" i="6"/>
  <c r="P82" i="6"/>
  <c r="O82" i="6"/>
  <c r="N82" i="6"/>
  <c r="M82" i="6"/>
  <c r="L82" i="6"/>
  <c r="K82" i="6"/>
  <c r="Q81" i="6"/>
  <c r="P81" i="6"/>
  <c r="O81" i="6"/>
  <c r="N81" i="6"/>
  <c r="M81" i="6"/>
  <c r="L81" i="6"/>
  <c r="K81" i="6"/>
  <c r="Q80" i="6"/>
  <c r="P80" i="6"/>
  <c r="O80" i="6"/>
  <c r="N80" i="6"/>
  <c r="M80" i="6"/>
  <c r="L80" i="6"/>
  <c r="K80" i="6"/>
  <c r="Q79" i="6"/>
  <c r="P79" i="6"/>
  <c r="O79" i="6"/>
  <c r="N79" i="6"/>
  <c r="M79" i="6"/>
  <c r="L79" i="6"/>
  <c r="K79" i="6"/>
  <c r="Q78" i="6"/>
  <c r="P78" i="6"/>
  <c r="O78" i="6"/>
  <c r="N78" i="6"/>
  <c r="M78" i="6"/>
  <c r="L78" i="6"/>
  <c r="K78" i="6"/>
  <c r="Q77" i="6"/>
  <c r="P77" i="6"/>
  <c r="O77" i="6"/>
  <c r="N77" i="6"/>
  <c r="M77" i="6"/>
  <c r="L77" i="6"/>
  <c r="K77" i="6"/>
  <c r="Q76" i="6"/>
  <c r="P76" i="6"/>
  <c r="O76" i="6"/>
  <c r="N76" i="6"/>
  <c r="M76" i="6"/>
  <c r="L76" i="6"/>
  <c r="K76" i="6"/>
  <c r="Q75" i="6"/>
  <c r="P75" i="6"/>
  <c r="O75" i="6"/>
  <c r="N75" i="6"/>
  <c r="M75" i="6"/>
  <c r="L75" i="6"/>
  <c r="K75" i="6"/>
  <c r="Q74" i="6"/>
  <c r="P74" i="6"/>
  <c r="O74" i="6"/>
  <c r="N74" i="6"/>
  <c r="M74" i="6"/>
  <c r="L74" i="6"/>
  <c r="K74" i="6"/>
  <c r="Q73" i="6"/>
  <c r="P73" i="6"/>
  <c r="O73" i="6"/>
  <c r="N73" i="6"/>
  <c r="M73" i="6"/>
  <c r="L73" i="6"/>
  <c r="K73" i="6"/>
  <c r="Q72" i="6"/>
  <c r="P72" i="6"/>
  <c r="O72" i="6"/>
  <c r="N72" i="6"/>
  <c r="M72" i="6"/>
  <c r="L72" i="6"/>
  <c r="K72" i="6"/>
  <c r="Q71" i="6"/>
  <c r="P71" i="6"/>
  <c r="O71" i="6"/>
  <c r="N71" i="6"/>
  <c r="M71" i="6"/>
  <c r="L71" i="6"/>
  <c r="K71" i="6"/>
  <c r="Q70" i="6"/>
  <c r="P70" i="6"/>
  <c r="O70" i="6"/>
  <c r="N70" i="6"/>
  <c r="M70" i="6"/>
  <c r="L70" i="6"/>
  <c r="K70" i="6"/>
  <c r="Q69" i="6"/>
  <c r="P69" i="6"/>
  <c r="O69" i="6"/>
  <c r="N69" i="6"/>
  <c r="M69" i="6"/>
  <c r="L69" i="6"/>
  <c r="K69" i="6"/>
  <c r="Q68" i="6"/>
  <c r="P68" i="6"/>
  <c r="O68" i="6"/>
  <c r="N68" i="6"/>
  <c r="M68" i="6"/>
  <c r="L68" i="6"/>
  <c r="K68" i="6"/>
  <c r="Q67" i="6"/>
  <c r="P67" i="6"/>
  <c r="O67" i="6"/>
  <c r="N67" i="6"/>
  <c r="M67" i="6"/>
  <c r="L67" i="6"/>
  <c r="K67" i="6"/>
  <c r="Q66" i="6"/>
  <c r="P66" i="6"/>
  <c r="O66" i="6"/>
  <c r="N66" i="6"/>
  <c r="M66" i="6"/>
  <c r="L66" i="6"/>
  <c r="K66" i="6"/>
  <c r="Q65" i="6"/>
  <c r="P65" i="6"/>
  <c r="O65" i="6"/>
  <c r="N65" i="6"/>
  <c r="M65" i="6"/>
  <c r="L65" i="6"/>
  <c r="K65" i="6"/>
  <c r="Q64" i="6"/>
  <c r="P64" i="6"/>
  <c r="O64" i="6"/>
  <c r="N64" i="6"/>
  <c r="M64" i="6"/>
  <c r="L64" i="6"/>
  <c r="K64" i="6"/>
  <c r="Q63" i="6"/>
  <c r="P63" i="6"/>
  <c r="O63" i="6"/>
  <c r="N63" i="6"/>
  <c r="M63" i="6"/>
  <c r="L63" i="6"/>
  <c r="K63" i="6"/>
  <c r="Q62" i="6"/>
  <c r="P62" i="6"/>
  <c r="O62" i="6"/>
  <c r="N62" i="6"/>
  <c r="M62" i="6"/>
  <c r="L62" i="6"/>
  <c r="K62" i="6"/>
  <c r="Q61" i="6"/>
  <c r="P61" i="6"/>
  <c r="O61" i="6"/>
  <c r="N61" i="6"/>
  <c r="M61" i="6"/>
  <c r="L61" i="6"/>
  <c r="K61" i="6"/>
  <c r="Q60" i="6"/>
  <c r="P60" i="6"/>
  <c r="O60" i="6"/>
  <c r="N60" i="6"/>
  <c r="M60" i="6"/>
  <c r="L60" i="6"/>
  <c r="K60" i="6"/>
  <c r="Q59" i="6"/>
  <c r="P59" i="6"/>
  <c r="O59" i="6"/>
  <c r="N59" i="6"/>
  <c r="M59" i="6"/>
  <c r="L59" i="6"/>
  <c r="K59" i="6"/>
  <c r="Q58" i="6"/>
  <c r="P58" i="6"/>
  <c r="O58" i="6"/>
  <c r="N58" i="6"/>
  <c r="M58" i="6"/>
  <c r="L58" i="6"/>
  <c r="K58" i="6"/>
  <c r="Q57" i="6"/>
  <c r="P57" i="6"/>
  <c r="O57" i="6"/>
  <c r="N57" i="6"/>
  <c r="M57" i="6"/>
  <c r="L57" i="6"/>
  <c r="K57" i="6"/>
  <c r="Q56" i="6"/>
  <c r="P56" i="6"/>
  <c r="O56" i="6"/>
  <c r="N56" i="6"/>
  <c r="M56" i="6"/>
  <c r="L56" i="6"/>
  <c r="K56" i="6"/>
  <c r="Q55" i="6"/>
  <c r="P55" i="6"/>
  <c r="O55" i="6"/>
  <c r="N55" i="6"/>
  <c r="M55" i="6"/>
  <c r="L55" i="6"/>
  <c r="K55" i="6"/>
  <c r="Q54" i="6"/>
  <c r="P54" i="6"/>
  <c r="O54" i="6"/>
  <c r="N54" i="6"/>
  <c r="M54" i="6"/>
  <c r="L54" i="6"/>
  <c r="K54" i="6"/>
  <c r="Q53" i="6"/>
  <c r="P53" i="6"/>
  <c r="O53" i="6"/>
  <c r="N53" i="6"/>
  <c r="M53" i="6"/>
  <c r="L53" i="6"/>
  <c r="K53" i="6"/>
  <c r="Q52" i="6"/>
  <c r="P52" i="6"/>
  <c r="O52" i="6"/>
  <c r="N52" i="6"/>
  <c r="M52" i="6"/>
  <c r="L52" i="6"/>
  <c r="K52" i="6"/>
  <c r="Q51" i="6"/>
  <c r="P51" i="6"/>
  <c r="O51" i="6"/>
  <c r="N51" i="6"/>
  <c r="M51" i="6"/>
  <c r="L51" i="6"/>
  <c r="K51" i="6"/>
  <c r="Q50" i="6"/>
  <c r="P50" i="6"/>
  <c r="O50" i="6"/>
  <c r="N50" i="6"/>
  <c r="M50" i="6"/>
  <c r="L50" i="6"/>
  <c r="K50" i="6"/>
  <c r="Q49" i="6"/>
  <c r="P49" i="6"/>
  <c r="O49" i="6"/>
  <c r="N49" i="6"/>
  <c r="M49" i="6"/>
  <c r="L49" i="6"/>
  <c r="K49" i="6"/>
  <c r="Q48" i="6"/>
  <c r="P48" i="6"/>
  <c r="O48" i="6"/>
  <c r="N48" i="6"/>
  <c r="M48" i="6"/>
  <c r="L48" i="6"/>
  <c r="K48" i="6"/>
  <c r="Q47" i="6"/>
  <c r="P47" i="6"/>
  <c r="O47" i="6"/>
  <c r="N47" i="6"/>
  <c r="M47" i="6"/>
  <c r="L47" i="6"/>
  <c r="K47" i="6"/>
  <c r="Q46" i="6"/>
  <c r="P46" i="6"/>
  <c r="O46" i="6"/>
  <c r="N46" i="6"/>
  <c r="M46" i="6"/>
  <c r="L46" i="6"/>
  <c r="K46" i="6"/>
  <c r="Q45" i="6"/>
  <c r="P45" i="6"/>
  <c r="O45" i="6"/>
  <c r="N45" i="6"/>
  <c r="M45" i="6"/>
  <c r="L45" i="6"/>
  <c r="K45" i="6"/>
  <c r="Q44" i="6"/>
  <c r="P44" i="6"/>
  <c r="O44" i="6"/>
  <c r="N44" i="6"/>
  <c r="M44" i="6"/>
  <c r="L44" i="6"/>
  <c r="K44" i="6"/>
  <c r="Q43" i="6"/>
  <c r="P43" i="6"/>
  <c r="O43" i="6"/>
  <c r="N43" i="6"/>
  <c r="M43" i="6"/>
  <c r="L43" i="6"/>
  <c r="K43" i="6"/>
  <c r="Q42" i="6"/>
  <c r="P42" i="6"/>
  <c r="O42" i="6"/>
  <c r="N42" i="6"/>
  <c r="M42" i="6"/>
  <c r="L42" i="6"/>
  <c r="K42" i="6"/>
  <c r="Q41" i="6"/>
  <c r="P41" i="6"/>
  <c r="O41" i="6"/>
  <c r="N41" i="6"/>
  <c r="M41" i="6"/>
  <c r="L41" i="6"/>
  <c r="K41" i="6"/>
  <c r="Q40" i="6"/>
  <c r="P40" i="6"/>
  <c r="O40" i="6"/>
  <c r="N40" i="6"/>
  <c r="M40" i="6"/>
  <c r="L40" i="6"/>
  <c r="K40" i="6"/>
  <c r="Q39" i="6"/>
  <c r="P39" i="6"/>
  <c r="O39" i="6"/>
  <c r="N39" i="6"/>
  <c r="M39" i="6"/>
  <c r="L39" i="6"/>
  <c r="K39" i="6"/>
  <c r="Q38" i="6"/>
  <c r="P38" i="6"/>
  <c r="O38" i="6"/>
  <c r="N38" i="6"/>
  <c r="M38" i="6"/>
  <c r="L38" i="6"/>
  <c r="K38" i="6"/>
  <c r="Q37" i="6"/>
  <c r="P37" i="6"/>
  <c r="O37" i="6"/>
  <c r="N37" i="6"/>
  <c r="M37" i="6"/>
  <c r="L37" i="6"/>
  <c r="K37" i="6"/>
  <c r="Q36" i="6"/>
  <c r="P36" i="6"/>
  <c r="O36" i="6"/>
  <c r="N36" i="6"/>
  <c r="M36" i="6"/>
  <c r="L36" i="6"/>
  <c r="K36" i="6"/>
  <c r="Q35" i="6"/>
  <c r="P35" i="6"/>
  <c r="O35" i="6"/>
  <c r="N35" i="6"/>
  <c r="M35" i="6"/>
  <c r="L35" i="6"/>
  <c r="K35" i="6"/>
  <c r="Q34" i="6"/>
  <c r="P34" i="6"/>
  <c r="O34" i="6"/>
  <c r="N34" i="6"/>
  <c r="M34" i="6"/>
  <c r="L34" i="6"/>
  <c r="K34" i="6"/>
  <c r="Q33" i="6"/>
  <c r="P33" i="6"/>
  <c r="O33" i="6"/>
  <c r="N33" i="6"/>
  <c r="M33" i="6"/>
  <c r="L33" i="6"/>
  <c r="K33" i="6"/>
  <c r="Q32" i="6"/>
  <c r="P32" i="6"/>
  <c r="O32" i="6"/>
  <c r="N32" i="6"/>
  <c r="M32" i="6"/>
  <c r="L32" i="6"/>
  <c r="K32" i="6"/>
  <c r="Q31" i="6"/>
  <c r="P31" i="6"/>
  <c r="O31" i="6"/>
  <c r="N31" i="6"/>
  <c r="M31" i="6"/>
  <c r="L31" i="6"/>
  <c r="K31" i="6"/>
  <c r="Q30" i="6"/>
  <c r="P30" i="6"/>
  <c r="O30" i="6"/>
  <c r="N30" i="6"/>
  <c r="M30" i="6"/>
  <c r="L30" i="6"/>
  <c r="K30" i="6"/>
  <c r="Q29" i="6"/>
  <c r="P29" i="6"/>
  <c r="O29" i="6"/>
  <c r="N29" i="6"/>
  <c r="M29" i="6"/>
  <c r="L29" i="6"/>
  <c r="K29" i="6"/>
  <c r="Q28" i="6"/>
  <c r="P28" i="6"/>
  <c r="O28" i="6"/>
  <c r="N28" i="6"/>
  <c r="M28" i="6"/>
  <c r="L28" i="6"/>
  <c r="K28" i="6"/>
  <c r="Q27" i="6"/>
  <c r="P27" i="6"/>
  <c r="O27" i="6"/>
  <c r="N27" i="6"/>
  <c r="M27" i="6"/>
  <c r="L27" i="6"/>
  <c r="K27" i="6"/>
  <c r="Q26" i="6"/>
  <c r="P26" i="6"/>
  <c r="O26" i="6"/>
  <c r="N26" i="6"/>
  <c r="M26" i="6"/>
  <c r="L26" i="6"/>
  <c r="K26" i="6"/>
  <c r="Q25" i="6"/>
  <c r="P25" i="6"/>
  <c r="O25" i="6"/>
  <c r="N25" i="6"/>
  <c r="M25" i="6"/>
  <c r="L25" i="6"/>
  <c r="K25" i="6"/>
  <c r="Q24" i="6"/>
  <c r="P24" i="6"/>
  <c r="O24" i="6"/>
  <c r="N24" i="6"/>
  <c r="M24" i="6"/>
  <c r="L24" i="6"/>
  <c r="K24" i="6"/>
  <c r="Q23" i="6"/>
  <c r="P23" i="6"/>
  <c r="O23" i="6"/>
  <c r="N23" i="6"/>
  <c r="M23" i="6"/>
  <c r="L23" i="6"/>
  <c r="K23" i="6"/>
  <c r="Q22" i="6"/>
  <c r="P22" i="6"/>
  <c r="O22" i="6"/>
  <c r="N22" i="6"/>
  <c r="M22" i="6"/>
  <c r="L22" i="6"/>
  <c r="K22" i="6"/>
  <c r="Q21" i="6"/>
  <c r="P21" i="6"/>
  <c r="O21" i="6"/>
  <c r="N21" i="6"/>
  <c r="M21" i="6"/>
  <c r="L21" i="6"/>
  <c r="K21" i="6"/>
  <c r="Q20" i="6"/>
  <c r="P20" i="6"/>
  <c r="O20" i="6"/>
  <c r="N20" i="6"/>
  <c r="M20" i="6"/>
  <c r="L20" i="6"/>
  <c r="K20" i="6"/>
  <c r="Q19" i="6"/>
  <c r="P19" i="6"/>
  <c r="O19" i="6"/>
  <c r="N19" i="6"/>
  <c r="M19" i="6"/>
  <c r="L19" i="6"/>
  <c r="K19" i="6"/>
  <c r="Q18" i="6"/>
  <c r="P18" i="6"/>
  <c r="O18" i="6"/>
  <c r="N18" i="6"/>
  <c r="M18" i="6"/>
  <c r="L18" i="6"/>
  <c r="K18" i="6"/>
  <c r="Q17" i="6"/>
  <c r="P17" i="6"/>
  <c r="O17" i="6"/>
  <c r="N17" i="6"/>
  <c r="M17" i="6"/>
  <c r="L17" i="6"/>
  <c r="K17" i="6"/>
  <c r="Q16" i="6"/>
  <c r="P16" i="6"/>
  <c r="O16" i="6"/>
  <c r="N16" i="6"/>
  <c r="M16" i="6"/>
  <c r="L16" i="6"/>
  <c r="K16" i="6"/>
  <c r="Q15" i="6"/>
  <c r="P15" i="6"/>
  <c r="O15" i="6"/>
  <c r="N15" i="6"/>
  <c r="M15" i="6"/>
  <c r="L15" i="6"/>
  <c r="K15" i="6"/>
  <c r="Q14" i="6"/>
  <c r="P14" i="6"/>
  <c r="O14" i="6"/>
  <c r="N14" i="6"/>
  <c r="M14" i="6"/>
  <c r="L14" i="6"/>
  <c r="K14" i="6"/>
  <c r="Q13" i="6"/>
  <c r="P13" i="6"/>
  <c r="O13" i="6"/>
  <c r="N13" i="6"/>
  <c r="M13" i="6"/>
  <c r="L13" i="6"/>
  <c r="K13" i="6"/>
  <c r="Q12" i="6"/>
  <c r="P12" i="6"/>
  <c r="O12" i="6"/>
  <c r="N12" i="6"/>
  <c r="M12" i="6"/>
  <c r="L12" i="6"/>
  <c r="K12" i="6"/>
  <c r="Q11" i="6"/>
  <c r="P11" i="6"/>
  <c r="O11" i="6"/>
  <c r="N11" i="6"/>
  <c r="M11" i="6"/>
  <c r="L11" i="6"/>
  <c r="K11" i="6"/>
  <c r="Q10" i="6"/>
  <c r="P10" i="6"/>
  <c r="O10" i="6"/>
  <c r="N10" i="6"/>
  <c r="M10" i="6"/>
  <c r="L10" i="6"/>
  <c r="K10" i="6"/>
  <c r="Q9" i="6"/>
  <c r="P9" i="6"/>
  <c r="O9" i="6"/>
  <c r="N9" i="6"/>
  <c r="M9" i="6"/>
  <c r="L9" i="6"/>
  <c r="K9" i="6"/>
  <c r="Q8" i="6"/>
  <c r="P8" i="6"/>
  <c r="O8" i="6"/>
  <c r="N8" i="6"/>
  <c r="M8" i="6"/>
  <c r="L8" i="6"/>
  <c r="K8" i="6"/>
  <c r="Q7" i="6"/>
  <c r="P7" i="6"/>
  <c r="O7" i="6"/>
  <c r="N7" i="6"/>
  <c r="M7" i="6"/>
  <c r="L7" i="6"/>
  <c r="K7" i="6"/>
  <c r="Q6" i="6"/>
  <c r="P6" i="6"/>
  <c r="O6" i="6"/>
  <c r="N6" i="6"/>
  <c r="M6" i="6"/>
  <c r="L6" i="6"/>
  <c r="K6" i="6"/>
  <c r="Q5" i="6"/>
  <c r="P5" i="6"/>
  <c r="O5" i="6"/>
  <c r="N5" i="6"/>
  <c r="M5" i="6"/>
  <c r="L5" i="6"/>
  <c r="K5" i="6"/>
  <c r="Q4" i="6"/>
  <c r="P4" i="6"/>
  <c r="O4" i="6"/>
  <c r="N4" i="6"/>
  <c r="M4" i="6"/>
  <c r="L4" i="6"/>
  <c r="K4" i="6"/>
  <c r="Q3" i="6"/>
  <c r="P3" i="6"/>
  <c r="O3" i="6"/>
  <c r="N3" i="6"/>
  <c r="M3" i="6"/>
  <c r="L3" i="6"/>
  <c r="K3" i="6"/>
  <c r="Q2" i="6"/>
  <c r="P2" i="6"/>
  <c r="O2" i="6"/>
  <c r="N2" i="6"/>
  <c r="M2" i="6"/>
  <c r="L2" i="6"/>
  <c r="K2" i="6"/>
  <c r="J257" i="6"/>
  <c r="J256" i="6"/>
  <c r="J255" i="6"/>
  <c r="J254" i="6"/>
  <c r="J253" i="6"/>
  <c r="J252" i="6"/>
  <c r="J251" i="6"/>
  <c r="J250" i="6"/>
  <c r="J249" i="6"/>
  <c r="J248" i="6"/>
  <c r="J247" i="6"/>
  <c r="J246" i="6"/>
  <c r="J245" i="6"/>
  <c r="J244" i="6"/>
  <c r="J243" i="6"/>
  <c r="J242" i="6"/>
  <c r="J241" i="6"/>
  <c r="J240" i="6"/>
  <c r="J239" i="6"/>
  <c r="J238" i="6"/>
  <c r="J237" i="6"/>
  <c r="J236" i="6"/>
  <c r="J235" i="6"/>
  <c r="J234" i="6"/>
  <c r="J233" i="6"/>
  <c r="J232" i="6"/>
  <c r="J231" i="6"/>
  <c r="J230" i="6"/>
  <c r="J229" i="6"/>
  <c r="J228" i="6"/>
  <c r="J227" i="6"/>
  <c r="J226" i="6"/>
  <c r="J225" i="6"/>
  <c r="J224" i="6"/>
  <c r="J223" i="6"/>
  <c r="J222" i="6"/>
  <c r="J221" i="6"/>
  <c r="J220" i="6"/>
  <c r="J219" i="6"/>
  <c r="J218" i="6"/>
  <c r="J217" i="6"/>
  <c r="J216" i="6"/>
  <c r="J215" i="6"/>
  <c r="J214" i="6"/>
  <c r="J213" i="6"/>
  <c r="J212" i="6"/>
  <c r="J211" i="6"/>
  <c r="J210" i="6"/>
  <c r="J209" i="6"/>
  <c r="J208" i="6"/>
  <c r="J207" i="6"/>
  <c r="J206" i="6"/>
  <c r="J205" i="6"/>
  <c r="J204" i="6"/>
  <c r="J203" i="6"/>
  <c r="J202" i="6"/>
  <c r="J201" i="6"/>
  <c r="J200" i="6"/>
  <c r="J199" i="6"/>
  <c r="J198" i="6"/>
  <c r="J197" i="6"/>
  <c r="J196" i="6"/>
  <c r="J195" i="6"/>
  <c r="J194" i="6"/>
  <c r="J193" i="6"/>
  <c r="J192" i="6"/>
  <c r="J191" i="6"/>
  <c r="J190" i="6"/>
  <c r="J189" i="6"/>
  <c r="J188" i="6"/>
  <c r="J187" i="6"/>
  <c r="J186" i="6"/>
  <c r="J185" i="6"/>
  <c r="J184" i="6"/>
  <c r="J183" i="6"/>
  <c r="J182" i="6"/>
  <c r="J181" i="6"/>
  <c r="J180" i="6"/>
  <c r="J179" i="6"/>
  <c r="J178" i="6"/>
  <c r="J177" i="6"/>
  <c r="J176" i="6"/>
  <c r="J175" i="6"/>
  <c r="J174" i="6"/>
  <c r="J173" i="6"/>
  <c r="J172" i="6"/>
  <c r="J171" i="6"/>
  <c r="J170" i="6"/>
  <c r="J169" i="6"/>
  <c r="J168" i="6"/>
  <c r="J167" i="6"/>
  <c r="J166" i="6"/>
  <c r="J165" i="6"/>
  <c r="J164" i="6"/>
  <c r="J163" i="6"/>
  <c r="J162" i="6"/>
  <c r="J161" i="6"/>
  <c r="J160" i="6"/>
  <c r="J159" i="6"/>
  <c r="J158" i="6"/>
  <c r="J157" i="6"/>
  <c r="J156" i="6"/>
  <c r="J155" i="6"/>
  <c r="J154" i="6"/>
  <c r="J153" i="6"/>
  <c r="J152" i="6"/>
  <c r="J151" i="6"/>
  <c r="J150" i="6"/>
  <c r="J149" i="6"/>
  <c r="J148" i="6"/>
  <c r="J147" i="6"/>
  <c r="J146" i="6"/>
  <c r="J145" i="6"/>
  <c r="J144" i="6"/>
  <c r="J143" i="6"/>
  <c r="J142" i="6"/>
  <c r="J141" i="6"/>
  <c r="J140" i="6"/>
  <c r="J139" i="6"/>
  <c r="J138" i="6"/>
  <c r="J137" i="6"/>
  <c r="J136" i="6"/>
  <c r="J135" i="6"/>
  <c r="J134" i="6"/>
  <c r="J133" i="6"/>
  <c r="J132" i="6"/>
  <c r="J131" i="6"/>
  <c r="J130" i="6"/>
  <c r="J129" i="6"/>
  <c r="J128" i="6"/>
  <c r="J127" i="6"/>
  <c r="J126" i="6"/>
  <c r="J125" i="6"/>
  <c r="J124" i="6"/>
  <c r="J123" i="6"/>
  <c r="J122" i="6"/>
  <c r="J121" i="6"/>
  <c r="J120" i="6"/>
  <c r="J119" i="6"/>
  <c r="J118" i="6"/>
  <c r="J117" i="6"/>
  <c r="J116" i="6"/>
  <c r="J115" i="6"/>
  <c r="J114" i="6"/>
  <c r="J113" i="6"/>
  <c r="J112" i="6"/>
  <c r="J111" i="6"/>
  <c r="J110" i="6"/>
  <c r="J109" i="6"/>
  <c r="J108" i="6"/>
  <c r="J107" i="6"/>
  <c r="J106" i="6"/>
  <c r="J105" i="6"/>
  <c r="J104" i="6"/>
  <c r="J103" i="6"/>
  <c r="J102" i="6"/>
  <c r="J101" i="6"/>
  <c r="J100" i="6"/>
  <c r="J99" i="6"/>
  <c r="J98" i="6"/>
  <c r="J97" i="6"/>
  <c r="J96" i="6"/>
  <c r="J95" i="6"/>
  <c r="J94" i="6"/>
  <c r="J93" i="6"/>
  <c r="J92" i="6"/>
  <c r="J91" i="6"/>
  <c r="J90" i="6"/>
  <c r="J89" i="6"/>
  <c r="J88" i="6"/>
  <c r="J87" i="6"/>
  <c r="J86" i="6"/>
  <c r="J85" i="6"/>
  <c r="J84" i="6"/>
  <c r="J83" i="6"/>
  <c r="J82" i="6"/>
  <c r="J81" i="6"/>
  <c r="J80" i="6"/>
  <c r="J79" i="6"/>
  <c r="J78" i="6"/>
  <c r="J77" i="6"/>
  <c r="J76" i="6"/>
  <c r="J75" i="6"/>
  <c r="J74" i="6"/>
  <c r="J73" i="6"/>
  <c r="J72" i="6"/>
  <c r="J71" i="6"/>
  <c r="J70" i="6"/>
  <c r="J69" i="6"/>
  <c r="J68" i="6"/>
  <c r="J67" i="6"/>
  <c r="J66" i="6"/>
  <c r="J65" i="6"/>
  <c r="J64" i="6"/>
  <c r="J63" i="6"/>
  <c r="J62" i="6"/>
  <c r="J61" i="6"/>
  <c r="J60" i="6"/>
  <c r="J59" i="6"/>
  <c r="J58" i="6"/>
  <c r="J57" i="6"/>
  <c r="J56" i="6"/>
  <c r="J55" i="6"/>
  <c r="J54" i="6"/>
  <c r="J53" i="6"/>
  <c r="J52" i="6"/>
  <c r="J51" i="6"/>
  <c r="J50" i="6"/>
  <c r="J49" i="6"/>
  <c r="J48" i="6"/>
  <c r="J47" i="6"/>
  <c r="J46" i="6"/>
  <c r="J45" i="6"/>
  <c r="J44" i="6"/>
  <c r="J43" i="6"/>
  <c r="J42" i="6"/>
  <c r="J41" i="6"/>
  <c r="J40" i="6"/>
  <c r="J39" i="6"/>
  <c r="J38" i="6"/>
  <c r="J37" i="6"/>
  <c r="J36" i="6"/>
  <c r="J35" i="6"/>
  <c r="J34" i="6"/>
  <c r="J33" i="6"/>
  <c r="J32" i="6"/>
  <c r="J31" i="6"/>
  <c r="J30" i="6"/>
  <c r="J29" i="6"/>
  <c r="J28" i="6"/>
  <c r="J27" i="6"/>
  <c r="J26" i="6"/>
  <c r="J25" i="6"/>
  <c r="J24" i="6"/>
  <c r="J23" i="6"/>
  <c r="J22" i="6"/>
  <c r="J21" i="6"/>
  <c r="J20" i="6"/>
  <c r="J19" i="6"/>
  <c r="J18" i="6"/>
  <c r="J17" i="6"/>
  <c r="J16" i="6"/>
  <c r="J15" i="6"/>
  <c r="J14" i="6"/>
  <c r="J13" i="6"/>
  <c r="J12" i="6"/>
  <c r="J11" i="6"/>
  <c r="J10" i="6"/>
  <c r="J9" i="6"/>
  <c r="J8" i="6"/>
  <c r="J7" i="6"/>
  <c r="J6" i="6"/>
  <c r="J5" i="6"/>
  <c r="J4" i="6"/>
  <c r="J3" i="6"/>
  <c r="J2" i="6"/>
  <c r="R257" i="6"/>
  <c r="R256" i="6"/>
  <c r="R255" i="6"/>
  <c r="R254" i="6"/>
  <c r="R253" i="6"/>
  <c r="R252" i="6"/>
  <c r="R251" i="6"/>
  <c r="R250" i="6"/>
  <c r="R249" i="6"/>
  <c r="R248" i="6"/>
  <c r="R247" i="6"/>
  <c r="R246" i="6"/>
  <c r="R245" i="6"/>
  <c r="R244" i="6"/>
  <c r="R243" i="6"/>
  <c r="R242" i="6"/>
  <c r="R241" i="6"/>
  <c r="R240" i="6"/>
  <c r="R239" i="6"/>
  <c r="R238" i="6"/>
  <c r="R237" i="6"/>
  <c r="R236" i="6"/>
  <c r="R235" i="6"/>
  <c r="R234" i="6"/>
  <c r="R233" i="6"/>
  <c r="R232" i="6"/>
  <c r="R231" i="6"/>
  <c r="R230" i="6"/>
  <c r="R229" i="6"/>
  <c r="R228" i="6"/>
  <c r="R227" i="6"/>
  <c r="R226" i="6"/>
  <c r="R225" i="6"/>
  <c r="R224" i="6"/>
  <c r="R223" i="6"/>
  <c r="R222" i="6"/>
  <c r="R221" i="6"/>
  <c r="R220" i="6"/>
  <c r="R219" i="6"/>
  <c r="R218" i="6"/>
  <c r="R217" i="6"/>
  <c r="R216" i="6"/>
  <c r="R215" i="6"/>
  <c r="R214" i="6"/>
  <c r="R213" i="6"/>
  <c r="R212" i="6"/>
  <c r="R211" i="6"/>
  <c r="R210" i="6"/>
  <c r="R209" i="6"/>
  <c r="R208" i="6"/>
  <c r="R207" i="6"/>
  <c r="R206" i="6"/>
  <c r="R205" i="6"/>
  <c r="R204" i="6"/>
  <c r="R203" i="6"/>
  <c r="R202" i="6"/>
  <c r="R201" i="6"/>
  <c r="R200" i="6"/>
  <c r="R199" i="6"/>
  <c r="R198" i="6"/>
  <c r="R197" i="6"/>
  <c r="R196" i="6"/>
  <c r="R195" i="6"/>
  <c r="R194" i="6"/>
  <c r="R193" i="6"/>
  <c r="R192" i="6"/>
  <c r="R191" i="6"/>
  <c r="R190" i="6"/>
  <c r="R189" i="6"/>
  <c r="R188" i="6"/>
  <c r="R187" i="6"/>
  <c r="R186" i="6"/>
  <c r="R185" i="6"/>
  <c r="R184" i="6"/>
  <c r="R183" i="6"/>
  <c r="R182" i="6"/>
  <c r="R181" i="6"/>
  <c r="R180" i="6"/>
  <c r="R179" i="6"/>
  <c r="R178" i="6"/>
  <c r="R177" i="6"/>
  <c r="R176" i="6"/>
  <c r="R175" i="6"/>
  <c r="R174" i="6"/>
  <c r="R173" i="6"/>
  <c r="R172" i="6"/>
  <c r="R171" i="6"/>
  <c r="R170" i="6"/>
  <c r="R169" i="6"/>
  <c r="R168" i="6"/>
  <c r="R167" i="6"/>
  <c r="R166" i="6"/>
  <c r="R165" i="6"/>
  <c r="R164" i="6"/>
  <c r="R163" i="6"/>
  <c r="R162" i="6"/>
  <c r="R161" i="6"/>
  <c r="R160" i="6"/>
  <c r="R159" i="6"/>
  <c r="R158" i="6"/>
  <c r="R157" i="6"/>
  <c r="R156" i="6"/>
  <c r="R155" i="6"/>
  <c r="R154" i="6"/>
  <c r="R153" i="6"/>
  <c r="R152" i="6"/>
  <c r="R151" i="6"/>
  <c r="R150" i="6"/>
  <c r="R149" i="6"/>
  <c r="R148" i="6"/>
  <c r="R147" i="6"/>
  <c r="R146" i="6"/>
  <c r="R145" i="6"/>
  <c r="R144" i="6"/>
  <c r="R143" i="6"/>
  <c r="R142" i="6"/>
  <c r="R141" i="6"/>
  <c r="R140" i="6"/>
  <c r="R139" i="6"/>
  <c r="R138" i="6"/>
  <c r="R137" i="6"/>
  <c r="R136" i="6"/>
  <c r="R135" i="6"/>
  <c r="R134" i="6"/>
  <c r="R133" i="6"/>
  <c r="R132" i="6"/>
  <c r="R131" i="6"/>
  <c r="R130" i="6"/>
  <c r="R129" i="6"/>
  <c r="R128" i="6"/>
  <c r="R127" i="6"/>
  <c r="R126" i="6"/>
  <c r="R125" i="6"/>
  <c r="R124" i="6"/>
  <c r="R123" i="6"/>
  <c r="R122" i="6"/>
  <c r="R121" i="6"/>
  <c r="R120" i="6"/>
  <c r="R119" i="6"/>
  <c r="R118" i="6"/>
  <c r="R117" i="6"/>
  <c r="R116" i="6"/>
  <c r="R115" i="6"/>
  <c r="R114" i="6"/>
  <c r="R113" i="6"/>
  <c r="R112" i="6"/>
  <c r="R111" i="6"/>
  <c r="R110" i="6"/>
  <c r="R109" i="6"/>
  <c r="R108" i="6"/>
  <c r="R107" i="6"/>
  <c r="R106" i="6"/>
  <c r="R105" i="6"/>
  <c r="R104" i="6"/>
  <c r="R103" i="6"/>
  <c r="R102" i="6"/>
  <c r="R101" i="6"/>
  <c r="R100" i="6"/>
  <c r="R99" i="6"/>
  <c r="R98" i="6"/>
  <c r="R97" i="6"/>
  <c r="R96" i="6"/>
  <c r="R95" i="6"/>
  <c r="R94" i="6"/>
  <c r="R93" i="6"/>
  <c r="R92" i="6"/>
  <c r="R91" i="6"/>
  <c r="R90" i="6"/>
  <c r="R89" i="6"/>
  <c r="R88" i="6"/>
  <c r="R87" i="6"/>
  <c r="R86" i="6"/>
  <c r="R85" i="6"/>
  <c r="R84" i="6"/>
  <c r="R83" i="6"/>
  <c r="R82" i="6"/>
  <c r="R81" i="6"/>
  <c r="R80" i="6"/>
  <c r="R79" i="6"/>
  <c r="R78" i="6"/>
  <c r="R77" i="6"/>
  <c r="R76" i="6"/>
  <c r="R75" i="6"/>
  <c r="R74" i="6"/>
  <c r="R73" i="6"/>
  <c r="R72" i="6"/>
  <c r="R71" i="6"/>
  <c r="R70" i="6"/>
  <c r="R69" i="6"/>
  <c r="R68" i="6"/>
  <c r="R67" i="6"/>
  <c r="R66" i="6"/>
  <c r="R65" i="6"/>
  <c r="R64" i="6"/>
  <c r="R63" i="6"/>
  <c r="R62" i="6"/>
  <c r="R61" i="6"/>
  <c r="R60" i="6"/>
  <c r="R59" i="6"/>
  <c r="R58" i="6"/>
  <c r="R57" i="6"/>
  <c r="R56" i="6"/>
  <c r="R55" i="6"/>
  <c r="R54" i="6"/>
  <c r="R53" i="6"/>
  <c r="R52" i="6"/>
  <c r="R51" i="6"/>
  <c r="R50" i="6"/>
  <c r="R49" i="6"/>
  <c r="R48" i="6"/>
  <c r="R47" i="6"/>
  <c r="R46" i="6"/>
  <c r="R45" i="6"/>
  <c r="R44" i="6"/>
  <c r="R43" i="6"/>
  <c r="R42" i="6"/>
  <c r="R41" i="6"/>
  <c r="R40" i="6"/>
  <c r="R39" i="6"/>
  <c r="R38" i="6"/>
  <c r="R37" i="6"/>
  <c r="R36" i="6"/>
  <c r="R35" i="6"/>
  <c r="R34" i="6"/>
  <c r="R33" i="6"/>
  <c r="R32" i="6"/>
  <c r="R31" i="6"/>
  <c r="R30" i="6"/>
  <c r="R29" i="6"/>
  <c r="R28" i="6"/>
  <c r="R27" i="6"/>
  <c r="R26" i="6"/>
  <c r="R25" i="6"/>
  <c r="R24" i="6"/>
  <c r="R23" i="6"/>
  <c r="R22" i="6"/>
  <c r="R21" i="6"/>
  <c r="R20" i="6"/>
  <c r="R19" i="6"/>
  <c r="R18" i="6"/>
  <c r="R17" i="6"/>
  <c r="R16" i="6"/>
  <c r="R15" i="6"/>
  <c r="R14" i="6"/>
  <c r="R13" i="6"/>
  <c r="R12" i="6"/>
  <c r="R11" i="6"/>
  <c r="R10" i="6"/>
  <c r="R9" i="6"/>
  <c r="R8" i="6"/>
  <c r="R7" i="6"/>
  <c r="R6" i="6"/>
  <c r="R5" i="6"/>
  <c r="R4" i="6"/>
  <c r="R3" i="6"/>
  <c r="R2" i="6"/>
  <c r="R1" i="6"/>
  <c r="H257" i="5"/>
  <c r="H256" i="5"/>
  <c r="H255" i="5"/>
  <c r="H254" i="5"/>
  <c r="H253" i="5"/>
  <c r="H252" i="5"/>
  <c r="H251" i="5"/>
  <c r="H250" i="5"/>
  <c r="H249" i="5"/>
  <c r="H248" i="5"/>
  <c r="H247" i="5"/>
  <c r="H246" i="5"/>
  <c r="H245" i="5"/>
  <c r="H244" i="5"/>
  <c r="H243" i="5"/>
  <c r="H242" i="5"/>
  <c r="H241" i="5"/>
  <c r="H240" i="5"/>
  <c r="H239" i="5"/>
  <c r="H238" i="5"/>
  <c r="H237" i="5"/>
  <c r="H236" i="5"/>
  <c r="H235" i="5"/>
  <c r="H234" i="5"/>
  <c r="H233" i="5"/>
  <c r="H232" i="5"/>
  <c r="H231" i="5"/>
  <c r="H230" i="5"/>
  <c r="H229" i="5"/>
  <c r="H228" i="5"/>
  <c r="H227" i="5"/>
  <c r="H226" i="5"/>
  <c r="H225" i="5"/>
  <c r="H224" i="5"/>
  <c r="H223" i="5"/>
  <c r="H222" i="5"/>
  <c r="H221" i="5"/>
  <c r="H220" i="5"/>
  <c r="H219" i="5"/>
  <c r="H218" i="5"/>
  <c r="H217" i="5"/>
  <c r="H216" i="5"/>
  <c r="H215" i="5"/>
  <c r="H214" i="5"/>
  <c r="H213" i="5"/>
  <c r="H212" i="5"/>
  <c r="H211" i="5"/>
  <c r="H210" i="5"/>
  <c r="H209" i="5"/>
  <c r="H208" i="5"/>
  <c r="H207" i="5"/>
  <c r="H206" i="5"/>
  <c r="H205" i="5"/>
  <c r="H204" i="5"/>
  <c r="H203" i="5"/>
  <c r="H202" i="5"/>
  <c r="H201" i="5"/>
  <c r="H200" i="5"/>
  <c r="H199" i="5"/>
  <c r="H198" i="5"/>
  <c r="H197" i="5"/>
  <c r="H196" i="5"/>
  <c r="H195" i="5"/>
  <c r="H194" i="5"/>
  <c r="H193" i="5"/>
  <c r="H192" i="5"/>
  <c r="H191" i="5"/>
  <c r="H190" i="5"/>
  <c r="H189" i="5"/>
  <c r="H188" i="5"/>
  <c r="H187" i="5"/>
  <c r="H186" i="5"/>
  <c r="H185" i="5"/>
  <c r="H184" i="5"/>
  <c r="H183" i="5"/>
  <c r="H182" i="5"/>
  <c r="H181" i="5"/>
  <c r="H180" i="5"/>
  <c r="H179" i="5"/>
  <c r="H178" i="5"/>
  <c r="H177" i="5"/>
  <c r="H176" i="5"/>
  <c r="H175" i="5"/>
  <c r="H174" i="5"/>
  <c r="H173" i="5"/>
  <c r="H172" i="5"/>
  <c r="H171" i="5"/>
  <c r="H170" i="5"/>
  <c r="H169" i="5"/>
  <c r="H168" i="5"/>
  <c r="H167" i="5"/>
  <c r="H166" i="5"/>
  <c r="H165" i="5"/>
  <c r="H164" i="5"/>
  <c r="H163" i="5"/>
  <c r="H162" i="5"/>
  <c r="H161" i="5"/>
  <c r="H160" i="5"/>
  <c r="H159" i="5"/>
  <c r="H158" i="5"/>
  <c r="H157" i="5"/>
  <c r="H156" i="5"/>
  <c r="H155" i="5"/>
  <c r="H154" i="5"/>
  <c r="H153" i="5"/>
  <c r="H152" i="5"/>
  <c r="H151" i="5"/>
  <c r="H150" i="5"/>
  <c r="H149" i="5"/>
  <c r="H148" i="5"/>
  <c r="H147" i="5"/>
  <c r="H146" i="5"/>
  <c r="H145" i="5"/>
  <c r="H144" i="5"/>
  <c r="H143" i="5"/>
  <c r="H142" i="5"/>
  <c r="H141" i="5"/>
  <c r="H140" i="5"/>
  <c r="H139" i="5"/>
  <c r="H138" i="5"/>
  <c r="H137" i="5"/>
  <c r="H136" i="5"/>
  <c r="H135" i="5"/>
  <c r="H134" i="5"/>
  <c r="H133" i="5"/>
  <c r="H132" i="5"/>
  <c r="H131" i="5"/>
  <c r="H130" i="5"/>
  <c r="H129" i="5"/>
  <c r="H128" i="5"/>
  <c r="H127" i="5"/>
  <c r="H126" i="5"/>
  <c r="H125" i="5"/>
  <c r="H124" i="5"/>
  <c r="H123" i="5"/>
  <c r="H122" i="5"/>
  <c r="H121" i="5"/>
  <c r="H120" i="5"/>
  <c r="H119" i="5"/>
  <c r="H118" i="5"/>
  <c r="H117" i="5"/>
  <c r="H116" i="5"/>
  <c r="H115" i="5"/>
  <c r="H114" i="5"/>
  <c r="H113" i="5"/>
  <c r="H112" i="5"/>
  <c r="H111" i="5"/>
  <c r="H110" i="5"/>
  <c r="H109" i="5"/>
  <c r="H108" i="5"/>
  <c r="H107" i="5"/>
  <c r="H106" i="5"/>
  <c r="H105" i="5"/>
  <c r="H104" i="5"/>
  <c r="H103" i="5"/>
  <c r="H102" i="5"/>
  <c r="H101" i="5"/>
  <c r="H100" i="5"/>
  <c r="H99" i="5"/>
  <c r="H98" i="5"/>
  <c r="H97" i="5"/>
  <c r="H96" i="5"/>
  <c r="H95" i="5"/>
  <c r="H94" i="5"/>
  <c r="H93" i="5"/>
  <c r="H92" i="5"/>
  <c r="H91" i="5"/>
  <c r="H90" i="5"/>
  <c r="H89" i="5"/>
  <c r="H88" i="5"/>
  <c r="H87" i="5"/>
  <c r="H86" i="5"/>
  <c r="H85" i="5"/>
  <c r="H84" i="5"/>
  <c r="H83" i="5"/>
  <c r="H82" i="5"/>
  <c r="H81" i="5"/>
  <c r="H80" i="5"/>
  <c r="H79" i="5"/>
  <c r="H78" i="5"/>
  <c r="H77" i="5"/>
  <c r="H76" i="5"/>
  <c r="H75" i="5"/>
  <c r="H74" i="5"/>
  <c r="H73" i="5"/>
  <c r="H72" i="5"/>
  <c r="H71" i="5"/>
  <c r="H70" i="5"/>
  <c r="H69" i="5"/>
  <c r="H68" i="5"/>
  <c r="H67" i="5"/>
  <c r="H66" i="5"/>
  <c r="H65" i="5"/>
  <c r="H64" i="5"/>
  <c r="H63" i="5"/>
  <c r="H62" i="5"/>
  <c r="H61" i="5"/>
  <c r="H60" i="5"/>
  <c r="H59" i="5"/>
  <c r="H58" i="5"/>
  <c r="H57" i="5"/>
  <c r="H56" i="5"/>
  <c r="H55" i="5"/>
  <c r="H54" i="5"/>
  <c r="H53" i="5"/>
  <c r="H52" i="5"/>
  <c r="H51" i="5"/>
  <c r="H50" i="5"/>
  <c r="H49" i="5"/>
  <c r="H48" i="5"/>
  <c r="H47" i="5"/>
  <c r="H46" i="5"/>
  <c r="H45" i="5"/>
  <c r="H44" i="5"/>
  <c r="H43" i="5"/>
  <c r="H42" i="5"/>
  <c r="H41" i="5"/>
  <c r="H40" i="5"/>
  <c r="H39" i="5"/>
  <c r="H38" i="5"/>
  <c r="H37" i="5"/>
  <c r="H36" i="5"/>
  <c r="H35" i="5"/>
  <c r="H34" i="5"/>
  <c r="H33" i="5"/>
  <c r="H32" i="5"/>
  <c r="H31" i="5"/>
  <c r="H30" i="5"/>
  <c r="H29" i="5"/>
  <c r="H28" i="5"/>
  <c r="H27" i="5"/>
  <c r="H26" i="5"/>
  <c r="H25" i="5"/>
  <c r="H24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H10" i="5"/>
  <c r="H9" i="5"/>
  <c r="H8" i="5"/>
  <c r="H7" i="5"/>
  <c r="H6" i="5"/>
  <c r="H5" i="5"/>
  <c r="H4" i="5"/>
  <c r="H3" i="5"/>
  <c r="H2" i="5"/>
  <c r="O9" i="5"/>
  <c r="O8" i="5"/>
  <c r="O7" i="5"/>
  <c r="O6" i="5"/>
  <c r="O5" i="5"/>
  <c r="O4" i="5"/>
  <c r="O3" i="5"/>
  <c r="O2" i="5"/>
  <c r="N129" i="5"/>
  <c r="M129" i="5"/>
  <c r="L129" i="5"/>
  <c r="K129" i="5"/>
  <c r="J129" i="5"/>
  <c r="N128" i="5"/>
  <c r="M128" i="5"/>
  <c r="L128" i="5"/>
  <c r="K128" i="5"/>
  <c r="J128" i="5"/>
  <c r="N127" i="5"/>
  <c r="M127" i="5"/>
  <c r="L127" i="5"/>
  <c r="K127" i="5"/>
  <c r="J127" i="5"/>
  <c r="N126" i="5"/>
  <c r="M126" i="5"/>
  <c r="L126" i="5"/>
  <c r="K126" i="5"/>
  <c r="J126" i="5"/>
  <c r="N125" i="5"/>
  <c r="M125" i="5"/>
  <c r="L125" i="5"/>
  <c r="K125" i="5"/>
  <c r="J125" i="5"/>
  <c r="N124" i="5"/>
  <c r="M124" i="5"/>
  <c r="L124" i="5"/>
  <c r="K124" i="5"/>
  <c r="J124" i="5"/>
  <c r="N123" i="5"/>
  <c r="M123" i="5"/>
  <c r="L123" i="5"/>
  <c r="K123" i="5"/>
  <c r="J123" i="5"/>
  <c r="N122" i="5"/>
  <c r="M122" i="5"/>
  <c r="L122" i="5"/>
  <c r="K122" i="5"/>
  <c r="J122" i="5"/>
  <c r="N121" i="5"/>
  <c r="M121" i="5"/>
  <c r="L121" i="5"/>
  <c r="K121" i="5"/>
  <c r="J121" i="5"/>
  <c r="N120" i="5"/>
  <c r="M120" i="5"/>
  <c r="L120" i="5"/>
  <c r="K120" i="5"/>
  <c r="J120" i="5"/>
  <c r="N119" i="5"/>
  <c r="M119" i="5"/>
  <c r="L119" i="5"/>
  <c r="K119" i="5"/>
  <c r="J119" i="5"/>
  <c r="N118" i="5"/>
  <c r="M118" i="5"/>
  <c r="L118" i="5"/>
  <c r="K118" i="5"/>
  <c r="J118" i="5"/>
  <c r="N117" i="5"/>
  <c r="M117" i="5"/>
  <c r="L117" i="5"/>
  <c r="K117" i="5"/>
  <c r="J117" i="5"/>
  <c r="N116" i="5"/>
  <c r="M116" i="5"/>
  <c r="L116" i="5"/>
  <c r="K116" i="5"/>
  <c r="J116" i="5"/>
  <c r="N115" i="5"/>
  <c r="M115" i="5"/>
  <c r="L115" i="5"/>
  <c r="K115" i="5"/>
  <c r="J115" i="5"/>
  <c r="N114" i="5"/>
  <c r="M114" i="5"/>
  <c r="L114" i="5"/>
  <c r="K114" i="5"/>
  <c r="J114" i="5"/>
  <c r="N113" i="5"/>
  <c r="M113" i="5"/>
  <c r="L113" i="5"/>
  <c r="K113" i="5"/>
  <c r="J113" i="5"/>
  <c r="N112" i="5"/>
  <c r="M112" i="5"/>
  <c r="L112" i="5"/>
  <c r="K112" i="5"/>
  <c r="J112" i="5"/>
  <c r="N111" i="5"/>
  <c r="M111" i="5"/>
  <c r="L111" i="5"/>
  <c r="K111" i="5"/>
  <c r="J111" i="5"/>
  <c r="N110" i="5"/>
  <c r="M110" i="5"/>
  <c r="L110" i="5"/>
  <c r="K110" i="5"/>
  <c r="J110" i="5"/>
  <c r="N109" i="5"/>
  <c r="M109" i="5"/>
  <c r="L109" i="5"/>
  <c r="K109" i="5"/>
  <c r="J109" i="5"/>
  <c r="N108" i="5"/>
  <c r="M108" i="5"/>
  <c r="L108" i="5"/>
  <c r="K108" i="5"/>
  <c r="J108" i="5"/>
  <c r="N107" i="5"/>
  <c r="M107" i="5"/>
  <c r="L107" i="5"/>
  <c r="K107" i="5"/>
  <c r="J107" i="5"/>
  <c r="N106" i="5"/>
  <c r="M106" i="5"/>
  <c r="L106" i="5"/>
  <c r="K106" i="5"/>
  <c r="J106" i="5"/>
  <c r="N105" i="5"/>
  <c r="M105" i="5"/>
  <c r="L105" i="5"/>
  <c r="K105" i="5"/>
  <c r="J105" i="5"/>
  <c r="N104" i="5"/>
  <c r="M104" i="5"/>
  <c r="L104" i="5"/>
  <c r="K104" i="5"/>
  <c r="J104" i="5"/>
  <c r="N103" i="5"/>
  <c r="M103" i="5"/>
  <c r="L103" i="5"/>
  <c r="K103" i="5"/>
  <c r="J103" i="5"/>
  <c r="N102" i="5"/>
  <c r="M102" i="5"/>
  <c r="L102" i="5"/>
  <c r="K102" i="5"/>
  <c r="J102" i="5"/>
  <c r="N101" i="5"/>
  <c r="M101" i="5"/>
  <c r="L101" i="5"/>
  <c r="K101" i="5"/>
  <c r="J101" i="5"/>
  <c r="N100" i="5"/>
  <c r="M100" i="5"/>
  <c r="L100" i="5"/>
  <c r="K100" i="5"/>
  <c r="J100" i="5"/>
  <c r="N99" i="5"/>
  <c r="M99" i="5"/>
  <c r="L99" i="5"/>
  <c r="K99" i="5"/>
  <c r="J99" i="5"/>
  <c r="N98" i="5"/>
  <c r="M98" i="5"/>
  <c r="L98" i="5"/>
  <c r="K98" i="5"/>
  <c r="J98" i="5"/>
  <c r="N97" i="5"/>
  <c r="M97" i="5"/>
  <c r="L97" i="5"/>
  <c r="K97" i="5"/>
  <c r="J97" i="5"/>
  <c r="N96" i="5"/>
  <c r="M96" i="5"/>
  <c r="L96" i="5"/>
  <c r="K96" i="5"/>
  <c r="J96" i="5"/>
  <c r="N95" i="5"/>
  <c r="M95" i="5"/>
  <c r="L95" i="5"/>
  <c r="K95" i="5"/>
  <c r="J95" i="5"/>
  <c r="N94" i="5"/>
  <c r="M94" i="5"/>
  <c r="L94" i="5"/>
  <c r="K94" i="5"/>
  <c r="J94" i="5"/>
  <c r="N93" i="5"/>
  <c r="M93" i="5"/>
  <c r="L93" i="5"/>
  <c r="K93" i="5"/>
  <c r="J93" i="5"/>
  <c r="N92" i="5"/>
  <c r="M92" i="5"/>
  <c r="L92" i="5"/>
  <c r="K92" i="5"/>
  <c r="J92" i="5"/>
  <c r="N91" i="5"/>
  <c r="M91" i="5"/>
  <c r="L91" i="5"/>
  <c r="K91" i="5"/>
  <c r="J91" i="5"/>
  <c r="N90" i="5"/>
  <c r="M90" i="5"/>
  <c r="L90" i="5"/>
  <c r="K90" i="5"/>
  <c r="J90" i="5"/>
  <c r="N89" i="5"/>
  <c r="M89" i="5"/>
  <c r="L89" i="5"/>
  <c r="K89" i="5"/>
  <c r="J89" i="5"/>
  <c r="N88" i="5"/>
  <c r="M88" i="5"/>
  <c r="L88" i="5"/>
  <c r="K88" i="5"/>
  <c r="J88" i="5"/>
  <c r="N87" i="5"/>
  <c r="M87" i="5"/>
  <c r="L87" i="5"/>
  <c r="K87" i="5"/>
  <c r="J87" i="5"/>
  <c r="N86" i="5"/>
  <c r="M86" i="5"/>
  <c r="L86" i="5"/>
  <c r="K86" i="5"/>
  <c r="J86" i="5"/>
  <c r="N85" i="5"/>
  <c r="M85" i="5"/>
  <c r="L85" i="5"/>
  <c r="K85" i="5"/>
  <c r="J85" i="5"/>
  <c r="N84" i="5"/>
  <c r="M84" i="5"/>
  <c r="L84" i="5"/>
  <c r="K84" i="5"/>
  <c r="J84" i="5"/>
  <c r="N83" i="5"/>
  <c r="M83" i="5"/>
  <c r="L83" i="5"/>
  <c r="K83" i="5"/>
  <c r="J83" i="5"/>
  <c r="N82" i="5"/>
  <c r="M82" i="5"/>
  <c r="L82" i="5"/>
  <c r="K82" i="5"/>
  <c r="J82" i="5"/>
  <c r="N81" i="5"/>
  <c r="M81" i="5"/>
  <c r="L81" i="5"/>
  <c r="K81" i="5"/>
  <c r="J81" i="5"/>
  <c r="N80" i="5"/>
  <c r="M80" i="5"/>
  <c r="L80" i="5"/>
  <c r="K80" i="5"/>
  <c r="J80" i="5"/>
  <c r="N79" i="5"/>
  <c r="M79" i="5"/>
  <c r="L79" i="5"/>
  <c r="K79" i="5"/>
  <c r="J79" i="5"/>
  <c r="N78" i="5"/>
  <c r="M78" i="5"/>
  <c r="L78" i="5"/>
  <c r="K78" i="5"/>
  <c r="J78" i="5"/>
  <c r="N77" i="5"/>
  <c r="M77" i="5"/>
  <c r="L77" i="5"/>
  <c r="K77" i="5"/>
  <c r="J77" i="5"/>
  <c r="N76" i="5"/>
  <c r="M76" i="5"/>
  <c r="L76" i="5"/>
  <c r="K76" i="5"/>
  <c r="J76" i="5"/>
  <c r="N75" i="5"/>
  <c r="M75" i="5"/>
  <c r="L75" i="5"/>
  <c r="K75" i="5"/>
  <c r="J75" i="5"/>
  <c r="N74" i="5"/>
  <c r="M74" i="5"/>
  <c r="L74" i="5"/>
  <c r="K74" i="5"/>
  <c r="J74" i="5"/>
  <c r="N73" i="5"/>
  <c r="M73" i="5"/>
  <c r="L73" i="5"/>
  <c r="K73" i="5"/>
  <c r="J73" i="5"/>
  <c r="N72" i="5"/>
  <c r="M72" i="5"/>
  <c r="L72" i="5"/>
  <c r="K72" i="5"/>
  <c r="J72" i="5"/>
  <c r="N71" i="5"/>
  <c r="M71" i="5"/>
  <c r="L71" i="5"/>
  <c r="K71" i="5"/>
  <c r="J71" i="5"/>
  <c r="N70" i="5"/>
  <c r="M70" i="5"/>
  <c r="L70" i="5"/>
  <c r="K70" i="5"/>
  <c r="J70" i="5"/>
  <c r="N69" i="5"/>
  <c r="M69" i="5"/>
  <c r="L69" i="5"/>
  <c r="K69" i="5"/>
  <c r="J69" i="5"/>
  <c r="N68" i="5"/>
  <c r="M68" i="5"/>
  <c r="L68" i="5"/>
  <c r="K68" i="5"/>
  <c r="J68" i="5"/>
  <c r="N67" i="5"/>
  <c r="M67" i="5"/>
  <c r="L67" i="5"/>
  <c r="K67" i="5"/>
  <c r="J67" i="5"/>
  <c r="N66" i="5"/>
  <c r="M66" i="5"/>
  <c r="L66" i="5"/>
  <c r="K66" i="5"/>
  <c r="J66" i="5"/>
  <c r="N65" i="5"/>
  <c r="M65" i="5"/>
  <c r="L65" i="5"/>
  <c r="K65" i="5"/>
  <c r="J65" i="5"/>
  <c r="N64" i="5"/>
  <c r="M64" i="5"/>
  <c r="L64" i="5"/>
  <c r="K64" i="5"/>
  <c r="J64" i="5"/>
  <c r="N63" i="5"/>
  <c r="M63" i="5"/>
  <c r="L63" i="5"/>
  <c r="K63" i="5"/>
  <c r="J63" i="5"/>
  <c r="N62" i="5"/>
  <c r="M62" i="5"/>
  <c r="L62" i="5"/>
  <c r="K62" i="5"/>
  <c r="J62" i="5"/>
  <c r="N61" i="5"/>
  <c r="M61" i="5"/>
  <c r="L61" i="5"/>
  <c r="K61" i="5"/>
  <c r="J61" i="5"/>
  <c r="N60" i="5"/>
  <c r="M60" i="5"/>
  <c r="L60" i="5"/>
  <c r="K60" i="5"/>
  <c r="J60" i="5"/>
  <c r="N59" i="5"/>
  <c r="M59" i="5"/>
  <c r="L59" i="5"/>
  <c r="K59" i="5"/>
  <c r="J59" i="5"/>
  <c r="N58" i="5"/>
  <c r="M58" i="5"/>
  <c r="L58" i="5"/>
  <c r="K58" i="5"/>
  <c r="J58" i="5"/>
  <c r="N57" i="5"/>
  <c r="M57" i="5"/>
  <c r="L57" i="5"/>
  <c r="K57" i="5"/>
  <c r="J57" i="5"/>
  <c r="N56" i="5"/>
  <c r="M56" i="5"/>
  <c r="L56" i="5"/>
  <c r="K56" i="5"/>
  <c r="J56" i="5"/>
  <c r="N55" i="5"/>
  <c r="M55" i="5"/>
  <c r="L55" i="5"/>
  <c r="K55" i="5"/>
  <c r="J55" i="5"/>
  <c r="N54" i="5"/>
  <c r="M54" i="5"/>
  <c r="L54" i="5"/>
  <c r="K54" i="5"/>
  <c r="J54" i="5"/>
  <c r="N53" i="5"/>
  <c r="M53" i="5"/>
  <c r="L53" i="5"/>
  <c r="K53" i="5"/>
  <c r="J53" i="5"/>
  <c r="N52" i="5"/>
  <c r="M52" i="5"/>
  <c r="L52" i="5"/>
  <c r="K52" i="5"/>
  <c r="J52" i="5"/>
  <c r="N51" i="5"/>
  <c r="M51" i="5"/>
  <c r="L51" i="5"/>
  <c r="K51" i="5"/>
  <c r="J51" i="5"/>
  <c r="N50" i="5"/>
  <c r="M50" i="5"/>
  <c r="L50" i="5"/>
  <c r="K50" i="5"/>
  <c r="J50" i="5"/>
  <c r="N49" i="5"/>
  <c r="M49" i="5"/>
  <c r="L49" i="5"/>
  <c r="K49" i="5"/>
  <c r="J49" i="5"/>
  <c r="N48" i="5"/>
  <c r="M48" i="5"/>
  <c r="L48" i="5"/>
  <c r="K48" i="5"/>
  <c r="J48" i="5"/>
  <c r="N47" i="5"/>
  <c r="M47" i="5"/>
  <c r="L47" i="5"/>
  <c r="K47" i="5"/>
  <c r="J47" i="5"/>
  <c r="N46" i="5"/>
  <c r="M46" i="5"/>
  <c r="L46" i="5"/>
  <c r="K46" i="5"/>
  <c r="J46" i="5"/>
  <c r="N45" i="5"/>
  <c r="M45" i="5"/>
  <c r="L45" i="5"/>
  <c r="K45" i="5"/>
  <c r="J45" i="5"/>
  <c r="N44" i="5"/>
  <c r="M44" i="5"/>
  <c r="L44" i="5"/>
  <c r="K44" i="5"/>
  <c r="J44" i="5"/>
  <c r="N43" i="5"/>
  <c r="M43" i="5"/>
  <c r="L43" i="5"/>
  <c r="K43" i="5"/>
  <c r="J43" i="5"/>
  <c r="N42" i="5"/>
  <c r="M42" i="5"/>
  <c r="L42" i="5"/>
  <c r="K42" i="5"/>
  <c r="J42" i="5"/>
  <c r="N41" i="5"/>
  <c r="M41" i="5"/>
  <c r="L41" i="5"/>
  <c r="K41" i="5"/>
  <c r="J41" i="5"/>
  <c r="N40" i="5"/>
  <c r="M40" i="5"/>
  <c r="L40" i="5"/>
  <c r="K40" i="5"/>
  <c r="J40" i="5"/>
  <c r="N39" i="5"/>
  <c r="M39" i="5"/>
  <c r="L39" i="5"/>
  <c r="K39" i="5"/>
  <c r="J39" i="5"/>
  <c r="N38" i="5"/>
  <c r="M38" i="5"/>
  <c r="L38" i="5"/>
  <c r="K38" i="5"/>
  <c r="J38" i="5"/>
  <c r="N37" i="5"/>
  <c r="M37" i="5"/>
  <c r="L37" i="5"/>
  <c r="K37" i="5"/>
  <c r="J37" i="5"/>
  <c r="N36" i="5"/>
  <c r="M36" i="5"/>
  <c r="L36" i="5"/>
  <c r="K36" i="5"/>
  <c r="J36" i="5"/>
  <c r="N35" i="5"/>
  <c r="M35" i="5"/>
  <c r="L35" i="5"/>
  <c r="K35" i="5"/>
  <c r="J35" i="5"/>
  <c r="N34" i="5"/>
  <c r="M34" i="5"/>
  <c r="L34" i="5"/>
  <c r="K34" i="5"/>
  <c r="J34" i="5"/>
  <c r="N33" i="5"/>
  <c r="M33" i="5"/>
  <c r="L33" i="5"/>
  <c r="K33" i="5"/>
  <c r="J33" i="5"/>
  <c r="N32" i="5"/>
  <c r="M32" i="5"/>
  <c r="L32" i="5"/>
  <c r="K32" i="5"/>
  <c r="J32" i="5"/>
  <c r="N31" i="5"/>
  <c r="M31" i="5"/>
  <c r="L31" i="5"/>
  <c r="K31" i="5"/>
  <c r="J31" i="5"/>
  <c r="N30" i="5"/>
  <c r="M30" i="5"/>
  <c r="L30" i="5"/>
  <c r="K30" i="5"/>
  <c r="J30" i="5"/>
  <c r="N29" i="5"/>
  <c r="M29" i="5"/>
  <c r="L29" i="5"/>
  <c r="K29" i="5"/>
  <c r="J29" i="5"/>
  <c r="N28" i="5"/>
  <c r="M28" i="5"/>
  <c r="L28" i="5"/>
  <c r="K28" i="5"/>
  <c r="J28" i="5"/>
  <c r="N27" i="5"/>
  <c r="M27" i="5"/>
  <c r="L27" i="5"/>
  <c r="K27" i="5"/>
  <c r="J27" i="5"/>
  <c r="N26" i="5"/>
  <c r="M26" i="5"/>
  <c r="L26" i="5"/>
  <c r="K26" i="5"/>
  <c r="J26" i="5"/>
  <c r="N25" i="5"/>
  <c r="M25" i="5"/>
  <c r="L25" i="5"/>
  <c r="K25" i="5"/>
  <c r="J25" i="5"/>
  <c r="N24" i="5"/>
  <c r="M24" i="5"/>
  <c r="L24" i="5"/>
  <c r="K24" i="5"/>
  <c r="J24" i="5"/>
  <c r="N23" i="5"/>
  <c r="M23" i="5"/>
  <c r="L23" i="5"/>
  <c r="K23" i="5"/>
  <c r="J23" i="5"/>
  <c r="N22" i="5"/>
  <c r="M22" i="5"/>
  <c r="L22" i="5"/>
  <c r="K22" i="5"/>
  <c r="J22" i="5"/>
  <c r="N21" i="5"/>
  <c r="M21" i="5"/>
  <c r="L21" i="5"/>
  <c r="K21" i="5"/>
  <c r="J21" i="5"/>
  <c r="N20" i="5"/>
  <c r="M20" i="5"/>
  <c r="L20" i="5"/>
  <c r="K20" i="5"/>
  <c r="J20" i="5"/>
  <c r="N19" i="5"/>
  <c r="M19" i="5"/>
  <c r="L19" i="5"/>
  <c r="K19" i="5"/>
  <c r="J19" i="5"/>
  <c r="N18" i="5"/>
  <c r="M18" i="5"/>
  <c r="L18" i="5"/>
  <c r="K18" i="5"/>
  <c r="J18" i="5"/>
  <c r="N17" i="5"/>
  <c r="M17" i="5"/>
  <c r="L17" i="5"/>
  <c r="K17" i="5"/>
  <c r="J17" i="5"/>
  <c r="N16" i="5"/>
  <c r="M16" i="5"/>
  <c r="L16" i="5"/>
  <c r="K16" i="5"/>
  <c r="J16" i="5"/>
  <c r="N15" i="5"/>
  <c r="M15" i="5"/>
  <c r="L15" i="5"/>
  <c r="K15" i="5"/>
  <c r="J15" i="5"/>
  <c r="N14" i="5"/>
  <c r="M14" i="5"/>
  <c r="L14" i="5"/>
  <c r="K14" i="5"/>
  <c r="J14" i="5"/>
  <c r="N13" i="5"/>
  <c r="M13" i="5"/>
  <c r="L13" i="5"/>
  <c r="K13" i="5"/>
  <c r="J13" i="5"/>
  <c r="N12" i="5"/>
  <c r="M12" i="5"/>
  <c r="L12" i="5"/>
  <c r="K12" i="5"/>
  <c r="J12" i="5"/>
  <c r="N11" i="5"/>
  <c r="M11" i="5"/>
  <c r="L11" i="5"/>
  <c r="K11" i="5"/>
  <c r="J11" i="5"/>
  <c r="N10" i="5"/>
  <c r="M10" i="5"/>
  <c r="L10" i="5"/>
  <c r="K10" i="5"/>
  <c r="J10" i="5"/>
  <c r="N9" i="5"/>
  <c r="M9" i="5"/>
  <c r="L9" i="5"/>
  <c r="K9" i="5"/>
  <c r="J9" i="5"/>
  <c r="N8" i="5"/>
  <c r="M8" i="5"/>
  <c r="L8" i="5"/>
  <c r="K8" i="5"/>
  <c r="J8" i="5"/>
  <c r="N7" i="5"/>
  <c r="M7" i="5"/>
  <c r="L7" i="5"/>
  <c r="K7" i="5"/>
  <c r="J7" i="5"/>
  <c r="N6" i="5"/>
  <c r="M6" i="5"/>
  <c r="L6" i="5"/>
  <c r="K6" i="5"/>
  <c r="J6" i="5"/>
  <c r="N5" i="5"/>
  <c r="M5" i="5"/>
  <c r="L5" i="5"/>
  <c r="K5" i="5"/>
  <c r="J5" i="5"/>
  <c r="N4" i="5"/>
  <c r="M4" i="5"/>
  <c r="L4" i="5"/>
  <c r="K4" i="5"/>
  <c r="J4" i="5"/>
  <c r="N3" i="5"/>
  <c r="M3" i="5"/>
  <c r="L3" i="5"/>
  <c r="K3" i="5"/>
  <c r="J3" i="5"/>
  <c r="N2" i="5"/>
  <c r="M2" i="5"/>
  <c r="L2" i="5"/>
  <c r="K2" i="5"/>
  <c r="J2" i="5"/>
  <c r="I257" i="5"/>
  <c r="I256" i="5"/>
  <c r="I255" i="5"/>
  <c r="I254" i="5"/>
  <c r="I253" i="5"/>
  <c r="I252" i="5"/>
  <c r="I251" i="5"/>
  <c r="I250" i="5"/>
  <c r="I249" i="5"/>
  <c r="I248" i="5"/>
  <c r="I247" i="5"/>
  <c r="I246" i="5"/>
  <c r="I245" i="5"/>
  <c r="I244" i="5"/>
  <c r="I243" i="5"/>
  <c r="I242" i="5"/>
  <c r="I241" i="5"/>
  <c r="I240" i="5"/>
  <c r="I239" i="5"/>
  <c r="I238" i="5"/>
  <c r="I237" i="5"/>
  <c r="I236" i="5"/>
  <c r="I235" i="5"/>
  <c r="I234" i="5"/>
  <c r="I233" i="5"/>
  <c r="I232" i="5"/>
  <c r="I231" i="5"/>
  <c r="I230" i="5"/>
  <c r="I229" i="5"/>
  <c r="I228" i="5"/>
  <c r="I227" i="5"/>
  <c r="I226" i="5"/>
  <c r="I225" i="5"/>
  <c r="I224" i="5"/>
  <c r="I223" i="5"/>
  <c r="I222" i="5"/>
  <c r="I221" i="5"/>
  <c r="I220" i="5"/>
  <c r="I219" i="5"/>
  <c r="I218" i="5"/>
  <c r="I217" i="5"/>
  <c r="I216" i="5"/>
  <c r="I215" i="5"/>
  <c r="I214" i="5"/>
  <c r="I213" i="5"/>
  <c r="I212" i="5"/>
  <c r="I211" i="5"/>
  <c r="I210" i="5"/>
  <c r="I209" i="5"/>
  <c r="I208" i="5"/>
  <c r="I207" i="5"/>
  <c r="I206" i="5"/>
  <c r="I205" i="5"/>
  <c r="I204" i="5"/>
  <c r="I203" i="5"/>
  <c r="I202" i="5"/>
  <c r="I201" i="5"/>
  <c r="I200" i="5"/>
  <c r="I199" i="5"/>
  <c r="I198" i="5"/>
  <c r="I197" i="5"/>
  <c r="I196" i="5"/>
  <c r="I195" i="5"/>
  <c r="I194" i="5"/>
  <c r="I193" i="5"/>
  <c r="I192" i="5"/>
  <c r="I191" i="5"/>
  <c r="I190" i="5"/>
  <c r="I189" i="5"/>
  <c r="I188" i="5"/>
  <c r="I187" i="5"/>
  <c r="I186" i="5"/>
  <c r="I185" i="5"/>
  <c r="I184" i="5"/>
  <c r="I183" i="5"/>
  <c r="I182" i="5"/>
  <c r="I181" i="5"/>
  <c r="I180" i="5"/>
  <c r="I179" i="5"/>
  <c r="I178" i="5"/>
  <c r="I177" i="5"/>
  <c r="I176" i="5"/>
  <c r="I175" i="5"/>
  <c r="I174" i="5"/>
  <c r="I173" i="5"/>
  <c r="I172" i="5"/>
  <c r="I171" i="5"/>
  <c r="I170" i="5"/>
  <c r="I169" i="5"/>
  <c r="I168" i="5"/>
  <c r="I167" i="5"/>
  <c r="I166" i="5"/>
  <c r="I165" i="5"/>
  <c r="I164" i="5"/>
  <c r="I163" i="5"/>
  <c r="I162" i="5"/>
  <c r="I161" i="5"/>
  <c r="I160" i="5"/>
  <c r="I159" i="5"/>
  <c r="I158" i="5"/>
  <c r="I157" i="5"/>
  <c r="I156" i="5"/>
  <c r="I155" i="5"/>
  <c r="I154" i="5"/>
  <c r="I153" i="5"/>
  <c r="I152" i="5"/>
  <c r="I151" i="5"/>
  <c r="I150" i="5"/>
  <c r="I149" i="5"/>
  <c r="I148" i="5"/>
  <c r="I147" i="5"/>
  <c r="I146" i="5"/>
  <c r="I145" i="5"/>
  <c r="I144" i="5"/>
  <c r="I143" i="5"/>
  <c r="I142" i="5"/>
  <c r="I141" i="5"/>
  <c r="I140" i="5"/>
  <c r="I139" i="5"/>
  <c r="I138" i="5"/>
  <c r="I137" i="5"/>
  <c r="I136" i="5"/>
  <c r="I135" i="5"/>
  <c r="I134" i="5"/>
  <c r="I133" i="5"/>
  <c r="I132" i="5"/>
  <c r="I131" i="5"/>
  <c r="I130" i="5"/>
  <c r="I129" i="5"/>
  <c r="I127" i="5"/>
  <c r="I126" i="5"/>
  <c r="I125" i="5"/>
  <c r="I124" i="5"/>
  <c r="I123" i="5"/>
  <c r="I122" i="5"/>
  <c r="I121" i="5"/>
  <c r="I120" i="5"/>
  <c r="I119" i="5"/>
  <c r="I118" i="5"/>
  <c r="I117" i="5"/>
  <c r="I116" i="5"/>
  <c r="I115" i="5"/>
  <c r="I114" i="5"/>
  <c r="I113" i="5"/>
  <c r="I112" i="5"/>
  <c r="I111" i="5"/>
  <c r="I110" i="5"/>
  <c r="I109" i="5"/>
  <c r="I108" i="5"/>
  <c r="I107" i="5"/>
  <c r="I106" i="5"/>
  <c r="I105" i="5"/>
  <c r="I104" i="5"/>
  <c r="I103" i="5"/>
  <c r="I102" i="5"/>
  <c r="I101" i="5"/>
  <c r="I100" i="5"/>
  <c r="I99" i="5"/>
  <c r="I98" i="5"/>
  <c r="I97" i="5"/>
  <c r="I96" i="5"/>
  <c r="I95" i="5"/>
  <c r="I94" i="5"/>
  <c r="I93" i="5"/>
  <c r="I92" i="5"/>
  <c r="I91" i="5"/>
  <c r="I90" i="5"/>
  <c r="I89" i="5"/>
  <c r="I88" i="5"/>
  <c r="I87" i="5"/>
  <c r="I86" i="5"/>
  <c r="I85" i="5"/>
  <c r="I84" i="5"/>
  <c r="I83" i="5"/>
  <c r="I82" i="5"/>
  <c r="I81" i="5"/>
  <c r="I80" i="5"/>
  <c r="I79" i="5"/>
  <c r="I78" i="5"/>
  <c r="I77" i="5"/>
  <c r="I76" i="5"/>
  <c r="I75" i="5"/>
  <c r="I74" i="5"/>
  <c r="I73" i="5"/>
  <c r="I72" i="5"/>
  <c r="I71" i="5"/>
  <c r="I70" i="5"/>
  <c r="I69" i="5"/>
  <c r="I68" i="5"/>
  <c r="I67" i="5"/>
  <c r="I66" i="5"/>
  <c r="I65" i="5"/>
  <c r="I64" i="5"/>
  <c r="I63" i="5"/>
  <c r="I62" i="5"/>
  <c r="I61" i="5"/>
  <c r="I60" i="5"/>
  <c r="I59" i="5"/>
  <c r="I58" i="5"/>
  <c r="I57" i="5"/>
  <c r="I56" i="5"/>
  <c r="I55" i="5"/>
  <c r="I54" i="5"/>
  <c r="I53" i="5"/>
  <c r="I52" i="5"/>
  <c r="I51" i="5"/>
  <c r="I50" i="5"/>
  <c r="I49" i="5"/>
  <c r="I48" i="5"/>
  <c r="I47" i="5"/>
  <c r="I46" i="5"/>
  <c r="I45" i="5"/>
  <c r="I44" i="5"/>
  <c r="I43" i="5"/>
  <c r="I42" i="5"/>
  <c r="I41" i="5"/>
  <c r="I40" i="5"/>
  <c r="I39" i="5"/>
  <c r="I38" i="5"/>
  <c r="I37" i="5"/>
  <c r="I36" i="5"/>
  <c r="I35" i="5"/>
  <c r="I34" i="5"/>
  <c r="I33" i="5"/>
  <c r="I32" i="5"/>
  <c r="I31" i="5"/>
  <c r="I30" i="5"/>
  <c r="I29" i="5"/>
  <c r="I28" i="5"/>
  <c r="I27" i="5"/>
  <c r="I26" i="5"/>
  <c r="I25" i="5"/>
  <c r="I24" i="5"/>
  <c r="I23" i="5"/>
  <c r="I22" i="5"/>
  <c r="I21" i="5"/>
  <c r="I20" i="5"/>
  <c r="I19" i="5"/>
  <c r="I18" i="5"/>
  <c r="I17" i="5"/>
  <c r="I16" i="5"/>
  <c r="I15" i="5"/>
  <c r="I14" i="5"/>
  <c r="I13" i="5"/>
  <c r="I12" i="5"/>
  <c r="I11" i="5"/>
  <c r="I10" i="5"/>
  <c r="I9" i="5"/>
  <c r="I8" i="5"/>
  <c r="I7" i="5"/>
  <c r="I6" i="5"/>
  <c r="I5" i="5"/>
  <c r="I4" i="5"/>
  <c r="I3" i="5"/>
  <c r="I2" i="5"/>
  <c r="I128" i="5"/>
  <c r="I129" i="6"/>
  <c r="I128" i="6"/>
  <c r="I127" i="6"/>
  <c r="I126" i="6"/>
  <c r="I125" i="6"/>
  <c r="I124" i="6"/>
  <c r="I123" i="6"/>
  <c r="I122" i="6"/>
  <c r="I121" i="6"/>
  <c r="I120" i="6"/>
  <c r="I119" i="6"/>
  <c r="I118" i="6"/>
  <c r="I117" i="6"/>
  <c r="I116" i="6"/>
  <c r="I115" i="6"/>
  <c r="I114" i="6"/>
  <c r="I113" i="6"/>
  <c r="I112" i="6"/>
  <c r="I111" i="6"/>
  <c r="I110" i="6"/>
  <c r="I109" i="6"/>
  <c r="I108" i="6"/>
  <c r="I107" i="6"/>
  <c r="I106" i="6"/>
  <c r="I105" i="6"/>
  <c r="I104" i="6"/>
  <c r="I103" i="6"/>
  <c r="I102" i="6"/>
  <c r="I101" i="6"/>
  <c r="I100" i="6"/>
  <c r="I99" i="6"/>
  <c r="I98" i="6"/>
  <c r="I97" i="6"/>
  <c r="I96" i="6"/>
  <c r="I95" i="6"/>
  <c r="I94" i="6"/>
  <c r="I93" i="6"/>
  <c r="I92" i="6"/>
  <c r="I91" i="6"/>
  <c r="I90" i="6"/>
  <c r="I89" i="6"/>
  <c r="I88" i="6"/>
  <c r="I87" i="6"/>
  <c r="I86" i="6"/>
  <c r="I85" i="6"/>
  <c r="I84" i="6"/>
  <c r="I83" i="6"/>
  <c r="I82" i="6"/>
  <c r="I81" i="6"/>
  <c r="I80" i="6"/>
  <c r="I79" i="6"/>
  <c r="I78" i="6"/>
  <c r="I77" i="6"/>
  <c r="I76" i="6"/>
  <c r="I75" i="6"/>
  <c r="I74" i="6"/>
  <c r="I73" i="6"/>
  <c r="I72" i="6"/>
  <c r="I71" i="6"/>
  <c r="I70" i="6"/>
  <c r="I69" i="6"/>
  <c r="I68" i="6"/>
  <c r="I67" i="6"/>
  <c r="I66" i="6"/>
  <c r="I65" i="6"/>
  <c r="I64" i="6"/>
  <c r="I63" i="6"/>
  <c r="I62" i="6"/>
  <c r="I61" i="6"/>
  <c r="I60" i="6"/>
  <c r="I59" i="6"/>
  <c r="I58" i="6"/>
  <c r="I57" i="6"/>
  <c r="I56" i="6"/>
  <c r="I55" i="6"/>
  <c r="I54" i="6"/>
  <c r="I53" i="6"/>
  <c r="I52" i="6"/>
  <c r="I51" i="6"/>
  <c r="I50" i="6"/>
  <c r="I49" i="6"/>
  <c r="I48" i="6"/>
  <c r="I47" i="6"/>
  <c r="I46" i="6"/>
  <c r="I45" i="6"/>
  <c r="I44" i="6"/>
  <c r="I43" i="6"/>
  <c r="I42" i="6"/>
  <c r="I41" i="6"/>
  <c r="I40" i="6"/>
  <c r="I39" i="6"/>
  <c r="I38" i="6"/>
  <c r="I37" i="6"/>
  <c r="I36" i="6"/>
  <c r="I35" i="6"/>
  <c r="I34" i="6"/>
  <c r="I33" i="6"/>
  <c r="I32" i="6"/>
  <c r="I31" i="6"/>
  <c r="I30" i="6"/>
  <c r="I29" i="6"/>
  <c r="I28" i="6"/>
  <c r="I27" i="6"/>
  <c r="I26" i="6"/>
  <c r="I25" i="6"/>
  <c r="I24" i="6"/>
  <c r="I23" i="6"/>
  <c r="I22" i="6"/>
  <c r="I21" i="6"/>
  <c r="I20" i="6"/>
  <c r="I19" i="6"/>
  <c r="I18" i="6"/>
  <c r="I17" i="6"/>
  <c r="I16" i="6"/>
  <c r="I15" i="6"/>
  <c r="I14" i="6"/>
  <c r="I13" i="6"/>
  <c r="I12" i="6"/>
  <c r="I11" i="6"/>
  <c r="I10" i="6"/>
  <c r="I9" i="6"/>
  <c r="I8" i="6"/>
  <c r="I7" i="6"/>
  <c r="I6" i="6"/>
  <c r="I5" i="6"/>
  <c r="I4" i="6"/>
  <c r="I3" i="6"/>
  <c r="I2" i="6"/>
  <c r="A257" i="6"/>
  <c r="A256" i="6"/>
  <c r="A255" i="6"/>
  <c r="A254" i="6"/>
  <c r="A253" i="6"/>
  <c r="A252" i="6"/>
  <c r="A251" i="6"/>
  <c r="A250" i="6"/>
  <c r="A249" i="6"/>
  <c r="A248" i="6"/>
  <c r="A247" i="6"/>
  <c r="A246" i="6"/>
  <c r="A245" i="6"/>
  <c r="A244" i="6"/>
  <c r="A243" i="6"/>
  <c r="A242" i="6"/>
  <c r="A241" i="6"/>
  <c r="A240" i="6"/>
  <c r="A239" i="6"/>
  <c r="A238" i="6"/>
  <c r="A237" i="6"/>
  <c r="A236" i="6"/>
  <c r="A235" i="6"/>
  <c r="A234" i="6"/>
  <c r="A233" i="6"/>
  <c r="A232" i="6"/>
  <c r="A231" i="6"/>
  <c r="A230" i="6"/>
  <c r="A229" i="6"/>
  <c r="A228" i="6"/>
  <c r="A227" i="6"/>
  <c r="A226" i="6"/>
  <c r="A225" i="6"/>
  <c r="A224" i="6"/>
  <c r="A223" i="6"/>
  <c r="A222" i="6"/>
  <c r="A221" i="6"/>
  <c r="A220" i="6"/>
  <c r="A219" i="6"/>
  <c r="A218" i="6"/>
  <c r="A217" i="6"/>
  <c r="A216" i="6"/>
  <c r="A215" i="6"/>
  <c r="A214" i="6"/>
  <c r="A213" i="6"/>
  <c r="A212" i="6"/>
  <c r="A211" i="6"/>
  <c r="A210" i="6"/>
  <c r="A209" i="6"/>
  <c r="A208" i="6"/>
  <c r="A207" i="6"/>
  <c r="A206" i="6"/>
  <c r="A205" i="6"/>
  <c r="A204" i="6"/>
  <c r="A203" i="6"/>
  <c r="A202" i="6"/>
  <c r="A201" i="6"/>
  <c r="A200" i="6"/>
  <c r="A199" i="6"/>
  <c r="A198" i="6"/>
  <c r="A197" i="6"/>
  <c r="A196" i="6"/>
  <c r="A195" i="6"/>
  <c r="A194" i="6"/>
  <c r="A193" i="6"/>
  <c r="A192" i="6"/>
  <c r="A191" i="6"/>
  <c r="A190" i="6"/>
  <c r="A189" i="6"/>
  <c r="A188" i="6"/>
  <c r="A187" i="6"/>
  <c r="A186" i="6"/>
  <c r="A185" i="6"/>
  <c r="A184" i="6"/>
  <c r="A183" i="6"/>
  <c r="A182" i="6"/>
  <c r="A181" i="6"/>
  <c r="A180" i="6"/>
  <c r="A179" i="6"/>
  <c r="A178" i="6"/>
  <c r="A177" i="6"/>
  <c r="A176" i="6"/>
  <c r="A175" i="6"/>
  <c r="A174" i="6"/>
  <c r="A173" i="6"/>
  <c r="A172" i="6"/>
  <c r="A171" i="6"/>
  <c r="A170" i="6"/>
  <c r="A169" i="6"/>
  <c r="A168" i="6"/>
  <c r="A167" i="6"/>
  <c r="A166" i="6"/>
  <c r="A165" i="6"/>
  <c r="A164" i="6"/>
  <c r="A163" i="6"/>
  <c r="A162" i="6"/>
  <c r="A161" i="6"/>
  <c r="A160" i="6"/>
  <c r="A159" i="6"/>
  <c r="A158" i="6"/>
  <c r="A157" i="6"/>
  <c r="A156" i="6"/>
  <c r="A155" i="6"/>
  <c r="A154" i="6"/>
  <c r="A153" i="6"/>
  <c r="A152" i="6"/>
  <c r="A151" i="6"/>
  <c r="A150" i="6"/>
  <c r="A149" i="6"/>
  <c r="A148" i="6"/>
  <c r="A147" i="6"/>
  <c r="A146" i="6"/>
  <c r="A145" i="6"/>
  <c r="A144" i="6"/>
  <c r="A143" i="6"/>
  <c r="A142" i="6"/>
  <c r="A141" i="6"/>
  <c r="A140" i="6"/>
  <c r="A139" i="6"/>
  <c r="A138" i="6"/>
  <c r="A137" i="6"/>
  <c r="A136" i="6"/>
  <c r="A135" i="6"/>
  <c r="A134" i="6"/>
  <c r="A133" i="6"/>
  <c r="A132" i="6"/>
  <c r="A131" i="6"/>
  <c r="A130" i="6"/>
  <c r="O1" i="5"/>
  <c r="N1" i="5"/>
  <c r="M1" i="5"/>
  <c r="L1" i="5"/>
  <c r="K1" i="5"/>
  <c r="J1" i="5"/>
  <c r="I1" i="5"/>
  <c r="C2" i="4" a="1"/>
  <c r="C2" i="4" s="1"/>
  <c r="F2" i="4" a="1"/>
  <c r="F2" i="4" s="1"/>
  <c r="O2" i="4"/>
  <c r="O1" i="4"/>
  <c r="E1402" i="4"/>
  <c r="E1401" i="4"/>
  <c r="E1400" i="4"/>
  <c r="E1399" i="4"/>
  <c r="E1398" i="4"/>
  <c r="E1397" i="4"/>
  <c r="E1396" i="4"/>
  <c r="E1395" i="4"/>
  <c r="E1394" i="4"/>
  <c r="E1393" i="4"/>
  <c r="E1392" i="4"/>
  <c r="E1391" i="4"/>
  <c r="E1390" i="4"/>
  <c r="E1389" i="4"/>
  <c r="E1388" i="4"/>
  <c r="E1387" i="4"/>
  <c r="E1386" i="4"/>
  <c r="E1385" i="4"/>
  <c r="E1384" i="4"/>
  <c r="E1383" i="4"/>
  <c r="E1382" i="4"/>
  <c r="E1381" i="4"/>
  <c r="E1380" i="4"/>
  <c r="E1379" i="4"/>
  <c r="E1378" i="4"/>
  <c r="E1377" i="4"/>
  <c r="E1376" i="4"/>
  <c r="E1375" i="4"/>
  <c r="E1374" i="4"/>
  <c r="E1373" i="4"/>
  <c r="E1372" i="4"/>
  <c r="E1371" i="4"/>
  <c r="E1370" i="4"/>
  <c r="E1369" i="4"/>
  <c r="E1368" i="4"/>
  <c r="E1367" i="4"/>
  <c r="E1366" i="4"/>
  <c r="E1365" i="4"/>
  <c r="E1364" i="4"/>
  <c r="E1363" i="4"/>
  <c r="E1362" i="4"/>
  <c r="E1361" i="4"/>
  <c r="E1360" i="4"/>
  <c r="E1359" i="4"/>
  <c r="E1358" i="4"/>
  <c r="E1357" i="4"/>
  <c r="E1356" i="4"/>
  <c r="E1355" i="4"/>
  <c r="E1354" i="4"/>
  <c r="E1353" i="4"/>
  <c r="E1352" i="4"/>
  <c r="E1351" i="4"/>
  <c r="E1350" i="4"/>
  <c r="E1349" i="4"/>
  <c r="E1348" i="4"/>
  <c r="E1347" i="4"/>
  <c r="E1346" i="4"/>
  <c r="E1345" i="4"/>
  <c r="E1344" i="4"/>
  <c r="E1343" i="4"/>
  <c r="E1342" i="4"/>
  <c r="E1341" i="4"/>
  <c r="E1340" i="4"/>
  <c r="E1339" i="4"/>
  <c r="E1338" i="4"/>
  <c r="E1337" i="4"/>
  <c r="E1336" i="4"/>
  <c r="E1335" i="4"/>
  <c r="E1334" i="4"/>
  <c r="E1333" i="4"/>
  <c r="E1332" i="4"/>
  <c r="E1331" i="4"/>
  <c r="E1330" i="4"/>
  <c r="E1329" i="4"/>
  <c r="E1328" i="4"/>
  <c r="E1327" i="4"/>
  <c r="E1326" i="4"/>
  <c r="E1325" i="4"/>
  <c r="E1324" i="4"/>
  <c r="E1323" i="4"/>
  <c r="E1322" i="4"/>
  <c r="E1321" i="4"/>
  <c r="E1320" i="4"/>
  <c r="E1319" i="4"/>
  <c r="E1318" i="4"/>
  <c r="E1317" i="4"/>
  <c r="E1316" i="4"/>
  <c r="E1315" i="4"/>
  <c r="E1314" i="4"/>
  <c r="E1313" i="4"/>
  <c r="E1312" i="4"/>
  <c r="E1311" i="4"/>
  <c r="E1310" i="4"/>
  <c r="E1309" i="4"/>
  <c r="E1308" i="4"/>
  <c r="E1307" i="4"/>
  <c r="E1306" i="4"/>
  <c r="E1305" i="4"/>
  <c r="E1304" i="4"/>
  <c r="E1303" i="4"/>
  <c r="E1302" i="4"/>
  <c r="E1301" i="4"/>
  <c r="E1300" i="4"/>
  <c r="E1299" i="4"/>
  <c r="E1298" i="4"/>
  <c r="E1297" i="4"/>
  <c r="E1296" i="4"/>
  <c r="E1295" i="4"/>
  <c r="E1294" i="4"/>
  <c r="E1293" i="4"/>
  <c r="E1292" i="4"/>
  <c r="E1291" i="4"/>
  <c r="E1290" i="4"/>
  <c r="E1289" i="4"/>
  <c r="E1288" i="4"/>
  <c r="E1287" i="4"/>
  <c r="E1286" i="4"/>
  <c r="E1285" i="4"/>
  <c r="E1284" i="4"/>
  <c r="E1283" i="4"/>
  <c r="E1282" i="4"/>
  <c r="E1281" i="4"/>
  <c r="E1280" i="4"/>
  <c r="E1279" i="4"/>
  <c r="E1278" i="4"/>
  <c r="E1277" i="4"/>
  <c r="E1276" i="4"/>
  <c r="E1275" i="4"/>
  <c r="E1274" i="4"/>
  <c r="E1273" i="4"/>
  <c r="E1272" i="4"/>
  <c r="E1271" i="4"/>
  <c r="E1270" i="4"/>
  <c r="E1269" i="4"/>
  <c r="E1268" i="4"/>
  <c r="E1267" i="4"/>
  <c r="E1266" i="4"/>
  <c r="E1265" i="4"/>
  <c r="E1264" i="4"/>
  <c r="E1263" i="4"/>
  <c r="E1262" i="4"/>
  <c r="E1261" i="4"/>
  <c r="E1260" i="4"/>
  <c r="E1259" i="4"/>
  <c r="E1258" i="4"/>
  <c r="E1257" i="4"/>
  <c r="E1256" i="4"/>
  <c r="E1255" i="4"/>
  <c r="E1254" i="4"/>
  <c r="E1253" i="4"/>
  <c r="E1252" i="4"/>
  <c r="E1251" i="4"/>
  <c r="E1250" i="4"/>
  <c r="E1249" i="4"/>
  <c r="E1248" i="4"/>
  <c r="E1247" i="4"/>
  <c r="E1246" i="4"/>
  <c r="E1245" i="4"/>
  <c r="E1244" i="4"/>
  <c r="E1243" i="4"/>
  <c r="E1242" i="4"/>
  <c r="E1241" i="4"/>
  <c r="E1240" i="4"/>
  <c r="E1239" i="4"/>
  <c r="E1238" i="4"/>
  <c r="E1237" i="4"/>
  <c r="E1236" i="4"/>
  <c r="E1235" i="4"/>
  <c r="E1234" i="4"/>
  <c r="E1233" i="4"/>
  <c r="E1232" i="4"/>
  <c r="E1231" i="4"/>
  <c r="E1230" i="4"/>
  <c r="E1229" i="4"/>
  <c r="E1228" i="4"/>
  <c r="E1227" i="4"/>
  <c r="E1226" i="4"/>
  <c r="E1225" i="4"/>
  <c r="E1224" i="4"/>
  <c r="E1223" i="4"/>
  <c r="E1222" i="4"/>
  <c r="E1221" i="4"/>
  <c r="E1220" i="4"/>
  <c r="E1219" i="4"/>
  <c r="E1218" i="4"/>
  <c r="E1217" i="4"/>
  <c r="E1216" i="4"/>
  <c r="E1215" i="4"/>
  <c r="E1214" i="4"/>
  <c r="E1213" i="4"/>
  <c r="E1212" i="4"/>
  <c r="E1211" i="4"/>
  <c r="E1210" i="4"/>
  <c r="E1209" i="4"/>
  <c r="E1208" i="4"/>
  <c r="E1207" i="4"/>
  <c r="E1206" i="4"/>
  <c r="E1205" i="4"/>
  <c r="E1204" i="4"/>
  <c r="E1203" i="4"/>
  <c r="E1202" i="4"/>
  <c r="E1201" i="4"/>
  <c r="E1200" i="4"/>
  <c r="E1199" i="4"/>
  <c r="E1198" i="4"/>
  <c r="E1197" i="4"/>
  <c r="E1196" i="4"/>
  <c r="E1195" i="4"/>
  <c r="E1194" i="4"/>
  <c r="E1193" i="4"/>
  <c r="E1192" i="4"/>
  <c r="E1191" i="4"/>
  <c r="E1190" i="4"/>
  <c r="E1189" i="4"/>
  <c r="E1188" i="4"/>
  <c r="E1187" i="4"/>
  <c r="E1186" i="4"/>
  <c r="E1185" i="4"/>
  <c r="E1184" i="4"/>
  <c r="E1183" i="4"/>
  <c r="E1182" i="4"/>
  <c r="E1181" i="4"/>
  <c r="E1180" i="4"/>
  <c r="E1179" i="4"/>
  <c r="E1178" i="4"/>
  <c r="E1177" i="4"/>
  <c r="E1176" i="4"/>
  <c r="E1175" i="4"/>
  <c r="E1174" i="4"/>
  <c r="E1173" i="4"/>
  <c r="E1172" i="4"/>
  <c r="E1171" i="4"/>
  <c r="E1170" i="4"/>
  <c r="E1169" i="4"/>
  <c r="E1168" i="4"/>
  <c r="E1167" i="4"/>
  <c r="E1166" i="4"/>
  <c r="E1165" i="4"/>
  <c r="E1164" i="4"/>
  <c r="E1163" i="4"/>
  <c r="E1162" i="4"/>
  <c r="E1161" i="4"/>
  <c r="E1160" i="4"/>
  <c r="E1159" i="4"/>
  <c r="E1158" i="4"/>
  <c r="E1157" i="4"/>
  <c r="E1156" i="4"/>
  <c r="E1155" i="4"/>
  <c r="E1154" i="4"/>
  <c r="E1153" i="4"/>
  <c r="E1152" i="4"/>
  <c r="E1151" i="4"/>
  <c r="E1150" i="4"/>
  <c r="E1149" i="4"/>
  <c r="E1148" i="4"/>
  <c r="E1147" i="4"/>
  <c r="E1146" i="4"/>
  <c r="E1145" i="4"/>
  <c r="E1144" i="4"/>
  <c r="E1143" i="4"/>
  <c r="E1142" i="4"/>
  <c r="E1141" i="4"/>
  <c r="E1140" i="4"/>
  <c r="E1139" i="4"/>
  <c r="E1138" i="4"/>
  <c r="E1137" i="4"/>
  <c r="E1136" i="4"/>
  <c r="E1135" i="4"/>
  <c r="E1134" i="4"/>
  <c r="E1133" i="4"/>
  <c r="E1132" i="4"/>
  <c r="E1131" i="4"/>
  <c r="E1130" i="4"/>
  <c r="E1129" i="4"/>
  <c r="E1128" i="4"/>
  <c r="E1127" i="4"/>
  <c r="E1126" i="4"/>
  <c r="E1125" i="4"/>
  <c r="E1124" i="4"/>
  <c r="E1123" i="4"/>
  <c r="E1122" i="4"/>
  <c r="E1121" i="4"/>
  <c r="E1120" i="4"/>
  <c r="E1119" i="4"/>
  <c r="E1118" i="4"/>
  <c r="E1117" i="4"/>
  <c r="E1116" i="4"/>
  <c r="E1115" i="4"/>
  <c r="E1114" i="4"/>
  <c r="E1113" i="4"/>
  <c r="E1112" i="4"/>
  <c r="E1111" i="4"/>
  <c r="E1110" i="4"/>
  <c r="E1109" i="4"/>
  <c r="E1108" i="4"/>
  <c r="E1107" i="4"/>
  <c r="E1106" i="4"/>
  <c r="E1105" i="4"/>
  <c r="E1104" i="4"/>
  <c r="E1103" i="4"/>
  <c r="E1102" i="4"/>
  <c r="E1101" i="4"/>
  <c r="E1100" i="4"/>
  <c r="E1099" i="4"/>
  <c r="E1098" i="4"/>
  <c r="E1097" i="4"/>
  <c r="E1096" i="4"/>
  <c r="E1095" i="4"/>
  <c r="E1094" i="4"/>
  <c r="E1093" i="4"/>
  <c r="E1092" i="4"/>
  <c r="E1091" i="4"/>
  <c r="E1090" i="4"/>
  <c r="E1089" i="4"/>
  <c r="E1088" i="4"/>
  <c r="E1087" i="4"/>
  <c r="E1086" i="4"/>
  <c r="E1085" i="4"/>
  <c r="E1084" i="4"/>
  <c r="E1083" i="4"/>
  <c r="E1082" i="4"/>
  <c r="E1081" i="4"/>
  <c r="E1080" i="4"/>
  <c r="E1079" i="4"/>
  <c r="E1078" i="4"/>
  <c r="E1077" i="4"/>
  <c r="E1076" i="4"/>
  <c r="E1075" i="4"/>
  <c r="E1074" i="4"/>
  <c r="E1073" i="4"/>
  <c r="E1072" i="4"/>
  <c r="E1071" i="4"/>
  <c r="E1070" i="4"/>
  <c r="E1069" i="4"/>
  <c r="E1068" i="4"/>
  <c r="E1067" i="4"/>
  <c r="E1066" i="4"/>
  <c r="E1065" i="4"/>
  <c r="E1064" i="4"/>
  <c r="E1063" i="4"/>
  <c r="E1062" i="4"/>
  <c r="E1061" i="4"/>
  <c r="E1060" i="4"/>
  <c r="E1059" i="4"/>
  <c r="E1058" i="4"/>
  <c r="E1057" i="4"/>
  <c r="E1056" i="4"/>
  <c r="E1055" i="4"/>
  <c r="E1054" i="4"/>
  <c r="E1053" i="4"/>
  <c r="E1052" i="4"/>
  <c r="E1051" i="4"/>
  <c r="E1050" i="4"/>
  <c r="E1049" i="4"/>
  <c r="E1048" i="4"/>
  <c r="E1047" i="4"/>
  <c r="E1046" i="4"/>
  <c r="E1045" i="4"/>
  <c r="E1044" i="4"/>
  <c r="E1043" i="4"/>
  <c r="E1042" i="4"/>
  <c r="E1041" i="4"/>
  <c r="E1040" i="4"/>
  <c r="E1039" i="4"/>
  <c r="E1038" i="4"/>
  <c r="E1037" i="4"/>
  <c r="E1036" i="4"/>
  <c r="E1035" i="4"/>
  <c r="E1034" i="4"/>
  <c r="E1033" i="4"/>
  <c r="E1032" i="4"/>
  <c r="E1031" i="4"/>
  <c r="E1030" i="4"/>
  <c r="E1029" i="4"/>
  <c r="E1028" i="4"/>
  <c r="E1027" i="4"/>
  <c r="E1026" i="4"/>
  <c r="E1025" i="4"/>
  <c r="E1024" i="4"/>
  <c r="E1023" i="4"/>
  <c r="E1022" i="4"/>
  <c r="E1021" i="4"/>
  <c r="E1020" i="4"/>
  <c r="E1019" i="4"/>
  <c r="E1018" i="4"/>
  <c r="E1017" i="4"/>
  <c r="E1016" i="4"/>
  <c r="E1015" i="4"/>
  <c r="E1014" i="4"/>
  <c r="E1013" i="4"/>
  <c r="E1012" i="4"/>
  <c r="E1011" i="4"/>
  <c r="E1010" i="4"/>
  <c r="E1009" i="4"/>
  <c r="E1008" i="4"/>
  <c r="E1007" i="4"/>
  <c r="E1006" i="4"/>
  <c r="E1005" i="4"/>
  <c r="E1004" i="4"/>
  <c r="E1003" i="4"/>
  <c r="E1002" i="4"/>
  <c r="E1001" i="4"/>
  <c r="E1000" i="4"/>
  <c r="E999" i="4"/>
  <c r="E998" i="4"/>
  <c r="E997" i="4"/>
  <c r="E996" i="4"/>
  <c r="E995" i="4"/>
  <c r="E994" i="4"/>
  <c r="E993" i="4"/>
  <c r="E992" i="4"/>
  <c r="E991" i="4"/>
  <c r="E990" i="4"/>
  <c r="E989" i="4"/>
  <c r="E988" i="4"/>
  <c r="E987" i="4"/>
  <c r="E986" i="4"/>
  <c r="E985" i="4"/>
  <c r="E984" i="4"/>
  <c r="E983" i="4"/>
  <c r="E982" i="4"/>
  <c r="E981" i="4"/>
  <c r="E980" i="4"/>
  <c r="E979" i="4"/>
  <c r="E978" i="4"/>
  <c r="E977" i="4"/>
  <c r="E976" i="4"/>
  <c r="E975" i="4"/>
  <c r="E974" i="4"/>
  <c r="E973" i="4"/>
  <c r="E972" i="4"/>
  <c r="E971" i="4"/>
  <c r="E970" i="4"/>
  <c r="E969" i="4"/>
  <c r="E968" i="4"/>
  <c r="E967" i="4"/>
  <c r="E966" i="4"/>
  <c r="E965" i="4"/>
  <c r="E964" i="4"/>
  <c r="E963" i="4"/>
  <c r="E962" i="4"/>
  <c r="E961" i="4"/>
  <c r="E960" i="4"/>
  <c r="E959" i="4"/>
  <c r="E958" i="4"/>
  <c r="E957" i="4"/>
  <c r="E956" i="4"/>
  <c r="E955" i="4"/>
  <c r="E954" i="4"/>
  <c r="E953" i="4"/>
  <c r="E952" i="4"/>
  <c r="E951" i="4"/>
  <c r="E950" i="4"/>
  <c r="E949" i="4"/>
  <c r="E948" i="4"/>
  <c r="E947" i="4"/>
  <c r="E946" i="4"/>
  <c r="E945" i="4"/>
  <c r="E944" i="4"/>
  <c r="E943" i="4"/>
  <c r="E942" i="4"/>
  <c r="E941" i="4"/>
  <c r="E940" i="4"/>
  <c r="E939" i="4"/>
  <c r="E938" i="4"/>
  <c r="E937" i="4"/>
  <c r="E936" i="4"/>
  <c r="E935" i="4"/>
  <c r="E934" i="4"/>
  <c r="E933" i="4"/>
  <c r="E932" i="4"/>
  <c r="E931" i="4"/>
  <c r="E930" i="4"/>
  <c r="E929" i="4"/>
  <c r="E928" i="4"/>
  <c r="E927" i="4"/>
  <c r="E926" i="4"/>
  <c r="E925" i="4"/>
  <c r="E924" i="4"/>
  <c r="E923" i="4"/>
  <c r="E922" i="4"/>
  <c r="E921" i="4"/>
  <c r="E920" i="4"/>
  <c r="E919" i="4"/>
  <c r="E918" i="4"/>
  <c r="E917" i="4"/>
  <c r="E916" i="4"/>
  <c r="E915" i="4"/>
  <c r="E914" i="4"/>
  <c r="E913" i="4"/>
  <c r="E912" i="4"/>
  <c r="E911" i="4"/>
  <c r="E910" i="4"/>
  <c r="E909" i="4"/>
  <c r="E908" i="4"/>
  <c r="E907" i="4"/>
  <c r="E906" i="4"/>
  <c r="E905" i="4"/>
  <c r="E904" i="4"/>
  <c r="E903" i="4"/>
  <c r="E902" i="4"/>
  <c r="E901" i="4"/>
  <c r="E900" i="4"/>
  <c r="E899" i="4"/>
  <c r="E898" i="4"/>
  <c r="E897" i="4"/>
  <c r="E896" i="4"/>
  <c r="E895" i="4"/>
  <c r="E894" i="4"/>
  <c r="E893" i="4"/>
  <c r="E892" i="4"/>
  <c r="E891" i="4"/>
  <c r="E890" i="4"/>
  <c r="E889" i="4"/>
  <c r="E888" i="4"/>
  <c r="E887" i="4"/>
  <c r="E886" i="4"/>
  <c r="E885" i="4"/>
  <c r="E884" i="4"/>
  <c r="E883" i="4"/>
  <c r="E882" i="4"/>
  <c r="E881" i="4"/>
  <c r="E880" i="4"/>
  <c r="E879" i="4"/>
  <c r="E878" i="4"/>
  <c r="E877" i="4"/>
  <c r="E876" i="4"/>
  <c r="E875" i="4"/>
  <c r="E874" i="4"/>
  <c r="E873" i="4"/>
  <c r="E872" i="4"/>
  <c r="E871" i="4"/>
  <c r="E870" i="4"/>
  <c r="E869" i="4"/>
  <c r="E868" i="4"/>
  <c r="E867" i="4"/>
  <c r="E866" i="4"/>
  <c r="E865" i="4"/>
  <c r="E864" i="4"/>
  <c r="E863" i="4"/>
  <c r="E862" i="4"/>
  <c r="E861" i="4"/>
  <c r="E860" i="4"/>
  <c r="E859" i="4"/>
  <c r="E858" i="4"/>
  <c r="E857" i="4"/>
  <c r="E856" i="4"/>
  <c r="E855" i="4"/>
  <c r="E854" i="4"/>
  <c r="E853" i="4"/>
  <c r="E852" i="4"/>
  <c r="E851" i="4"/>
  <c r="E850" i="4"/>
  <c r="E849" i="4"/>
  <c r="E848" i="4"/>
  <c r="E847" i="4"/>
  <c r="E846" i="4"/>
  <c r="E845" i="4"/>
  <c r="E844" i="4"/>
  <c r="E843" i="4"/>
  <c r="E842" i="4"/>
  <c r="E841" i="4"/>
  <c r="E840" i="4"/>
  <c r="E839" i="4"/>
  <c r="E838" i="4"/>
  <c r="E837" i="4"/>
  <c r="E836" i="4"/>
  <c r="E835" i="4"/>
  <c r="E834" i="4"/>
  <c r="E833" i="4"/>
  <c r="E832" i="4"/>
  <c r="E831" i="4"/>
  <c r="E830" i="4"/>
  <c r="E829" i="4"/>
  <c r="E828" i="4"/>
  <c r="E827" i="4"/>
  <c r="E826" i="4"/>
  <c r="E825" i="4"/>
  <c r="E824" i="4"/>
  <c r="E823" i="4"/>
  <c r="E822" i="4"/>
  <c r="E821" i="4"/>
  <c r="E820" i="4"/>
  <c r="E819" i="4"/>
  <c r="E818" i="4"/>
  <c r="E817" i="4"/>
  <c r="E816" i="4"/>
  <c r="E815" i="4"/>
  <c r="E814" i="4"/>
  <c r="E813" i="4"/>
  <c r="E812" i="4"/>
  <c r="E811" i="4"/>
  <c r="E810" i="4"/>
  <c r="E809" i="4"/>
  <c r="E808" i="4"/>
  <c r="E807" i="4"/>
  <c r="E806" i="4"/>
  <c r="E805" i="4"/>
  <c r="E804" i="4"/>
  <c r="E803" i="4"/>
  <c r="E802" i="4"/>
  <c r="E801" i="4"/>
  <c r="E800" i="4"/>
  <c r="E799" i="4"/>
  <c r="E798" i="4"/>
  <c r="E797" i="4"/>
  <c r="E796" i="4"/>
  <c r="E795" i="4"/>
  <c r="E794" i="4"/>
  <c r="E793" i="4"/>
  <c r="E792" i="4"/>
  <c r="E791" i="4"/>
  <c r="E790" i="4"/>
  <c r="E789" i="4"/>
  <c r="E788" i="4"/>
  <c r="E787" i="4"/>
  <c r="E786" i="4"/>
  <c r="E785" i="4"/>
  <c r="E784" i="4"/>
  <c r="E783" i="4"/>
  <c r="E782" i="4"/>
  <c r="E781" i="4"/>
  <c r="E780" i="4"/>
  <c r="E779" i="4"/>
  <c r="E778" i="4"/>
  <c r="E777" i="4"/>
  <c r="E776" i="4"/>
  <c r="E775" i="4"/>
  <c r="E774" i="4"/>
  <c r="E773" i="4"/>
  <c r="E772" i="4"/>
  <c r="E771" i="4"/>
  <c r="E770" i="4"/>
  <c r="E769" i="4"/>
  <c r="E768" i="4"/>
  <c r="E767" i="4"/>
  <c r="E766" i="4"/>
  <c r="E765" i="4"/>
  <c r="E764" i="4"/>
  <c r="E763" i="4"/>
  <c r="E762" i="4"/>
  <c r="E761" i="4"/>
  <c r="E760" i="4"/>
  <c r="E759" i="4"/>
  <c r="E758" i="4"/>
  <c r="E757" i="4"/>
  <c r="E756" i="4"/>
  <c r="E755" i="4"/>
  <c r="E754" i="4"/>
  <c r="E753" i="4"/>
  <c r="E752" i="4"/>
  <c r="E751" i="4"/>
  <c r="E750" i="4"/>
  <c r="E749" i="4"/>
  <c r="E748" i="4"/>
  <c r="E747" i="4"/>
  <c r="E746" i="4"/>
  <c r="E745" i="4"/>
  <c r="E744" i="4"/>
  <c r="E743" i="4"/>
  <c r="E742" i="4"/>
  <c r="E741" i="4"/>
  <c r="E740" i="4"/>
  <c r="E739" i="4"/>
  <c r="E738" i="4"/>
  <c r="E737" i="4"/>
  <c r="E736" i="4"/>
  <c r="E735" i="4"/>
  <c r="E734" i="4"/>
  <c r="E733" i="4"/>
  <c r="E732" i="4"/>
  <c r="E731" i="4"/>
  <c r="E730" i="4"/>
  <c r="E729" i="4"/>
  <c r="E728" i="4"/>
  <c r="E727" i="4"/>
  <c r="E726" i="4"/>
  <c r="E725" i="4"/>
  <c r="E724" i="4"/>
  <c r="E723" i="4"/>
  <c r="E722" i="4"/>
  <c r="E721" i="4"/>
  <c r="E720" i="4"/>
  <c r="E719" i="4"/>
  <c r="E718" i="4"/>
  <c r="E717" i="4"/>
  <c r="E716" i="4"/>
  <c r="E715" i="4"/>
  <c r="E714" i="4"/>
  <c r="E713" i="4"/>
  <c r="E712" i="4"/>
  <c r="E711" i="4"/>
  <c r="E710" i="4"/>
  <c r="E709" i="4"/>
  <c r="E708" i="4"/>
  <c r="E707" i="4"/>
  <c r="E706" i="4"/>
  <c r="E705" i="4"/>
  <c r="E704" i="4"/>
  <c r="E703" i="4"/>
  <c r="E702" i="4"/>
  <c r="E701" i="4"/>
  <c r="E700" i="4"/>
  <c r="E699" i="4"/>
  <c r="E698" i="4"/>
  <c r="E697" i="4"/>
  <c r="E696" i="4"/>
  <c r="E695" i="4"/>
  <c r="E694" i="4"/>
  <c r="E693" i="4"/>
  <c r="E692" i="4"/>
  <c r="E691" i="4"/>
  <c r="E690" i="4"/>
  <c r="E689" i="4"/>
  <c r="E688" i="4"/>
  <c r="E687" i="4"/>
  <c r="E686" i="4"/>
  <c r="E685" i="4"/>
  <c r="E684" i="4"/>
  <c r="E683" i="4"/>
  <c r="E682" i="4"/>
  <c r="E681" i="4"/>
  <c r="E680" i="4"/>
  <c r="E679" i="4"/>
  <c r="E678" i="4"/>
  <c r="E677" i="4"/>
  <c r="E676" i="4"/>
  <c r="E675" i="4"/>
  <c r="E674" i="4"/>
  <c r="E673" i="4"/>
  <c r="E672" i="4"/>
  <c r="E671" i="4"/>
  <c r="E670" i="4"/>
  <c r="E669" i="4"/>
  <c r="E668" i="4"/>
  <c r="E667" i="4"/>
  <c r="E666" i="4"/>
  <c r="E665" i="4"/>
  <c r="E664" i="4"/>
  <c r="E663" i="4"/>
  <c r="E662" i="4"/>
  <c r="E661" i="4"/>
  <c r="E660" i="4"/>
  <c r="E659" i="4"/>
  <c r="E658" i="4"/>
  <c r="E657" i="4"/>
  <c r="E656" i="4"/>
  <c r="E655" i="4"/>
  <c r="E654" i="4"/>
  <c r="E653" i="4"/>
  <c r="E652" i="4"/>
  <c r="E651" i="4"/>
  <c r="E650" i="4"/>
  <c r="E649" i="4"/>
  <c r="E648" i="4"/>
  <c r="E647" i="4"/>
  <c r="E646" i="4"/>
  <c r="E645" i="4"/>
  <c r="E644" i="4"/>
  <c r="E643" i="4"/>
  <c r="E642" i="4"/>
  <c r="E641" i="4"/>
  <c r="E640" i="4"/>
  <c r="E639" i="4"/>
  <c r="E638" i="4"/>
  <c r="E637" i="4"/>
  <c r="E636" i="4"/>
  <c r="E635" i="4"/>
  <c r="E634" i="4"/>
  <c r="E633" i="4"/>
  <c r="E632" i="4"/>
  <c r="E631" i="4"/>
  <c r="E630" i="4"/>
  <c r="E629" i="4"/>
  <c r="E628" i="4"/>
  <c r="E627" i="4"/>
  <c r="E626" i="4"/>
  <c r="E625" i="4"/>
  <c r="E624" i="4"/>
  <c r="E623" i="4"/>
  <c r="E622" i="4"/>
  <c r="E621" i="4"/>
  <c r="E620" i="4"/>
  <c r="E619" i="4"/>
  <c r="E618" i="4"/>
  <c r="E617" i="4"/>
  <c r="E616" i="4"/>
  <c r="E615" i="4"/>
  <c r="E614" i="4"/>
  <c r="E613" i="4"/>
  <c r="E612" i="4"/>
  <c r="E611" i="4"/>
  <c r="E610" i="4"/>
  <c r="E609" i="4"/>
  <c r="E608" i="4"/>
  <c r="E607" i="4"/>
  <c r="E606" i="4"/>
  <c r="E605" i="4"/>
  <c r="E604" i="4"/>
  <c r="E603" i="4"/>
  <c r="E602" i="4"/>
  <c r="E601" i="4"/>
  <c r="E600" i="4"/>
  <c r="E599" i="4"/>
  <c r="E598" i="4"/>
  <c r="E597" i="4"/>
  <c r="E596" i="4"/>
  <c r="E595" i="4"/>
  <c r="E594" i="4"/>
  <c r="E593" i="4"/>
  <c r="E592" i="4"/>
  <c r="E591" i="4"/>
  <c r="E590" i="4"/>
  <c r="E589" i="4"/>
  <c r="E588" i="4"/>
  <c r="E587" i="4"/>
  <c r="E586" i="4"/>
  <c r="E585" i="4"/>
  <c r="E584" i="4"/>
  <c r="E583" i="4"/>
  <c r="E582" i="4"/>
  <c r="E581" i="4"/>
  <c r="E580" i="4"/>
  <c r="E579" i="4"/>
  <c r="E578" i="4"/>
  <c r="E577" i="4"/>
  <c r="E576" i="4"/>
  <c r="E575" i="4"/>
  <c r="E574" i="4"/>
  <c r="E573" i="4"/>
  <c r="E572" i="4"/>
  <c r="E571" i="4"/>
  <c r="E570" i="4"/>
  <c r="E569" i="4"/>
  <c r="E568" i="4"/>
  <c r="E567" i="4"/>
  <c r="E566" i="4"/>
  <c r="E565" i="4"/>
  <c r="E564" i="4"/>
  <c r="E563" i="4"/>
  <c r="E562" i="4"/>
  <c r="E561" i="4"/>
  <c r="E560" i="4"/>
  <c r="E559" i="4"/>
  <c r="E558" i="4"/>
  <c r="E557" i="4"/>
  <c r="E556" i="4"/>
  <c r="E555" i="4"/>
  <c r="E554" i="4"/>
  <c r="E553" i="4"/>
  <c r="E552" i="4"/>
  <c r="E551" i="4"/>
  <c r="E550" i="4"/>
  <c r="E549" i="4"/>
  <c r="E548" i="4"/>
  <c r="E547" i="4"/>
  <c r="E546" i="4"/>
  <c r="E545" i="4"/>
  <c r="E544" i="4"/>
  <c r="E543" i="4"/>
  <c r="E542" i="4"/>
  <c r="E541" i="4"/>
  <c r="E540" i="4"/>
  <c r="E539" i="4"/>
  <c r="E538" i="4"/>
  <c r="E537" i="4"/>
  <c r="E536" i="4"/>
  <c r="E535" i="4"/>
  <c r="E534" i="4"/>
  <c r="E533" i="4"/>
  <c r="E532" i="4"/>
  <c r="E531" i="4"/>
  <c r="E530" i="4"/>
  <c r="E529" i="4"/>
  <c r="E528" i="4"/>
  <c r="E527" i="4"/>
  <c r="E526" i="4"/>
  <c r="E525" i="4"/>
  <c r="E524" i="4"/>
  <c r="E523" i="4"/>
  <c r="E522" i="4"/>
  <c r="E521" i="4"/>
  <c r="E520" i="4"/>
  <c r="E519" i="4"/>
  <c r="E518" i="4"/>
  <c r="E517" i="4"/>
  <c r="E516" i="4"/>
  <c r="E515" i="4"/>
  <c r="E514" i="4"/>
  <c r="E513" i="4"/>
  <c r="E512" i="4"/>
  <c r="E511" i="4"/>
  <c r="E510" i="4"/>
  <c r="E509" i="4"/>
  <c r="E508" i="4"/>
  <c r="E507" i="4"/>
  <c r="E506" i="4"/>
  <c r="E505" i="4"/>
  <c r="E504" i="4"/>
  <c r="E503" i="4"/>
  <c r="E502" i="4"/>
  <c r="E501" i="4"/>
  <c r="E500" i="4"/>
  <c r="E499" i="4"/>
  <c r="E498" i="4"/>
  <c r="E497" i="4"/>
  <c r="E496" i="4"/>
  <c r="E495" i="4"/>
  <c r="E494" i="4"/>
  <c r="E493" i="4"/>
  <c r="E492" i="4"/>
  <c r="E491" i="4"/>
  <c r="E490" i="4"/>
  <c r="E489" i="4"/>
  <c r="E488" i="4"/>
  <c r="E487" i="4"/>
  <c r="E486" i="4"/>
  <c r="E485" i="4"/>
  <c r="E484" i="4"/>
  <c r="E483" i="4"/>
  <c r="E482" i="4"/>
  <c r="E481" i="4"/>
  <c r="E480" i="4"/>
  <c r="E479" i="4"/>
  <c r="E478" i="4"/>
  <c r="E477" i="4"/>
  <c r="E476" i="4"/>
  <c r="E475" i="4"/>
  <c r="E474" i="4"/>
  <c r="E473" i="4"/>
  <c r="E472" i="4"/>
  <c r="E471" i="4"/>
  <c r="E470" i="4"/>
  <c r="E469" i="4"/>
  <c r="E468" i="4"/>
  <c r="E467" i="4"/>
  <c r="E466" i="4"/>
  <c r="E465" i="4"/>
  <c r="E464" i="4"/>
  <c r="E463" i="4"/>
  <c r="E462" i="4"/>
  <c r="E461" i="4"/>
  <c r="E460" i="4"/>
  <c r="E459" i="4"/>
  <c r="E458" i="4"/>
  <c r="E457" i="4"/>
  <c r="E456" i="4"/>
  <c r="E455" i="4"/>
  <c r="E454" i="4"/>
  <c r="E453" i="4"/>
  <c r="E452" i="4"/>
  <c r="E451" i="4"/>
  <c r="E450" i="4"/>
  <c r="E449" i="4"/>
  <c r="E448" i="4"/>
  <c r="E447" i="4"/>
  <c r="E446" i="4"/>
  <c r="E445" i="4"/>
  <c r="E444" i="4"/>
  <c r="E443" i="4"/>
  <c r="E442" i="4"/>
  <c r="E441" i="4"/>
  <c r="E440" i="4"/>
  <c r="E439" i="4"/>
  <c r="E438" i="4"/>
  <c r="E437" i="4"/>
  <c r="E436" i="4"/>
  <c r="E435" i="4"/>
  <c r="E434" i="4"/>
  <c r="E433" i="4"/>
  <c r="E432" i="4"/>
  <c r="E431" i="4"/>
  <c r="E430" i="4"/>
  <c r="E429" i="4"/>
  <c r="E428" i="4"/>
  <c r="E427" i="4"/>
  <c r="E426" i="4"/>
  <c r="E425" i="4"/>
  <c r="E424" i="4"/>
  <c r="E423" i="4"/>
  <c r="E422" i="4"/>
  <c r="E421" i="4"/>
  <c r="E420" i="4"/>
  <c r="E419" i="4"/>
  <c r="E418" i="4"/>
  <c r="E417" i="4"/>
  <c r="E416" i="4"/>
  <c r="E415" i="4"/>
  <c r="E414" i="4"/>
  <c r="E413" i="4"/>
  <c r="E412" i="4"/>
  <c r="E411" i="4"/>
  <c r="E410" i="4"/>
  <c r="E409" i="4"/>
  <c r="E408" i="4"/>
  <c r="E407" i="4"/>
  <c r="E406" i="4"/>
  <c r="E405" i="4"/>
  <c r="E404" i="4"/>
  <c r="E403" i="4"/>
  <c r="E402" i="4"/>
  <c r="E401" i="4"/>
  <c r="E400" i="4"/>
  <c r="E399" i="4"/>
  <c r="E398" i="4"/>
  <c r="E397" i="4"/>
  <c r="E396" i="4"/>
  <c r="E395" i="4"/>
  <c r="E394" i="4"/>
  <c r="E393" i="4"/>
  <c r="E392" i="4"/>
  <c r="E391" i="4"/>
  <c r="E390" i="4"/>
  <c r="E389" i="4"/>
  <c r="E388" i="4"/>
  <c r="E387" i="4"/>
  <c r="E386" i="4"/>
  <c r="E385" i="4"/>
  <c r="E384" i="4"/>
  <c r="E383" i="4"/>
  <c r="E382" i="4"/>
  <c r="E381" i="4"/>
  <c r="E380" i="4"/>
  <c r="E379" i="4"/>
  <c r="E378" i="4"/>
  <c r="E377" i="4"/>
  <c r="E376" i="4"/>
  <c r="E375" i="4"/>
  <c r="E374" i="4"/>
  <c r="E373" i="4"/>
  <c r="E372" i="4"/>
  <c r="E371" i="4"/>
  <c r="E370" i="4"/>
  <c r="E369" i="4"/>
  <c r="E368" i="4"/>
  <c r="E367" i="4"/>
  <c r="E366" i="4"/>
  <c r="E365" i="4"/>
  <c r="E364" i="4"/>
  <c r="E363" i="4"/>
  <c r="E362" i="4"/>
  <c r="E361" i="4"/>
  <c r="E360" i="4"/>
  <c r="E359" i="4"/>
  <c r="E358" i="4"/>
  <c r="E357" i="4"/>
  <c r="E356" i="4"/>
  <c r="E355" i="4"/>
  <c r="E354" i="4"/>
  <c r="E353" i="4"/>
  <c r="E352" i="4"/>
  <c r="E351" i="4"/>
  <c r="E350" i="4"/>
  <c r="E349" i="4"/>
  <c r="E348" i="4"/>
  <c r="E347" i="4"/>
  <c r="E346" i="4"/>
  <c r="E345" i="4"/>
  <c r="E344" i="4"/>
  <c r="E343" i="4"/>
  <c r="E342" i="4"/>
  <c r="E341" i="4"/>
  <c r="E340" i="4"/>
  <c r="E339" i="4"/>
  <c r="E338" i="4"/>
  <c r="E337" i="4"/>
  <c r="E336" i="4"/>
  <c r="E335" i="4"/>
  <c r="E334" i="4"/>
  <c r="E333" i="4"/>
  <c r="E332" i="4"/>
  <c r="E331" i="4"/>
  <c r="E330" i="4"/>
  <c r="E329" i="4"/>
  <c r="E328" i="4"/>
  <c r="E327" i="4"/>
  <c r="E326" i="4"/>
  <c r="E325" i="4"/>
  <c r="E324" i="4"/>
  <c r="E323" i="4"/>
  <c r="E322" i="4"/>
  <c r="E321" i="4"/>
  <c r="E320" i="4"/>
  <c r="E319" i="4"/>
  <c r="E318" i="4"/>
  <c r="E317" i="4"/>
  <c r="E316" i="4"/>
  <c r="E315" i="4"/>
  <c r="E314" i="4"/>
  <c r="E313" i="4"/>
  <c r="E312" i="4"/>
  <c r="E311" i="4"/>
  <c r="E310" i="4"/>
  <c r="E309" i="4"/>
  <c r="E308" i="4"/>
  <c r="E307" i="4"/>
  <c r="E306" i="4"/>
  <c r="E305" i="4"/>
  <c r="E304" i="4"/>
  <c r="E303" i="4"/>
  <c r="E302" i="4"/>
  <c r="E301" i="4"/>
  <c r="E300" i="4"/>
  <c r="E299" i="4"/>
  <c r="E298" i="4"/>
  <c r="E297" i="4"/>
  <c r="E296" i="4"/>
  <c r="E295" i="4"/>
  <c r="E294" i="4"/>
  <c r="E293" i="4"/>
  <c r="E292" i="4"/>
  <c r="E291" i="4"/>
  <c r="E290" i="4"/>
  <c r="E289" i="4"/>
  <c r="E288" i="4"/>
  <c r="E287" i="4"/>
  <c r="E286" i="4"/>
  <c r="E285" i="4"/>
  <c r="E284" i="4"/>
  <c r="E283" i="4"/>
  <c r="E282" i="4"/>
  <c r="E281" i="4"/>
  <c r="E280" i="4"/>
  <c r="E279" i="4"/>
  <c r="E278" i="4"/>
  <c r="E277" i="4"/>
  <c r="E276" i="4"/>
  <c r="E275" i="4"/>
  <c r="E274" i="4"/>
  <c r="E273" i="4"/>
  <c r="E272" i="4"/>
  <c r="E271" i="4"/>
  <c r="E270" i="4"/>
  <c r="E269" i="4"/>
  <c r="E268" i="4"/>
  <c r="E267" i="4"/>
  <c r="E266" i="4"/>
  <c r="E265" i="4"/>
  <c r="E264" i="4"/>
  <c r="E263" i="4"/>
  <c r="E262" i="4"/>
  <c r="E261" i="4"/>
  <c r="E260" i="4"/>
  <c r="E259" i="4"/>
  <c r="E258" i="4"/>
  <c r="E257" i="4"/>
  <c r="E256" i="4"/>
  <c r="E255" i="4"/>
  <c r="E254" i="4"/>
  <c r="E253" i="4"/>
  <c r="E252" i="4"/>
  <c r="E251" i="4"/>
  <c r="E250" i="4"/>
  <c r="E249" i="4"/>
  <c r="E248" i="4"/>
  <c r="E247" i="4"/>
  <c r="E246" i="4"/>
  <c r="E245" i="4"/>
  <c r="E244" i="4"/>
  <c r="E243" i="4"/>
  <c r="E242" i="4"/>
  <c r="E241" i="4"/>
  <c r="E240" i="4"/>
  <c r="E239" i="4"/>
  <c r="E238" i="4"/>
  <c r="E237" i="4"/>
  <c r="E236" i="4"/>
  <c r="E235" i="4"/>
  <c r="E234" i="4"/>
  <c r="E233" i="4"/>
  <c r="E232" i="4"/>
  <c r="E231" i="4"/>
  <c r="E230" i="4"/>
  <c r="E229" i="4"/>
  <c r="E228" i="4"/>
  <c r="E227" i="4"/>
  <c r="E226" i="4"/>
  <c r="E225" i="4"/>
  <c r="E224" i="4"/>
  <c r="E223" i="4"/>
  <c r="E222" i="4"/>
  <c r="E221" i="4"/>
  <c r="E220" i="4"/>
  <c r="E219" i="4"/>
  <c r="E218" i="4"/>
  <c r="E217" i="4"/>
  <c r="E216" i="4"/>
  <c r="E215" i="4"/>
  <c r="E214" i="4"/>
  <c r="E213" i="4"/>
  <c r="E212" i="4"/>
  <c r="E211" i="4"/>
  <c r="E210" i="4"/>
  <c r="E209" i="4"/>
  <c r="E208" i="4"/>
  <c r="E207" i="4"/>
  <c r="E206" i="4"/>
  <c r="E205" i="4"/>
  <c r="E204" i="4"/>
  <c r="E203" i="4"/>
  <c r="E202" i="4"/>
  <c r="E201" i="4"/>
  <c r="E200" i="4"/>
  <c r="E199" i="4"/>
  <c r="E198" i="4"/>
  <c r="E197" i="4"/>
  <c r="E196" i="4"/>
  <c r="E195" i="4"/>
  <c r="E194" i="4"/>
  <c r="E193" i="4"/>
  <c r="E192" i="4"/>
  <c r="E191" i="4"/>
  <c r="E190" i="4"/>
  <c r="E189" i="4"/>
  <c r="E188" i="4"/>
  <c r="E187" i="4"/>
  <c r="E186" i="4"/>
  <c r="E185" i="4"/>
  <c r="E184" i="4"/>
  <c r="E183" i="4"/>
  <c r="E182" i="4"/>
  <c r="E181" i="4"/>
  <c r="E180" i="4"/>
  <c r="E179" i="4"/>
  <c r="E178" i="4"/>
  <c r="E177" i="4"/>
  <c r="E176" i="4"/>
  <c r="E175" i="4"/>
  <c r="E174" i="4"/>
  <c r="E173" i="4"/>
  <c r="E172" i="4"/>
  <c r="E171" i="4"/>
  <c r="E170" i="4"/>
  <c r="E169" i="4"/>
  <c r="E168" i="4"/>
  <c r="E167" i="4"/>
  <c r="E166" i="4"/>
  <c r="E165" i="4"/>
  <c r="E164" i="4"/>
  <c r="E163" i="4"/>
  <c r="E162" i="4"/>
  <c r="E161" i="4"/>
  <c r="E160" i="4"/>
  <c r="E159" i="4"/>
  <c r="E158" i="4"/>
  <c r="E157" i="4"/>
  <c r="E156" i="4"/>
  <c r="E155" i="4"/>
  <c r="E154" i="4"/>
  <c r="E153" i="4"/>
  <c r="E152" i="4"/>
  <c r="E151" i="4"/>
  <c r="E150" i="4"/>
  <c r="E149" i="4"/>
  <c r="E148" i="4"/>
  <c r="E147" i="4"/>
  <c r="E146" i="4"/>
  <c r="E145" i="4"/>
  <c r="E144" i="4"/>
  <c r="E143" i="4"/>
  <c r="E142" i="4"/>
  <c r="E141" i="4"/>
  <c r="E140" i="4"/>
  <c r="E139" i="4"/>
  <c r="E138" i="4"/>
  <c r="E137" i="4"/>
  <c r="E136" i="4"/>
  <c r="E135" i="4"/>
  <c r="E134" i="4"/>
  <c r="E133" i="4"/>
  <c r="E132" i="4"/>
  <c r="E131" i="4"/>
  <c r="E130" i="4"/>
  <c r="E129" i="4"/>
  <c r="E128" i="4"/>
  <c r="E127" i="4"/>
  <c r="E126" i="4"/>
  <c r="E125" i="4"/>
  <c r="E124" i="4"/>
  <c r="E123" i="4"/>
  <c r="E122" i="4"/>
  <c r="E121" i="4"/>
  <c r="E120" i="4"/>
  <c r="E119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8" i="4"/>
  <c r="E67" i="4"/>
  <c r="E66" i="4"/>
  <c r="E65" i="4"/>
  <c r="E64" i="4"/>
  <c r="E63" i="4"/>
  <c r="E62" i="4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E2" i="4"/>
  <c r="B1229" i="4"/>
  <c r="B1228" i="4"/>
  <c r="B1227" i="4"/>
  <c r="B1226" i="4"/>
  <c r="B1225" i="4"/>
  <c r="B1224" i="4"/>
  <c r="B1223" i="4"/>
  <c r="B1222" i="4"/>
  <c r="B1221" i="4"/>
  <c r="B1220" i="4"/>
  <c r="B1219" i="4"/>
  <c r="B1218" i="4"/>
  <c r="G1218" i="4" s="1"/>
  <c r="H1218" i="4" s="1"/>
  <c r="B1217" i="4"/>
  <c r="B1216" i="4"/>
  <c r="B1215" i="4"/>
  <c r="B1214" i="4"/>
  <c r="B1213" i="4"/>
  <c r="B1212" i="4"/>
  <c r="B1211" i="4"/>
  <c r="B1210" i="4"/>
  <c r="G1210" i="4" s="1"/>
  <c r="H1210" i="4" s="1"/>
  <c r="B1209" i="4"/>
  <c r="B1208" i="4"/>
  <c r="B1207" i="4"/>
  <c r="B1206" i="4"/>
  <c r="B1205" i="4"/>
  <c r="B1204" i="4"/>
  <c r="B1203" i="4"/>
  <c r="B1202" i="4"/>
  <c r="G1202" i="4" s="1"/>
  <c r="H1202" i="4" s="1"/>
  <c r="B1201" i="4"/>
  <c r="B1200" i="4"/>
  <c r="B1199" i="4"/>
  <c r="B1198" i="4"/>
  <c r="B1197" i="4"/>
  <c r="B1196" i="4"/>
  <c r="B1195" i="4"/>
  <c r="B1194" i="4"/>
  <c r="G1194" i="4" s="1"/>
  <c r="H1194" i="4" s="1"/>
  <c r="B1193" i="4"/>
  <c r="B1192" i="4"/>
  <c r="B1191" i="4"/>
  <c r="B1190" i="4"/>
  <c r="B1189" i="4"/>
  <c r="B1188" i="4"/>
  <c r="B1187" i="4"/>
  <c r="B1186" i="4"/>
  <c r="G1186" i="4" s="1"/>
  <c r="H1186" i="4" s="1"/>
  <c r="B1185" i="4"/>
  <c r="B1184" i="4"/>
  <c r="B1183" i="4"/>
  <c r="B1182" i="4"/>
  <c r="B1181" i="4"/>
  <c r="B1180" i="4"/>
  <c r="B1179" i="4"/>
  <c r="B1178" i="4"/>
  <c r="G1178" i="4" s="1"/>
  <c r="H1178" i="4" s="1"/>
  <c r="B1177" i="4"/>
  <c r="B1176" i="4"/>
  <c r="B1175" i="4"/>
  <c r="B1174" i="4"/>
  <c r="B1173" i="4"/>
  <c r="B1172" i="4"/>
  <c r="B1171" i="4"/>
  <c r="B1170" i="4"/>
  <c r="G1170" i="4" s="1"/>
  <c r="H1170" i="4" s="1"/>
  <c r="B1169" i="4"/>
  <c r="B1168" i="4"/>
  <c r="B1167" i="4"/>
  <c r="B1166" i="4"/>
  <c r="B1165" i="4"/>
  <c r="B1164" i="4"/>
  <c r="B1163" i="4"/>
  <c r="B1162" i="4"/>
  <c r="G1162" i="4" s="1"/>
  <c r="H1162" i="4" s="1"/>
  <c r="B1161" i="4"/>
  <c r="B1160" i="4"/>
  <c r="B1159" i="4"/>
  <c r="B1158" i="4"/>
  <c r="B1157" i="4"/>
  <c r="B1156" i="4"/>
  <c r="B1155" i="4"/>
  <c r="B1154" i="4"/>
  <c r="G1154" i="4" s="1"/>
  <c r="H1154" i="4" s="1"/>
  <c r="B1153" i="4"/>
  <c r="B1152" i="4"/>
  <c r="B1151" i="4"/>
  <c r="B1150" i="4"/>
  <c r="B1149" i="4"/>
  <c r="B1148" i="4"/>
  <c r="B1147" i="4"/>
  <c r="B1146" i="4"/>
  <c r="G1146" i="4" s="1"/>
  <c r="H1146" i="4" s="1"/>
  <c r="B1145" i="4"/>
  <c r="B1144" i="4"/>
  <c r="B1143" i="4"/>
  <c r="B1142" i="4"/>
  <c r="B1141" i="4"/>
  <c r="B1140" i="4"/>
  <c r="B1139" i="4"/>
  <c r="B1138" i="4"/>
  <c r="G1138" i="4" s="1"/>
  <c r="H1138" i="4" s="1"/>
  <c r="B1137" i="4"/>
  <c r="B1136" i="4"/>
  <c r="B1135" i="4"/>
  <c r="B1134" i="4"/>
  <c r="B1133" i="4"/>
  <c r="B1132" i="4"/>
  <c r="B1131" i="4"/>
  <c r="B1130" i="4"/>
  <c r="G1130" i="4" s="1"/>
  <c r="H1130" i="4" s="1"/>
  <c r="B1129" i="4"/>
  <c r="B1128" i="4"/>
  <c r="B1127" i="4"/>
  <c r="B1126" i="4"/>
  <c r="B1125" i="4"/>
  <c r="B1124" i="4"/>
  <c r="B1123" i="4"/>
  <c r="B1122" i="4"/>
  <c r="G1122" i="4" s="1"/>
  <c r="H1122" i="4" s="1"/>
  <c r="B1121" i="4"/>
  <c r="B1120" i="4"/>
  <c r="B1119" i="4"/>
  <c r="B1118" i="4"/>
  <c r="B1117" i="4"/>
  <c r="B1116" i="4"/>
  <c r="B1115" i="4"/>
  <c r="B1114" i="4"/>
  <c r="G1114" i="4" s="1"/>
  <c r="H1114" i="4" s="1"/>
  <c r="B1113" i="4"/>
  <c r="B1112" i="4"/>
  <c r="B1111" i="4"/>
  <c r="B1110" i="4"/>
  <c r="B1109" i="4"/>
  <c r="B1108" i="4"/>
  <c r="B1107" i="4"/>
  <c r="B1106" i="4"/>
  <c r="G1106" i="4" s="1"/>
  <c r="H1106" i="4" s="1"/>
  <c r="B1105" i="4"/>
  <c r="B1104" i="4"/>
  <c r="B1103" i="4"/>
  <c r="B1102" i="4"/>
  <c r="B1101" i="4"/>
  <c r="B1100" i="4"/>
  <c r="B1099" i="4"/>
  <c r="B1098" i="4"/>
  <c r="G1098" i="4" s="1"/>
  <c r="H1098" i="4" s="1"/>
  <c r="B1097" i="4"/>
  <c r="B1096" i="4"/>
  <c r="B1095" i="4"/>
  <c r="B1094" i="4"/>
  <c r="B1093" i="4"/>
  <c r="B1092" i="4"/>
  <c r="B1091" i="4"/>
  <c r="B1090" i="4"/>
  <c r="G1090" i="4" s="1"/>
  <c r="H1090" i="4" s="1"/>
  <c r="B1089" i="4"/>
  <c r="B1088" i="4"/>
  <c r="B1087" i="4"/>
  <c r="B1086" i="4"/>
  <c r="B1085" i="4"/>
  <c r="B1084" i="4"/>
  <c r="B1083" i="4"/>
  <c r="B1082" i="4"/>
  <c r="G1082" i="4" s="1"/>
  <c r="H1082" i="4" s="1"/>
  <c r="B1081" i="4"/>
  <c r="B1080" i="4"/>
  <c r="B1079" i="4"/>
  <c r="B1078" i="4"/>
  <c r="B1077" i="4"/>
  <c r="B1076" i="4"/>
  <c r="B1075" i="4"/>
  <c r="B1074" i="4"/>
  <c r="G1074" i="4" s="1"/>
  <c r="H1074" i="4" s="1"/>
  <c r="B1073" i="4"/>
  <c r="B1072" i="4"/>
  <c r="B1071" i="4"/>
  <c r="B1070" i="4"/>
  <c r="B1069" i="4"/>
  <c r="B1068" i="4"/>
  <c r="B1067" i="4"/>
  <c r="B1066" i="4"/>
  <c r="G1066" i="4" s="1"/>
  <c r="H1066" i="4" s="1"/>
  <c r="B1065" i="4"/>
  <c r="B1064" i="4"/>
  <c r="B1063" i="4"/>
  <c r="B1062" i="4"/>
  <c r="B1061" i="4"/>
  <c r="B1060" i="4"/>
  <c r="B1059" i="4"/>
  <c r="B1058" i="4"/>
  <c r="G1058" i="4" s="1"/>
  <c r="H1058" i="4" s="1"/>
  <c r="B1057" i="4"/>
  <c r="B1056" i="4"/>
  <c r="B1055" i="4"/>
  <c r="B1054" i="4"/>
  <c r="B1053" i="4"/>
  <c r="B1052" i="4"/>
  <c r="B1051" i="4"/>
  <c r="B1050" i="4"/>
  <c r="G1050" i="4" s="1"/>
  <c r="H1050" i="4" s="1"/>
  <c r="B1049" i="4"/>
  <c r="B1048" i="4"/>
  <c r="B1047" i="4"/>
  <c r="B1046" i="4"/>
  <c r="B1045" i="4"/>
  <c r="B1044" i="4"/>
  <c r="B1043" i="4"/>
  <c r="B1042" i="4"/>
  <c r="G1042" i="4" s="1"/>
  <c r="H1042" i="4" s="1"/>
  <c r="B1041" i="4"/>
  <c r="B1040" i="4"/>
  <c r="B1039" i="4"/>
  <c r="B1038" i="4"/>
  <c r="B1037" i="4"/>
  <c r="B1036" i="4"/>
  <c r="B1035" i="4"/>
  <c r="B1034" i="4"/>
  <c r="G1034" i="4" s="1"/>
  <c r="H1034" i="4" s="1"/>
  <c r="B1033" i="4"/>
  <c r="B1032" i="4"/>
  <c r="B1031" i="4"/>
  <c r="B1030" i="4"/>
  <c r="B1029" i="4"/>
  <c r="B1028" i="4"/>
  <c r="B1027" i="4"/>
  <c r="B1026" i="4"/>
  <c r="G1026" i="4" s="1"/>
  <c r="H1026" i="4" s="1"/>
  <c r="B1025" i="4"/>
  <c r="B1024" i="4"/>
  <c r="B1023" i="4"/>
  <c r="B1022" i="4"/>
  <c r="B1021" i="4"/>
  <c r="B1020" i="4"/>
  <c r="B1019" i="4"/>
  <c r="B1018" i="4"/>
  <c r="G1018" i="4" s="1"/>
  <c r="H1018" i="4" s="1"/>
  <c r="B1017" i="4"/>
  <c r="B1016" i="4"/>
  <c r="B1015" i="4"/>
  <c r="B1014" i="4"/>
  <c r="B1013" i="4"/>
  <c r="B1012" i="4"/>
  <c r="B1011" i="4"/>
  <c r="B1010" i="4"/>
  <c r="G1010" i="4" s="1"/>
  <c r="H1010" i="4" s="1"/>
  <c r="B1009" i="4"/>
  <c r="B1008" i="4"/>
  <c r="B1007" i="4"/>
  <c r="B1006" i="4"/>
  <c r="B1005" i="4"/>
  <c r="B1004" i="4"/>
  <c r="B1003" i="4"/>
  <c r="B1002" i="4"/>
  <c r="G1002" i="4" s="1"/>
  <c r="H1002" i="4" s="1"/>
  <c r="B1001" i="4"/>
  <c r="B1000" i="4"/>
  <c r="B999" i="4"/>
  <c r="B998" i="4"/>
  <c r="B997" i="4"/>
  <c r="B996" i="4"/>
  <c r="B995" i="4"/>
  <c r="B994" i="4"/>
  <c r="G994" i="4" s="1"/>
  <c r="H994" i="4" s="1"/>
  <c r="B993" i="4"/>
  <c r="B992" i="4"/>
  <c r="B991" i="4"/>
  <c r="B990" i="4"/>
  <c r="B989" i="4"/>
  <c r="B988" i="4"/>
  <c r="B987" i="4"/>
  <c r="B986" i="4"/>
  <c r="G986" i="4" s="1"/>
  <c r="H986" i="4" s="1"/>
  <c r="B985" i="4"/>
  <c r="B984" i="4"/>
  <c r="B983" i="4"/>
  <c r="B982" i="4"/>
  <c r="B981" i="4"/>
  <c r="B980" i="4"/>
  <c r="B979" i="4"/>
  <c r="B978" i="4"/>
  <c r="G978" i="4" s="1"/>
  <c r="H978" i="4" s="1"/>
  <c r="B977" i="4"/>
  <c r="B976" i="4"/>
  <c r="B975" i="4"/>
  <c r="B974" i="4"/>
  <c r="B973" i="4"/>
  <c r="B972" i="4"/>
  <c r="B971" i="4"/>
  <c r="B970" i="4"/>
  <c r="G970" i="4" s="1"/>
  <c r="H970" i="4" s="1"/>
  <c r="B969" i="4"/>
  <c r="B968" i="4"/>
  <c r="B967" i="4"/>
  <c r="B966" i="4"/>
  <c r="B965" i="4"/>
  <c r="B964" i="4"/>
  <c r="B963" i="4"/>
  <c r="B962" i="4"/>
  <c r="G962" i="4" s="1"/>
  <c r="H962" i="4" s="1"/>
  <c r="B961" i="4"/>
  <c r="B960" i="4"/>
  <c r="B959" i="4"/>
  <c r="B958" i="4"/>
  <c r="B957" i="4"/>
  <c r="B956" i="4"/>
  <c r="B955" i="4"/>
  <c r="B954" i="4"/>
  <c r="G954" i="4" s="1"/>
  <c r="H954" i="4" s="1"/>
  <c r="B953" i="4"/>
  <c r="B952" i="4"/>
  <c r="B951" i="4"/>
  <c r="B950" i="4"/>
  <c r="B949" i="4"/>
  <c r="B948" i="4"/>
  <c r="B947" i="4"/>
  <c r="B946" i="4"/>
  <c r="G946" i="4" s="1"/>
  <c r="H946" i="4" s="1"/>
  <c r="B945" i="4"/>
  <c r="B944" i="4"/>
  <c r="B943" i="4"/>
  <c r="B942" i="4"/>
  <c r="B941" i="4"/>
  <c r="B940" i="4"/>
  <c r="B939" i="4"/>
  <c r="B938" i="4"/>
  <c r="G938" i="4" s="1"/>
  <c r="H938" i="4" s="1"/>
  <c r="B937" i="4"/>
  <c r="B936" i="4"/>
  <c r="B935" i="4"/>
  <c r="B934" i="4"/>
  <c r="B933" i="4"/>
  <c r="B932" i="4"/>
  <c r="B931" i="4"/>
  <c r="B930" i="4"/>
  <c r="G930" i="4" s="1"/>
  <c r="H930" i="4" s="1"/>
  <c r="B929" i="4"/>
  <c r="B928" i="4"/>
  <c r="B927" i="4"/>
  <c r="B926" i="4"/>
  <c r="B925" i="4"/>
  <c r="B924" i="4"/>
  <c r="B923" i="4"/>
  <c r="B922" i="4"/>
  <c r="G922" i="4" s="1"/>
  <c r="H922" i="4" s="1"/>
  <c r="B921" i="4"/>
  <c r="B920" i="4"/>
  <c r="B919" i="4"/>
  <c r="B918" i="4"/>
  <c r="B917" i="4"/>
  <c r="B916" i="4"/>
  <c r="B915" i="4"/>
  <c r="B914" i="4"/>
  <c r="G914" i="4" s="1"/>
  <c r="H914" i="4" s="1"/>
  <c r="B913" i="4"/>
  <c r="B912" i="4"/>
  <c r="B911" i="4"/>
  <c r="B910" i="4"/>
  <c r="B909" i="4"/>
  <c r="B908" i="4"/>
  <c r="B907" i="4"/>
  <c r="B906" i="4"/>
  <c r="G906" i="4" s="1"/>
  <c r="H906" i="4" s="1"/>
  <c r="B905" i="4"/>
  <c r="B904" i="4"/>
  <c r="B903" i="4"/>
  <c r="B902" i="4"/>
  <c r="B901" i="4"/>
  <c r="B900" i="4"/>
  <c r="B899" i="4"/>
  <c r="B898" i="4"/>
  <c r="G898" i="4" s="1"/>
  <c r="H898" i="4" s="1"/>
  <c r="B897" i="4"/>
  <c r="B896" i="4"/>
  <c r="B895" i="4"/>
  <c r="B894" i="4"/>
  <c r="B893" i="4"/>
  <c r="B892" i="4"/>
  <c r="B891" i="4"/>
  <c r="B890" i="4"/>
  <c r="G890" i="4" s="1"/>
  <c r="H890" i="4" s="1"/>
  <c r="B889" i="4"/>
  <c r="B888" i="4"/>
  <c r="B887" i="4"/>
  <c r="B886" i="4"/>
  <c r="B885" i="4"/>
  <c r="B884" i="4"/>
  <c r="B883" i="4"/>
  <c r="B882" i="4"/>
  <c r="G882" i="4" s="1"/>
  <c r="H882" i="4" s="1"/>
  <c r="B881" i="4"/>
  <c r="B880" i="4"/>
  <c r="B879" i="4"/>
  <c r="B878" i="4"/>
  <c r="B877" i="4"/>
  <c r="B876" i="4"/>
  <c r="B875" i="4"/>
  <c r="B874" i="4"/>
  <c r="G874" i="4" s="1"/>
  <c r="H874" i="4" s="1"/>
  <c r="B873" i="4"/>
  <c r="B872" i="4"/>
  <c r="B871" i="4"/>
  <c r="B870" i="4"/>
  <c r="B869" i="4"/>
  <c r="B868" i="4"/>
  <c r="B867" i="4"/>
  <c r="B866" i="4"/>
  <c r="G866" i="4" s="1"/>
  <c r="H866" i="4" s="1"/>
  <c r="B865" i="4"/>
  <c r="B864" i="4"/>
  <c r="B863" i="4"/>
  <c r="B862" i="4"/>
  <c r="B861" i="4"/>
  <c r="B860" i="4"/>
  <c r="B859" i="4"/>
  <c r="B858" i="4"/>
  <c r="G858" i="4" s="1"/>
  <c r="H858" i="4" s="1"/>
  <c r="B857" i="4"/>
  <c r="B856" i="4"/>
  <c r="B855" i="4"/>
  <c r="B854" i="4"/>
  <c r="B853" i="4"/>
  <c r="B852" i="4"/>
  <c r="B851" i="4"/>
  <c r="B850" i="4"/>
  <c r="G850" i="4" s="1"/>
  <c r="H850" i="4" s="1"/>
  <c r="B849" i="4"/>
  <c r="B848" i="4"/>
  <c r="B847" i="4"/>
  <c r="B846" i="4"/>
  <c r="B845" i="4"/>
  <c r="B844" i="4"/>
  <c r="B843" i="4"/>
  <c r="B842" i="4"/>
  <c r="G842" i="4" s="1"/>
  <c r="H842" i="4" s="1"/>
  <c r="B841" i="4"/>
  <c r="B840" i="4"/>
  <c r="B839" i="4"/>
  <c r="B838" i="4"/>
  <c r="B837" i="4"/>
  <c r="B836" i="4"/>
  <c r="B835" i="4"/>
  <c r="B834" i="4"/>
  <c r="G834" i="4" s="1"/>
  <c r="H834" i="4" s="1"/>
  <c r="B833" i="4"/>
  <c r="B832" i="4"/>
  <c r="B831" i="4"/>
  <c r="B830" i="4"/>
  <c r="B829" i="4"/>
  <c r="B828" i="4"/>
  <c r="B827" i="4"/>
  <c r="B826" i="4"/>
  <c r="G826" i="4" s="1"/>
  <c r="H826" i="4" s="1"/>
  <c r="B825" i="4"/>
  <c r="B824" i="4"/>
  <c r="B823" i="4"/>
  <c r="B822" i="4"/>
  <c r="B821" i="4"/>
  <c r="B820" i="4"/>
  <c r="B819" i="4"/>
  <c r="B818" i="4"/>
  <c r="G818" i="4" s="1"/>
  <c r="H818" i="4" s="1"/>
  <c r="B817" i="4"/>
  <c r="B816" i="4"/>
  <c r="B815" i="4"/>
  <c r="B814" i="4"/>
  <c r="B813" i="4"/>
  <c r="B812" i="4"/>
  <c r="B811" i="4"/>
  <c r="B810" i="4"/>
  <c r="G810" i="4" s="1"/>
  <c r="H810" i="4" s="1"/>
  <c r="B809" i="4"/>
  <c r="B808" i="4"/>
  <c r="B807" i="4"/>
  <c r="B806" i="4"/>
  <c r="B805" i="4"/>
  <c r="B804" i="4"/>
  <c r="B803" i="4"/>
  <c r="B802" i="4"/>
  <c r="G802" i="4" s="1"/>
  <c r="H802" i="4" s="1"/>
  <c r="B801" i="4"/>
  <c r="B800" i="4"/>
  <c r="B799" i="4"/>
  <c r="B798" i="4"/>
  <c r="B797" i="4"/>
  <c r="B796" i="4"/>
  <c r="B795" i="4"/>
  <c r="B794" i="4"/>
  <c r="G794" i="4" s="1"/>
  <c r="H794" i="4" s="1"/>
  <c r="B793" i="4"/>
  <c r="B792" i="4"/>
  <c r="B791" i="4"/>
  <c r="B790" i="4"/>
  <c r="B789" i="4"/>
  <c r="B788" i="4"/>
  <c r="B787" i="4"/>
  <c r="B786" i="4"/>
  <c r="G786" i="4" s="1"/>
  <c r="H786" i="4" s="1"/>
  <c r="B785" i="4"/>
  <c r="B784" i="4"/>
  <c r="B783" i="4"/>
  <c r="B782" i="4"/>
  <c r="B781" i="4"/>
  <c r="B780" i="4"/>
  <c r="B779" i="4"/>
  <c r="B778" i="4"/>
  <c r="G778" i="4" s="1"/>
  <c r="H778" i="4" s="1"/>
  <c r="B777" i="4"/>
  <c r="B776" i="4"/>
  <c r="B775" i="4"/>
  <c r="B774" i="4"/>
  <c r="B773" i="4"/>
  <c r="B772" i="4"/>
  <c r="B771" i="4"/>
  <c r="B770" i="4"/>
  <c r="G770" i="4" s="1"/>
  <c r="H770" i="4" s="1"/>
  <c r="B769" i="4"/>
  <c r="B768" i="4"/>
  <c r="B767" i="4"/>
  <c r="B766" i="4"/>
  <c r="B765" i="4"/>
  <c r="B764" i="4"/>
  <c r="B763" i="4"/>
  <c r="B762" i="4"/>
  <c r="G762" i="4" s="1"/>
  <c r="H762" i="4" s="1"/>
  <c r="B761" i="4"/>
  <c r="B760" i="4"/>
  <c r="B759" i="4"/>
  <c r="B758" i="4"/>
  <c r="B757" i="4"/>
  <c r="B756" i="4"/>
  <c r="B755" i="4"/>
  <c r="B754" i="4"/>
  <c r="G754" i="4" s="1"/>
  <c r="H754" i="4" s="1"/>
  <c r="B753" i="4"/>
  <c r="B752" i="4"/>
  <c r="B751" i="4"/>
  <c r="B750" i="4"/>
  <c r="B749" i="4"/>
  <c r="B748" i="4"/>
  <c r="B747" i="4"/>
  <c r="B746" i="4"/>
  <c r="G746" i="4" s="1"/>
  <c r="H746" i="4" s="1"/>
  <c r="B745" i="4"/>
  <c r="B744" i="4"/>
  <c r="B743" i="4"/>
  <c r="B742" i="4"/>
  <c r="B741" i="4"/>
  <c r="B740" i="4"/>
  <c r="B739" i="4"/>
  <c r="B738" i="4"/>
  <c r="G738" i="4" s="1"/>
  <c r="H738" i="4" s="1"/>
  <c r="B737" i="4"/>
  <c r="B736" i="4"/>
  <c r="B735" i="4"/>
  <c r="B734" i="4"/>
  <c r="B733" i="4"/>
  <c r="B732" i="4"/>
  <c r="B731" i="4"/>
  <c r="B730" i="4"/>
  <c r="G730" i="4" s="1"/>
  <c r="H730" i="4" s="1"/>
  <c r="B729" i="4"/>
  <c r="B728" i="4"/>
  <c r="B727" i="4"/>
  <c r="B726" i="4"/>
  <c r="B725" i="4"/>
  <c r="B724" i="4"/>
  <c r="B723" i="4"/>
  <c r="B722" i="4"/>
  <c r="G722" i="4" s="1"/>
  <c r="H722" i="4" s="1"/>
  <c r="B721" i="4"/>
  <c r="B720" i="4"/>
  <c r="B719" i="4"/>
  <c r="B718" i="4"/>
  <c r="B717" i="4"/>
  <c r="B716" i="4"/>
  <c r="B715" i="4"/>
  <c r="B714" i="4"/>
  <c r="G714" i="4" s="1"/>
  <c r="H714" i="4" s="1"/>
  <c r="B713" i="4"/>
  <c r="B712" i="4"/>
  <c r="B711" i="4"/>
  <c r="B710" i="4"/>
  <c r="B709" i="4"/>
  <c r="B708" i="4"/>
  <c r="B707" i="4"/>
  <c r="B706" i="4"/>
  <c r="G706" i="4" s="1"/>
  <c r="H706" i="4" s="1"/>
  <c r="B705" i="4"/>
  <c r="B704" i="4"/>
  <c r="B703" i="4"/>
  <c r="B702" i="4"/>
  <c r="B701" i="4"/>
  <c r="B700" i="4"/>
  <c r="B699" i="4"/>
  <c r="B698" i="4"/>
  <c r="G698" i="4" s="1"/>
  <c r="H698" i="4" s="1"/>
  <c r="B697" i="4"/>
  <c r="B696" i="4"/>
  <c r="B695" i="4"/>
  <c r="B694" i="4"/>
  <c r="B693" i="4"/>
  <c r="B692" i="4"/>
  <c r="B691" i="4"/>
  <c r="B690" i="4"/>
  <c r="G690" i="4" s="1"/>
  <c r="H690" i="4" s="1"/>
  <c r="B689" i="4"/>
  <c r="B688" i="4"/>
  <c r="B687" i="4"/>
  <c r="B686" i="4"/>
  <c r="B685" i="4"/>
  <c r="B684" i="4"/>
  <c r="B683" i="4"/>
  <c r="B682" i="4"/>
  <c r="G682" i="4" s="1"/>
  <c r="H682" i="4" s="1"/>
  <c r="B681" i="4"/>
  <c r="B680" i="4"/>
  <c r="B679" i="4"/>
  <c r="B678" i="4"/>
  <c r="B677" i="4"/>
  <c r="B676" i="4"/>
  <c r="B675" i="4"/>
  <c r="B674" i="4"/>
  <c r="G674" i="4" s="1"/>
  <c r="H674" i="4" s="1"/>
  <c r="B673" i="4"/>
  <c r="B672" i="4"/>
  <c r="B671" i="4"/>
  <c r="B670" i="4"/>
  <c r="B669" i="4"/>
  <c r="B668" i="4"/>
  <c r="B667" i="4"/>
  <c r="B666" i="4"/>
  <c r="G666" i="4" s="1"/>
  <c r="H666" i="4" s="1"/>
  <c r="B665" i="4"/>
  <c r="B664" i="4"/>
  <c r="B663" i="4"/>
  <c r="B662" i="4"/>
  <c r="B661" i="4"/>
  <c r="B660" i="4"/>
  <c r="B659" i="4"/>
  <c r="B658" i="4"/>
  <c r="G658" i="4" s="1"/>
  <c r="H658" i="4" s="1"/>
  <c r="B657" i="4"/>
  <c r="B656" i="4"/>
  <c r="B655" i="4"/>
  <c r="B654" i="4"/>
  <c r="B653" i="4"/>
  <c r="B652" i="4"/>
  <c r="B651" i="4"/>
  <c r="B650" i="4"/>
  <c r="G650" i="4" s="1"/>
  <c r="H650" i="4" s="1"/>
  <c r="B649" i="4"/>
  <c r="B648" i="4"/>
  <c r="B647" i="4"/>
  <c r="B646" i="4"/>
  <c r="B645" i="4"/>
  <c r="B644" i="4"/>
  <c r="B643" i="4"/>
  <c r="B642" i="4"/>
  <c r="G642" i="4" s="1"/>
  <c r="H642" i="4" s="1"/>
  <c r="B641" i="4"/>
  <c r="B640" i="4"/>
  <c r="B639" i="4"/>
  <c r="B638" i="4"/>
  <c r="B637" i="4"/>
  <c r="B636" i="4"/>
  <c r="B635" i="4"/>
  <c r="B634" i="4"/>
  <c r="G634" i="4" s="1"/>
  <c r="H634" i="4" s="1"/>
  <c r="B633" i="4"/>
  <c r="B632" i="4"/>
  <c r="B631" i="4"/>
  <c r="B630" i="4"/>
  <c r="B629" i="4"/>
  <c r="B628" i="4"/>
  <c r="B627" i="4"/>
  <c r="B626" i="4"/>
  <c r="G626" i="4" s="1"/>
  <c r="H626" i="4" s="1"/>
  <c r="B625" i="4"/>
  <c r="B624" i="4"/>
  <c r="B623" i="4"/>
  <c r="B622" i="4"/>
  <c r="B621" i="4"/>
  <c r="B620" i="4"/>
  <c r="B619" i="4"/>
  <c r="B618" i="4"/>
  <c r="G618" i="4" s="1"/>
  <c r="H618" i="4" s="1"/>
  <c r="B617" i="4"/>
  <c r="B616" i="4"/>
  <c r="B615" i="4"/>
  <c r="B614" i="4"/>
  <c r="B613" i="4"/>
  <c r="B612" i="4"/>
  <c r="B611" i="4"/>
  <c r="B610" i="4"/>
  <c r="G610" i="4" s="1"/>
  <c r="H610" i="4" s="1"/>
  <c r="B609" i="4"/>
  <c r="B608" i="4"/>
  <c r="B607" i="4"/>
  <c r="B606" i="4"/>
  <c r="B605" i="4"/>
  <c r="B604" i="4"/>
  <c r="B603" i="4"/>
  <c r="B602" i="4"/>
  <c r="G602" i="4" s="1"/>
  <c r="H602" i="4" s="1"/>
  <c r="B601" i="4"/>
  <c r="B600" i="4"/>
  <c r="B599" i="4"/>
  <c r="B598" i="4"/>
  <c r="B597" i="4"/>
  <c r="B596" i="4"/>
  <c r="B595" i="4"/>
  <c r="B594" i="4"/>
  <c r="G594" i="4" s="1"/>
  <c r="H594" i="4" s="1"/>
  <c r="B593" i="4"/>
  <c r="B592" i="4"/>
  <c r="B591" i="4"/>
  <c r="B590" i="4"/>
  <c r="B589" i="4"/>
  <c r="B588" i="4"/>
  <c r="B587" i="4"/>
  <c r="B586" i="4"/>
  <c r="G586" i="4" s="1"/>
  <c r="H586" i="4" s="1"/>
  <c r="B585" i="4"/>
  <c r="B584" i="4"/>
  <c r="B583" i="4"/>
  <c r="B582" i="4"/>
  <c r="B581" i="4"/>
  <c r="B580" i="4"/>
  <c r="B579" i="4"/>
  <c r="B578" i="4"/>
  <c r="G578" i="4" s="1"/>
  <c r="H578" i="4" s="1"/>
  <c r="B577" i="4"/>
  <c r="B576" i="4"/>
  <c r="B575" i="4"/>
  <c r="B574" i="4"/>
  <c r="B573" i="4"/>
  <c r="B572" i="4"/>
  <c r="B571" i="4"/>
  <c r="B570" i="4"/>
  <c r="G570" i="4" s="1"/>
  <c r="H570" i="4" s="1"/>
  <c r="B569" i="4"/>
  <c r="B568" i="4"/>
  <c r="B567" i="4"/>
  <c r="B566" i="4"/>
  <c r="B565" i="4"/>
  <c r="B564" i="4"/>
  <c r="B563" i="4"/>
  <c r="B562" i="4"/>
  <c r="G562" i="4" s="1"/>
  <c r="H562" i="4" s="1"/>
  <c r="B561" i="4"/>
  <c r="B560" i="4"/>
  <c r="B559" i="4"/>
  <c r="B558" i="4"/>
  <c r="B557" i="4"/>
  <c r="B556" i="4"/>
  <c r="B555" i="4"/>
  <c r="B554" i="4"/>
  <c r="G554" i="4" s="1"/>
  <c r="H554" i="4" s="1"/>
  <c r="B553" i="4"/>
  <c r="B552" i="4"/>
  <c r="B551" i="4"/>
  <c r="B550" i="4"/>
  <c r="B549" i="4"/>
  <c r="B548" i="4"/>
  <c r="B547" i="4"/>
  <c r="B546" i="4"/>
  <c r="G546" i="4" s="1"/>
  <c r="H546" i="4" s="1"/>
  <c r="B545" i="4"/>
  <c r="B544" i="4"/>
  <c r="B543" i="4"/>
  <c r="B542" i="4"/>
  <c r="B541" i="4"/>
  <c r="B540" i="4"/>
  <c r="B539" i="4"/>
  <c r="B538" i="4"/>
  <c r="G538" i="4" s="1"/>
  <c r="H538" i="4" s="1"/>
  <c r="B537" i="4"/>
  <c r="B536" i="4"/>
  <c r="B535" i="4"/>
  <c r="B534" i="4"/>
  <c r="B533" i="4"/>
  <c r="B532" i="4"/>
  <c r="B531" i="4"/>
  <c r="B530" i="4"/>
  <c r="G530" i="4" s="1"/>
  <c r="H530" i="4" s="1"/>
  <c r="B529" i="4"/>
  <c r="B528" i="4"/>
  <c r="B527" i="4"/>
  <c r="B526" i="4"/>
  <c r="B525" i="4"/>
  <c r="B524" i="4"/>
  <c r="B523" i="4"/>
  <c r="B522" i="4"/>
  <c r="G522" i="4" s="1"/>
  <c r="H522" i="4" s="1"/>
  <c r="B521" i="4"/>
  <c r="B520" i="4"/>
  <c r="B519" i="4"/>
  <c r="B518" i="4"/>
  <c r="B517" i="4"/>
  <c r="B516" i="4"/>
  <c r="B515" i="4"/>
  <c r="B514" i="4"/>
  <c r="G514" i="4" s="1"/>
  <c r="H514" i="4" s="1"/>
  <c r="B513" i="4"/>
  <c r="B512" i="4"/>
  <c r="B511" i="4"/>
  <c r="B510" i="4"/>
  <c r="B509" i="4"/>
  <c r="B508" i="4"/>
  <c r="B507" i="4"/>
  <c r="B506" i="4"/>
  <c r="G506" i="4" s="1"/>
  <c r="H506" i="4" s="1"/>
  <c r="B505" i="4"/>
  <c r="B504" i="4"/>
  <c r="B503" i="4"/>
  <c r="B502" i="4"/>
  <c r="B501" i="4"/>
  <c r="B500" i="4"/>
  <c r="B499" i="4"/>
  <c r="B498" i="4"/>
  <c r="G498" i="4" s="1"/>
  <c r="H498" i="4" s="1"/>
  <c r="B497" i="4"/>
  <c r="B496" i="4"/>
  <c r="B495" i="4"/>
  <c r="B494" i="4"/>
  <c r="B493" i="4"/>
  <c r="B492" i="4"/>
  <c r="B491" i="4"/>
  <c r="B490" i="4"/>
  <c r="G490" i="4" s="1"/>
  <c r="H490" i="4" s="1"/>
  <c r="B489" i="4"/>
  <c r="B488" i="4"/>
  <c r="B487" i="4"/>
  <c r="B486" i="4"/>
  <c r="B485" i="4"/>
  <c r="B484" i="4"/>
  <c r="B483" i="4"/>
  <c r="B482" i="4"/>
  <c r="G482" i="4" s="1"/>
  <c r="H482" i="4" s="1"/>
  <c r="B481" i="4"/>
  <c r="B480" i="4"/>
  <c r="B479" i="4"/>
  <c r="B478" i="4"/>
  <c r="B477" i="4"/>
  <c r="B476" i="4"/>
  <c r="B475" i="4"/>
  <c r="B474" i="4"/>
  <c r="G474" i="4" s="1"/>
  <c r="H474" i="4" s="1"/>
  <c r="B473" i="4"/>
  <c r="B472" i="4"/>
  <c r="B471" i="4"/>
  <c r="B470" i="4"/>
  <c r="B469" i="4"/>
  <c r="B468" i="4"/>
  <c r="B467" i="4"/>
  <c r="B466" i="4"/>
  <c r="G466" i="4" s="1"/>
  <c r="H466" i="4" s="1"/>
  <c r="B465" i="4"/>
  <c r="B464" i="4"/>
  <c r="B463" i="4"/>
  <c r="B462" i="4"/>
  <c r="B461" i="4"/>
  <c r="B460" i="4"/>
  <c r="B459" i="4"/>
  <c r="B458" i="4"/>
  <c r="G458" i="4" s="1"/>
  <c r="H458" i="4" s="1"/>
  <c r="B457" i="4"/>
  <c r="B456" i="4"/>
  <c r="B455" i="4"/>
  <c r="B454" i="4"/>
  <c r="B453" i="4"/>
  <c r="B452" i="4"/>
  <c r="B451" i="4"/>
  <c r="B450" i="4"/>
  <c r="G450" i="4" s="1"/>
  <c r="H450" i="4" s="1"/>
  <c r="B449" i="4"/>
  <c r="B448" i="4"/>
  <c r="B447" i="4"/>
  <c r="B446" i="4"/>
  <c r="B445" i="4"/>
  <c r="B444" i="4"/>
  <c r="B443" i="4"/>
  <c r="B442" i="4"/>
  <c r="G442" i="4" s="1"/>
  <c r="H442" i="4" s="1"/>
  <c r="B441" i="4"/>
  <c r="B440" i="4"/>
  <c r="B439" i="4"/>
  <c r="B438" i="4"/>
  <c r="B437" i="4"/>
  <c r="B436" i="4"/>
  <c r="B435" i="4"/>
  <c r="B434" i="4"/>
  <c r="G434" i="4" s="1"/>
  <c r="H434" i="4" s="1"/>
  <c r="B433" i="4"/>
  <c r="B432" i="4"/>
  <c r="B431" i="4"/>
  <c r="B430" i="4"/>
  <c r="B429" i="4"/>
  <c r="B428" i="4"/>
  <c r="B427" i="4"/>
  <c r="B426" i="4"/>
  <c r="G426" i="4" s="1"/>
  <c r="H426" i="4" s="1"/>
  <c r="B425" i="4"/>
  <c r="B424" i="4"/>
  <c r="B423" i="4"/>
  <c r="B422" i="4"/>
  <c r="B421" i="4"/>
  <c r="B420" i="4"/>
  <c r="B419" i="4"/>
  <c r="B418" i="4"/>
  <c r="G418" i="4" s="1"/>
  <c r="H418" i="4" s="1"/>
  <c r="B417" i="4"/>
  <c r="B416" i="4"/>
  <c r="B415" i="4"/>
  <c r="B414" i="4"/>
  <c r="B413" i="4"/>
  <c r="B412" i="4"/>
  <c r="B411" i="4"/>
  <c r="B410" i="4"/>
  <c r="G410" i="4" s="1"/>
  <c r="H410" i="4" s="1"/>
  <c r="B409" i="4"/>
  <c r="B408" i="4"/>
  <c r="B407" i="4"/>
  <c r="B406" i="4"/>
  <c r="B405" i="4"/>
  <c r="B404" i="4"/>
  <c r="B403" i="4"/>
  <c r="B402" i="4"/>
  <c r="G402" i="4" s="1"/>
  <c r="H402" i="4" s="1"/>
  <c r="B401" i="4"/>
  <c r="B400" i="4"/>
  <c r="B399" i="4"/>
  <c r="B398" i="4"/>
  <c r="B397" i="4"/>
  <c r="B396" i="4"/>
  <c r="B395" i="4"/>
  <c r="B394" i="4"/>
  <c r="G394" i="4" s="1"/>
  <c r="H394" i="4" s="1"/>
  <c r="B393" i="4"/>
  <c r="B392" i="4"/>
  <c r="B391" i="4"/>
  <c r="B390" i="4"/>
  <c r="B389" i="4"/>
  <c r="B388" i="4"/>
  <c r="B387" i="4"/>
  <c r="B386" i="4"/>
  <c r="G386" i="4" s="1"/>
  <c r="H386" i="4" s="1"/>
  <c r="B385" i="4"/>
  <c r="B384" i="4"/>
  <c r="B383" i="4"/>
  <c r="B382" i="4"/>
  <c r="B381" i="4"/>
  <c r="B380" i="4"/>
  <c r="B379" i="4"/>
  <c r="B378" i="4"/>
  <c r="G378" i="4" s="1"/>
  <c r="H378" i="4" s="1"/>
  <c r="B377" i="4"/>
  <c r="B376" i="4"/>
  <c r="B375" i="4"/>
  <c r="B374" i="4"/>
  <c r="B373" i="4"/>
  <c r="B372" i="4"/>
  <c r="B371" i="4"/>
  <c r="B370" i="4"/>
  <c r="G370" i="4" s="1"/>
  <c r="H370" i="4" s="1"/>
  <c r="B369" i="4"/>
  <c r="B368" i="4"/>
  <c r="B367" i="4"/>
  <c r="B366" i="4"/>
  <c r="B365" i="4"/>
  <c r="B364" i="4"/>
  <c r="B363" i="4"/>
  <c r="B362" i="4"/>
  <c r="G362" i="4" s="1"/>
  <c r="H362" i="4" s="1"/>
  <c r="B361" i="4"/>
  <c r="B360" i="4"/>
  <c r="B359" i="4"/>
  <c r="B358" i="4"/>
  <c r="B357" i="4"/>
  <c r="B356" i="4"/>
  <c r="B355" i="4"/>
  <c r="B354" i="4"/>
  <c r="G354" i="4" s="1"/>
  <c r="H354" i="4" s="1"/>
  <c r="B353" i="4"/>
  <c r="B352" i="4"/>
  <c r="B351" i="4"/>
  <c r="B350" i="4"/>
  <c r="B349" i="4"/>
  <c r="B348" i="4"/>
  <c r="B347" i="4"/>
  <c r="B346" i="4"/>
  <c r="G346" i="4" s="1"/>
  <c r="H346" i="4" s="1"/>
  <c r="B345" i="4"/>
  <c r="B344" i="4"/>
  <c r="B343" i="4"/>
  <c r="B342" i="4"/>
  <c r="B341" i="4"/>
  <c r="B340" i="4"/>
  <c r="B339" i="4"/>
  <c r="B338" i="4"/>
  <c r="G338" i="4" s="1"/>
  <c r="H338" i="4" s="1"/>
  <c r="B337" i="4"/>
  <c r="B336" i="4"/>
  <c r="B335" i="4"/>
  <c r="B334" i="4"/>
  <c r="B333" i="4"/>
  <c r="B332" i="4"/>
  <c r="B331" i="4"/>
  <c r="B330" i="4"/>
  <c r="G330" i="4" s="1"/>
  <c r="H330" i="4" s="1"/>
  <c r="B329" i="4"/>
  <c r="B328" i="4"/>
  <c r="B327" i="4"/>
  <c r="B326" i="4"/>
  <c r="B325" i="4"/>
  <c r="B324" i="4"/>
  <c r="B323" i="4"/>
  <c r="B322" i="4"/>
  <c r="G322" i="4" s="1"/>
  <c r="H322" i="4" s="1"/>
  <c r="B321" i="4"/>
  <c r="B320" i="4"/>
  <c r="B319" i="4"/>
  <c r="B318" i="4"/>
  <c r="B317" i="4"/>
  <c r="B316" i="4"/>
  <c r="B315" i="4"/>
  <c r="B314" i="4"/>
  <c r="G314" i="4" s="1"/>
  <c r="H314" i="4" s="1"/>
  <c r="B313" i="4"/>
  <c r="B312" i="4"/>
  <c r="B311" i="4"/>
  <c r="B310" i="4"/>
  <c r="B309" i="4"/>
  <c r="B308" i="4"/>
  <c r="B307" i="4"/>
  <c r="B306" i="4"/>
  <c r="G306" i="4" s="1"/>
  <c r="H306" i="4" s="1"/>
  <c r="B305" i="4"/>
  <c r="B304" i="4"/>
  <c r="B303" i="4"/>
  <c r="B302" i="4"/>
  <c r="B301" i="4"/>
  <c r="B300" i="4"/>
  <c r="B299" i="4"/>
  <c r="B298" i="4"/>
  <c r="G298" i="4" s="1"/>
  <c r="H298" i="4" s="1"/>
  <c r="B297" i="4"/>
  <c r="B296" i="4"/>
  <c r="B295" i="4"/>
  <c r="B294" i="4"/>
  <c r="B293" i="4"/>
  <c r="B292" i="4"/>
  <c r="B291" i="4"/>
  <c r="B290" i="4"/>
  <c r="G290" i="4" s="1"/>
  <c r="H290" i="4" s="1"/>
  <c r="B289" i="4"/>
  <c r="B288" i="4"/>
  <c r="B287" i="4"/>
  <c r="B286" i="4"/>
  <c r="B285" i="4"/>
  <c r="B284" i="4"/>
  <c r="B283" i="4"/>
  <c r="B282" i="4"/>
  <c r="G282" i="4" s="1"/>
  <c r="H282" i="4" s="1"/>
  <c r="B281" i="4"/>
  <c r="B280" i="4"/>
  <c r="B279" i="4"/>
  <c r="B278" i="4"/>
  <c r="B277" i="4"/>
  <c r="B276" i="4"/>
  <c r="B275" i="4"/>
  <c r="B274" i="4"/>
  <c r="G274" i="4" s="1"/>
  <c r="H274" i="4" s="1"/>
  <c r="B273" i="4"/>
  <c r="B272" i="4"/>
  <c r="B271" i="4"/>
  <c r="B270" i="4"/>
  <c r="B269" i="4"/>
  <c r="B268" i="4"/>
  <c r="B267" i="4"/>
  <c r="B266" i="4"/>
  <c r="G266" i="4" s="1"/>
  <c r="H266" i="4" s="1"/>
  <c r="B265" i="4"/>
  <c r="B264" i="4"/>
  <c r="B263" i="4"/>
  <c r="B262" i="4"/>
  <c r="B261" i="4"/>
  <c r="B260" i="4"/>
  <c r="B259" i="4"/>
  <c r="B258" i="4"/>
  <c r="G258" i="4" s="1"/>
  <c r="H258" i="4" s="1"/>
  <c r="B257" i="4"/>
  <c r="B256" i="4"/>
  <c r="B255" i="4"/>
  <c r="B254" i="4"/>
  <c r="B253" i="4"/>
  <c r="B252" i="4"/>
  <c r="B251" i="4"/>
  <c r="B250" i="4"/>
  <c r="G250" i="4" s="1"/>
  <c r="H250" i="4" s="1"/>
  <c r="B249" i="4"/>
  <c r="B248" i="4"/>
  <c r="B247" i="4"/>
  <c r="B246" i="4"/>
  <c r="B245" i="4"/>
  <c r="B244" i="4"/>
  <c r="B243" i="4"/>
  <c r="B242" i="4"/>
  <c r="G242" i="4" s="1"/>
  <c r="H242" i="4" s="1"/>
  <c r="B241" i="4"/>
  <c r="B240" i="4"/>
  <c r="B239" i="4"/>
  <c r="B238" i="4"/>
  <c r="B237" i="4"/>
  <c r="B236" i="4"/>
  <c r="B235" i="4"/>
  <c r="B234" i="4"/>
  <c r="G234" i="4" s="1"/>
  <c r="H234" i="4" s="1"/>
  <c r="B233" i="4"/>
  <c r="B232" i="4"/>
  <c r="B231" i="4"/>
  <c r="B230" i="4"/>
  <c r="B229" i="4"/>
  <c r="B228" i="4"/>
  <c r="B227" i="4"/>
  <c r="B226" i="4"/>
  <c r="G226" i="4" s="1"/>
  <c r="H226" i="4" s="1"/>
  <c r="B225" i="4"/>
  <c r="B224" i="4"/>
  <c r="B223" i="4"/>
  <c r="B222" i="4"/>
  <c r="B221" i="4"/>
  <c r="B220" i="4"/>
  <c r="B219" i="4"/>
  <c r="B218" i="4"/>
  <c r="G218" i="4" s="1"/>
  <c r="H218" i="4" s="1"/>
  <c r="B217" i="4"/>
  <c r="B216" i="4"/>
  <c r="B215" i="4"/>
  <c r="B214" i="4"/>
  <c r="B213" i="4"/>
  <c r="B212" i="4"/>
  <c r="B211" i="4"/>
  <c r="B210" i="4"/>
  <c r="G210" i="4" s="1"/>
  <c r="H210" i="4" s="1"/>
  <c r="B209" i="4"/>
  <c r="B208" i="4"/>
  <c r="B207" i="4"/>
  <c r="B206" i="4"/>
  <c r="B205" i="4"/>
  <c r="B204" i="4"/>
  <c r="B203" i="4"/>
  <c r="B202" i="4"/>
  <c r="G202" i="4" s="1"/>
  <c r="H202" i="4" s="1"/>
  <c r="B201" i="4"/>
  <c r="B200" i="4"/>
  <c r="B199" i="4"/>
  <c r="B198" i="4"/>
  <c r="B197" i="4"/>
  <c r="B196" i="4"/>
  <c r="B195" i="4"/>
  <c r="B194" i="4"/>
  <c r="G194" i="4" s="1"/>
  <c r="H194" i="4" s="1"/>
  <c r="B193" i="4"/>
  <c r="B192" i="4"/>
  <c r="B191" i="4"/>
  <c r="B190" i="4"/>
  <c r="B189" i="4"/>
  <c r="B188" i="4"/>
  <c r="B187" i="4"/>
  <c r="B186" i="4"/>
  <c r="G186" i="4" s="1"/>
  <c r="H186" i="4" s="1"/>
  <c r="B185" i="4"/>
  <c r="B184" i="4"/>
  <c r="B183" i="4"/>
  <c r="B182" i="4"/>
  <c r="B181" i="4"/>
  <c r="B180" i="4"/>
  <c r="B179" i="4"/>
  <c r="B178" i="4"/>
  <c r="G178" i="4" s="1"/>
  <c r="H178" i="4" s="1"/>
  <c r="B177" i="4"/>
  <c r="B176" i="4"/>
  <c r="B175" i="4"/>
  <c r="B174" i="4"/>
  <c r="B173" i="4"/>
  <c r="B172" i="4"/>
  <c r="B171" i="4"/>
  <c r="B170" i="4"/>
  <c r="G170" i="4" s="1"/>
  <c r="H170" i="4" s="1"/>
  <c r="B169" i="4"/>
  <c r="B168" i="4"/>
  <c r="B167" i="4"/>
  <c r="B166" i="4"/>
  <c r="B165" i="4"/>
  <c r="B164" i="4"/>
  <c r="B163" i="4"/>
  <c r="B162" i="4"/>
  <c r="G162" i="4" s="1"/>
  <c r="H162" i="4" s="1"/>
  <c r="B161" i="4"/>
  <c r="B160" i="4"/>
  <c r="B159" i="4"/>
  <c r="B158" i="4"/>
  <c r="B157" i="4"/>
  <c r="B156" i="4"/>
  <c r="B155" i="4"/>
  <c r="B154" i="4"/>
  <c r="G154" i="4" s="1"/>
  <c r="H154" i="4" s="1"/>
  <c r="B153" i="4"/>
  <c r="B152" i="4"/>
  <c r="B151" i="4"/>
  <c r="B150" i="4"/>
  <c r="B149" i="4"/>
  <c r="B148" i="4"/>
  <c r="B147" i="4"/>
  <c r="B146" i="4"/>
  <c r="G146" i="4" s="1"/>
  <c r="H146" i="4" s="1"/>
  <c r="B145" i="4"/>
  <c r="B144" i="4"/>
  <c r="B143" i="4"/>
  <c r="B142" i="4"/>
  <c r="B141" i="4"/>
  <c r="B140" i="4"/>
  <c r="B139" i="4"/>
  <c r="B138" i="4"/>
  <c r="G138" i="4" s="1"/>
  <c r="H138" i="4" s="1"/>
  <c r="B137" i="4"/>
  <c r="B136" i="4"/>
  <c r="B135" i="4"/>
  <c r="B134" i="4"/>
  <c r="B133" i="4"/>
  <c r="B132" i="4"/>
  <c r="B131" i="4"/>
  <c r="B130" i="4"/>
  <c r="G130" i="4" s="1"/>
  <c r="H130" i="4" s="1"/>
  <c r="B129" i="4"/>
  <c r="B128" i="4"/>
  <c r="B127" i="4"/>
  <c r="B126" i="4"/>
  <c r="B125" i="4"/>
  <c r="B124" i="4"/>
  <c r="B123" i="4"/>
  <c r="B122" i="4"/>
  <c r="G122" i="4" s="1"/>
  <c r="H122" i="4" s="1"/>
  <c r="B121" i="4"/>
  <c r="B120" i="4"/>
  <c r="B119" i="4"/>
  <c r="B118" i="4"/>
  <c r="B117" i="4"/>
  <c r="B116" i="4"/>
  <c r="B115" i="4"/>
  <c r="B114" i="4"/>
  <c r="G114" i="4" s="1"/>
  <c r="H114" i="4" s="1"/>
  <c r="B113" i="4"/>
  <c r="B112" i="4"/>
  <c r="B111" i="4"/>
  <c r="B110" i="4"/>
  <c r="B109" i="4"/>
  <c r="B108" i="4"/>
  <c r="B107" i="4"/>
  <c r="B106" i="4"/>
  <c r="G106" i="4" s="1"/>
  <c r="H106" i="4" s="1"/>
  <c r="B105" i="4"/>
  <c r="B104" i="4"/>
  <c r="B103" i="4"/>
  <c r="B102" i="4"/>
  <c r="B101" i="4"/>
  <c r="B100" i="4"/>
  <c r="B99" i="4"/>
  <c r="B98" i="4"/>
  <c r="G98" i="4" s="1"/>
  <c r="H98" i="4" s="1"/>
  <c r="B97" i="4"/>
  <c r="B96" i="4"/>
  <c r="B95" i="4"/>
  <c r="B94" i="4"/>
  <c r="B93" i="4"/>
  <c r="B92" i="4"/>
  <c r="B91" i="4"/>
  <c r="B90" i="4"/>
  <c r="G90" i="4" s="1"/>
  <c r="H90" i="4" s="1"/>
  <c r="B89" i="4"/>
  <c r="B88" i="4"/>
  <c r="B87" i="4"/>
  <c r="B86" i="4"/>
  <c r="B85" i="4"/>
  <c r="B84" i="4"/>
  <c r="B83" i="4"/>
  <c r="B82" i="4"/>
  <c r="G82" i="4" s="1"/>
  <c r="H82" i="4" s="1"/>
  <c r="B81" i="4"/>
  <c r="B80" i="4"/>
  <c r="B79" i="4"/>
  <c r="B78" i="4"/>
  <c r="B77" i="4"/>
  <c r="B76" i="4"/>
  <c r="B75" i="4"/>
  <c r="B74" i="4"/>
  <c r="G74" i="4" s="1"/>
  <c r="H74" i="4" s="1"/>
  <c r="B73" i="4"/>
  <c r="B72" i="4"/>
  <c r="B71" i="4"/>
  <c r="B70" i="4"/>
  <c r="B69" i="4"/>
  <c r="B68" i="4"/>
  <c r="B67" i="4"/>
  <c r="B66" i="4"/>
  <c r="G66" i="4" s="1"/>
  <c r="H66" i="4" s="1"/>
  <c r="B65" i="4"/>
  <c r="B64" i="4"/>
  <c r="B63" i="4"/>
  <c r="B62" i="4"/>
  <c r="B61" i="4"/>
  <c r="B60" i="4"/>
  <c r="B59" i="4"/>
  <c r="B58" i="4"/>
  <c r="G58" i="4" s="1"/>
  <c r="H58" i="4" s="1"/>
  <c r="B57" i="4"/>
  <c r="B56" i="4"/>
  <c r="B55" i="4"/>
  <c r="B54" i="4"/>
  <c r="B53" i="4"/>
  <c r="B52" i="4"/>
  <c r="B51" i="4"/>
  <c r="B50" i="4"/>
  <c r="G50" i="4" s="1"/>
  <c r="H50" i="4" s="1"/>
  <c r="B49" i="4"/>
  <c r="B48" i="4"/>
  <c r="B47" i="4"/>
  <c r="B46" i="4"/>
  <c r="B45" i="4"/>
  <c r="B44" i="4"/>
  <c r="B43" i="4"/>
  <c r="B42" i="4"/>
  <c r="G42" i="4" s="1"/>
  <c r="H42" i="4" s="1"/>
  <c r="B41" i="4"/>
  <c r="B40" i="4"/>
  <c r="B39" i="4"/>
  <c r="B38" i="4"/>
  <c r="B37" i="4"/>
  <c r="B36" i="4"/>
  <c r="B35" i="4"/>
  <c r="B34" i="4"/>
  <c r="G34" i="4" s="1"/>
  <c r="H34" i="4" s="1"/>
  <c r="B33" i="4"/>
  <c r="B32" i="4"/>
  <c r="B31" i="4"/>
  <c r="B30" i="4"/>
  <c r="B29" i="4"/>
  <c r="B28" i="4"/>
  <c r="B27" i="4"/>
  <c r="B26" i="4"/>
  <c r="G26" i="4" s="1"/>
  <c r="H26" i="4" s="1"/>
  <c r="B25" i="4"/>
  <c r="B24" i="4"/>
  <c r="B23" i="4"/>
  <c r="B22" i="4"/>
  <c r="B21" i="4"/>
  <c r="B20" i="4"/>
  <c r="B19" i="4"/>
  <c r="B18" i="4"/>
  <c r="G18" i="4" s="1"/>
  <c r="H18" i="4" s="1"/>
  <c r="B17" i="4"/>
  <c r="B16" i="4"/>
  <c r="B15" i="4"/>
  <c r="B14" i="4"/>
  <c r="B13" i="4"/>
  <c r="B12" i="4"/>
  <c r="B11" i="4"/>
  <c r="B10" i="4"/>
  <c r="G10" i="4" s="1"/>
  <c r="H10" i="4" s="1"/>
  <c r="B9" i="4"/>
  <c r="B8" i="4"/>
  <c r="B7" i="4"/>
  <c r="B6" i="4"/>
  <c r="B5" i="4"/>
  <c r="B4" i="4"/>
  <c r="B3" i="4"/>
  <c r="B2" i="4"/>
  <c r="J22" i="4" l="1"/>
  <c r="K22" i="4" s="1"/>
  <c r="G11" i="4"/>
  <c r="H11" i="4" s="1"/>
  <c r="G35" i="4"/>
  <c r="H35" i="4" s="1"/>
  <c r="G67" i="4"/>
  <c r="H67" i="4" s="1"/>
  <c r="G91" i="4"/>
  <c r="H91" i="4" s="1"/>
  <c r="G107" i="4"/>
  <c r="H107" i="4" s="1"/>
  <c r="G131" i="4"/>
  <c r="H131" i="4" s="1"/>
  <c r="G155" i="4"/>
  <c r="H155" i="4" s="1"/>
  <c r="G171" i="4"/>
  <c r="H171" i="4" s="1"/>
  <c r="G195" i="4"/>
  <c r="H195" i="4" s="1"/>
  <c r="G227" i="4"/>
  <c r="H227" i="4" s="1"/>
  <c r="G251" i="4"/>
  <c r="H251" i="4" s="1"/>
  <c r="G275" i="4"/>
  <c r="H275" i="4" s="1"/>
  <c r="G291" i="4"/>
  <c r="H291" i="4" s="1"/>
  <c r="G315" i="4"/>
  <c r="H315" i="4" s="1"/>
  <c r="G347" i="4"/>
  <c r="H347" i="4" s="1"/>
  <c r="G363" i="4"/>
  <c r="H363" i="4" s="1"/>
  <c r="G395" i="4"/>
  <c r="H395" i="4" s="1"/>
  <c r="G419" i="4"/>
  <c r="H419" i="4" s="1"/>
  <c r="G443" i="4"/>
  <c r="H443" i="4" s="1"/>
  <c r="G467" i="4"/>
  <c r="H467" i="4" s="1"/>
  <c r="G491" i="4"/>
  <c r="H491" i="4" s="1"/>
  <c r="G515" i="4"/>
  <c r="H515" i="4" s="1"/>
  <c r="G531" i="4"/>
  <c r="H531" i="4" s="1"/>
  <c r="G563" i="4"/>
  <c r="H563" i="4" s="1"/>
  <c r="G587" i="4"/>
  <c r="H587" i="4" s="1"/>
  <c r="G611" i="4"/>
  <c r="H611" i="4" s="1"/>
  <c r="G627" i="4"/>
  <c r="H627" i="4" s="1"/>
  <c r="G651" i="4"/>
  <c r="H651" i="4" s="1"/>
  <c r="G675" i="4"/>
  <c r="H675" i="4" s="1"/>
  <c r="G707" i="4"/>
  <c r="H707" i="4" s="1"/>
  <c r="G723" i="4"/>
  <c r="H723" i="4" s="1"/>
  <c r="G739" i="4"/>
  <c r="H739" i="4" s="1"/>
  <c r="G771" i="4"/>
  <c r="H771" i="4" s="1"/>
  <c r="G795" i="4"/>
  <c r="H795" i="4" s="1"/>
  <c r="G819" i="4"/>
  <c r="H819" i="4" s="1"/>
  <c r="G835" i="4"/>
  <c r="H835" i="4" s="1"/>
  <c r="G867" i="4"/>
  <c r="H867" i="4" s="1"/>
  <c r="G891" i="4"/>
  <c r="H891" i="4" s="1"/>
  <c r="G915" i="4"/>
  <c r="H915" i="4" s="1"/>
  <c r="G939" i="4"/>
  <c r="H939" i="4" s="1"/>
  <c r="G963" i="4"/>
  <c r="H963" i="4" s="1"/>
  <c r="G979" i="4"/>
  <c r="H979" i="4" s="1"/>
  <c r="G1011" i="4"/>
  <c r="H1011" i="4" s="1"/>
  <c r="G1027" i="4"/>
  <c r="H1027" i="4" s="1"/>
  <c r="G1051" i="4"/>
  <c r="H1051" i="4" s="1"/>
  <c r="G1067" i="4"/>
  <c r="H1067" i="4" s="1"/>
  <c r="G1099" i="4"/>
  <c r="H1099" i="4" s="1"/>
  <c r="G1115" i="4"/>
  <c r="H1115" i="4" s="1"/>
  <c r="G1147" i="4"/>
  <c r="H1147" i="4" s="1"/>
  <c r="G1171" i="4"/>
  <c r="H1171" i="4" s="1"/>
  <c r="G1195" i="4"/>
  <c r="H1195" i="4" s="1"/>
  <c r="G1203" i="4"/>
  <c r="H1203" i="4" s="1"/>
  <c r="G1227" i="4"/>
  <c r="H1227" i="4" s="1"/>
  <c r="J23" i="4"/>
  <c r="K23" i="4" s="1"/>
  <c r="J47" i="4"/>
  <c r="K47" i="4" s="1"/>
  <c r="J71" i="4"/>
  <c r="K71" i="4" s="1"/>
  <c r="J103" i="4"/>
  <c r="K103" i="4" s="1"/>
  <c r="J127" i="4"/>
  <c r="K127" i="4" s="1"/>
  <c r="J151" i="4"/>
  <c r="K151" i="4" s="1"/>
  <c r="J175" i="4"/>
  <c r="K175" i="4" s="1"/>
  <c r="J183" i="4"/>
  <c r="K183" i="4" s="1"/>
  <c r="J207" i="4"/>
  <c r="K207" i="4" s="1"/>
  <c r="J231" i="4"/>
  <c r="K231" i="4" s="1"/>
  <c r="J263" i="4"/>
  <c r="K263" i="4" s="1"/>
  <c r="J287" i="4"/>
  <c r="K287" i="4" s="1"/>
  <c r="J303" i="4"/>
  <c r="K303" i="4" s="1"/>
  <c r="J327" i="4"/>
  <c r="K327" i="4" s="1"/>
  <c r="J343" i="4"/>
  <c r="K343" i="4" s="1"/>
  <c r="J367" i="4"/>
  <c r="K367" i="4" s="1"/>
  <c r="J391" i="4"/>
  <c r="K391" i="4" s="1"/>
  <c r="J423" i="4"/>
  <c r="K423" i="4" s="1"/>
  <c r="J431" i="4"/>
  <c r="K431" i="4" s="1"/>
  <c r="J455" i="4"/>
  <c r="K455" i="4" s="1"/>
  <c r="J479" i="4"/>
  <c r="K479" i="4" s="1"/>
  <c r="J487" i="4"/>
  <c r="K487" i="4" s="1"/>
  <c r="J503" i="4"/>
  <c r="K503" i="4" s="1"/>
  <c r="J519" i="4"/>
  <c r="K519" i="4" s="1"/>
  <c r="J543" i="4"/>
  <c r="K543" i="4" s="1"/>
  <c r="J551" i="4"/>
  <c r="K551" i="4" s="1"/>
  <c r="J567" i="4"/>
  <c r="K567" i="4" s="1"/>
  <c r="J591" i="4"/>
  <c r="K591" i="4" s="1"/>
  <c r="J615" i="4"/>
  <c r="K615" i="4" s="1"/>
  <c r="J639" i="4"/>
  <c r="K639" i="4" s="1"/>
  <c r="J663" i="4"/>
  <c r="K663" i="4" s="1"/>
  <c r="J687" i="4"/>
  <c r="K687" i="4" s="1"/>
  <c r="J711" i="4"/>
  <c r="K711" i="4" s="1"/>
  <c r="J735" i="4"/>
  <c r="K735" i="4" s="1"/>
  <c r="J759" i="4"/>
  <c r="K759" i="4" s="1"/>
  <c r="J783" i="4"/>
  <c r="K783" i="4" s="1"/>
  <c r="J799" i="4"/>
  <c r="K799" i="4" s="1"/>
  <c r="J1399" i="4"/>
  <c r="K1399" i="4" s="1"/>
  <c r="G28" i="4"/>
  <c r="H28" i="4" s="1"/>
  <c r="G228" i="4"/>
  <c r="H228" i="4" s="1"/>
  <c r="G356" i="4"/>
  <c r="H356" i="4" s="1"/>
  <c r="G420" i="4"/>
  <c r="H420" i="4" s="1"/>
  <c r="G476" i="4"/>
  <c r="H476" i="4" s="1"/>
  <c r="G580" i="4"/>
  <c r="H580" i="4" s="1"/>
  <c r="G884" i="4"/>
  <c r="H884" i="4" s="1"/>
  <c r="G1180" i="4"/>
  <c r="H1180" i="4" s="1"/>
  <c r="G229" i="4"/>
  <c r="H229" i="4" s="1"/>
  <c r="G309" i="4"/>
  <c r="H309" i="4" s="1"/>
  <c r="G357" i="4"/>
  <c r="H357" i="4" s="1"/>
  <c r="G397" i="4"/>
  <c r="H397" i="4" s="1"/>
  <c r="G477" i="4"/>
  <c r="H477" i="4" s="1"/>
  <c r="G717" i="4"/>
  <c r="H717" i="4" s="1"/>
  <c r="G757" i="4"/>
  <c r="H757" i="4" s="1"/>
  <c r="G885" i="4"/>
  <c r="H885" i="4" s="1"/>
  <c r="G957" i="4"/>
  <c r="H957" i="4" s="1"/>
  <c r="G1077" i="4"/>
  <c r="H1077" i="4" s="1"/>
  <c r="G1141" i="4"/>
  <c r="H1141" i="4" s="1"/>
  <c r="G1205" i="4"/>
  <c r="H1205" i="4" s="1"/>
  <c r="G102" i="4"/>
  <c r="H102" i="4" s="1"/>
  <c r="G182" i="4"/>
  <c r="H182" i="4" s="1"/>
  <c r="G270" i="4"/>
  <c r="H270" i="4" s="1"/>
  <c r="G638" i="4"/>
  <c r="H638" i="4" s="1"/>
  <c r="G678" i="4"/>
  <c r="H678" i="4" s="1"/>
  <c r="G758" i="4"/>
  <c r="H758" i="4" s="1"/>
  <c r="G1014" i="4"/>
  <c r="H1014" i="4" s="1"/>
  <c r="G1070" i="4"/>
  <c r="H1070" i="4" s="1"/>
  <c r="G1134" i="4"/>
  <c r="H1134" i="4" s="1"/>
  <c r="J74" i="4"/>
  <c r="K74" i="4" s="1"/>
  <c r="J14" i="4"/>
  <c r="K14" i="4" s="1"/>
  <c r="G19" i="4"/>
  <c r="H19" i="4" s="1"/>
  <c r="G43" i="4"/>
  <c r="H43" i="4" s="1"/>
  <c r="G59" i="4"/>
  <c r="H59" i="4" s="1"/>
  <c r="G83" i="4"/>
  <c r="H83" i="4" s="1"/>
  <c r="G99" i="4"/>
  <c r="H99" i="4" s="1"/>
  <c r="G123" i="4"/>
  <c r="H123" i="4" s="1"/>
  <c r="G147" i="4"/>
  <c r="H147" i="4" s="1"/>
  <c r="G179" i="4"/>
  <c r="H179" i="4" s="1"/>
  <c r="G203" i="4"/>
  <c r="H203" i="4" s="1"/>
  <c r="G219" i="4"/>
  <c r="H219" i="4" s="1"/>
  <c r="G243" i="4"/>
  <c r="H243" i="4" s="1"/>
  <c r="G267" i="4"/>
  <c r="H267" i="4" s="1"/>
  <c r="G299" i="4"/>
  <c r="H299" i="4" s="1"/>
  <c r="G323" i="4"/>
  <c r="H323" i="4" s="1"/>
  <c r="G339" i="4"/>
  <c r="H339" i="4" s="1"/>
  <c r="G371" i="4"/>
  <c r="H371" i="4" s="1"/>
  <c r="G387" i="4"/>
  <c r="H387" i="4" s="1"/>
  <c r="G411" i="4"/>
  <c r="H411" i="4" s="1"/>
  <c r="G435" i="4"/>
  <c r="H435" i="4" s="1"/>
  <c r="G459" i="4"/>
  <c r="H459" i="4" s="1"/>
  <c r="G483" i="4"/>
  <c r="H483" i="4" s="1"/>
  <c r="G507" i="4"/>
  <c r="H507" i="4" s="1"/>
  <c r="G539" i="4"/>
  <c r="H539" i="4" s="1"/>
  <c r="G555" i="4"/>
  <c r="H555" i="4" s="1"/>
  <c r="G579" i="4"/>
  <c r="H579" i="4" s="1"/>
  <c r="G595" i="4"/>
  <c r="H595" i="4" s="1"/>
  <c r="G635" i="4"/>
  <c r="H635" i="4" s="1"/>
  <c r="G659" i="4"/>
  <c r="H659" i="4" s="1"/>
  <c r="G683" i="4"/>
  <c r="H683" i="4" s="1"/>
  <c r="G699" i="4"/>
  <c r="H699" i="4" s="1"/>
  <c r="G715" i="4"/>
  <c r="H715" i="4" s="1"/>
  <c r="G747" i="4"/>
  <c r="H747" i="4" s="1"/>
  <c r="G763" i="4"/>
  <c r="H763" i="4" s="1"/>
  <c r="G787" i="4"/>
  <c r="H787" i="4" s="1"/>
  <c r="G811" i="4"/>
  <c r="H811" i="4" s="1"/>
  <c r="G843" i="4"/>
  <c r="H843" i="4" s="1"/>
  <c r="G859" i="4"/>
  <c r="H859" i="4" s="1"/>
  <c r="G883" i="4"/>
  <c r="H883" i="4" s="1"/>
  <c r="G907" i="4"/>
  <c r="H907" i="4" s="1"/>
  <c r="G931" i="4"/>
  <c r="H931" i="4" s="1"/>
  <c r="G955" i="4"/>
  <c r="H955" i="4" s="1"/>
  <c r="G987" i="4"/>
  <c r="H987" i="4" s="1"/>
  <c r="G1003" i="4"/>
  <c r="H1003" i="4" s="1"/>
  <c r="G1019" i="4"/>
  <c r="H1019" i="4" s="1"/>
  <c r="G1043" i="4"/>
  <c r="H1043" i="4" s="1"/>
  <c r="G1075" i="4"/>
  <c r="H1075" i="4" s="1"/>
  <c r="G1091" i="4"/>
  <c r="H1091" i="4" s="1"/>
  <c r="G1123" i="4"/>
  <c r="H1123" i="4" s="1"/>
  <c r="G1139" i="4"/>
  <c r="H1139" i="4" s="1"/>
  <c r="G1163" i="4"/>
  <c r="H1163" i="4" s="1"/>
  <c r="G1187" i="4"/>
  <c r="H1187" i="4" s="1"/>
  <c r="G1211" i="4"/>
  <c r="H1211" i="4" s="1"/>
  <c r="J7" i="4"/>
  <c r="K7" i="4" s="1"/>
  <c r="J31" i="4"/>
  <c r="K31" i="4" s="1"/>
  <c r="J55" i="4"/>
  <c r="K55" i="4" s="1"/>
  <c r="J79" i="4"/>
  <c r="K79" i="4" s="1"/>
  <c r="J95" i="4"/>
  <c r="K95" i="4" s="1"/>
  <c r="J119" i="4"/>
  <c r="K119" i="4" s="1"/>
  <c r="J143" i="4"/>
  <c r="K143" i="4" s="1"/>
  <c r="J159" i="4"/>
  <c r="K159" i="4" s="1"/>
  <c r="J191" i="4"/>
  <c r="K191" i="4" s="1"/>
  <c r="J215" i="4"/>
  <c r="K215" i="4" s="1"/>
  <c r="J239" i="4"/>
  <c r="K239" i="4" s="1"/>
  <c r="J255" i="4"/>
  <c r="K255" i="4" s="1"/>
  <c r="J279" i="4"/>
  <c r="K279" i="4" s="1"/>
  <c r="J311" i="4"/>
  <c r="K311" i="4" s="1"/>
  <c r="J319" i="4"/>
  <c r="K319" i="4" s="1"/>
  <c r="J351" i="4"/>
  <c r="K351" i="4" s="1"/>
  <c r="J375" i="4"/>
  <c r="K375" i="4" s="1"/>
  <c r="J399" i="4"/>
  <c r="K399" i="4" s="1"/>
  <c r="J415" i="4"/>
  <c r="K415" i="4" s="1"/>
  <c r="J439" i="4"/>
  <c r="K439" i="4" s="1"/>
  <c r="J463" i="4"/>
  <c r="K463" i="4" s="1"/>
  <c r="J471" i="4"/>
  <c r="K471" i="4" s="1"/>
  <c r="J495" i="4"/>
  <c r="K495" i="4" s="1"/>
  <c r="J511" i="4"/>
  <c r="K511" i="4" s="1"/>
  <c r="J527" i="4"/>
  <c r="K527" i="4" s="1"/>
  <c r="J535" i="4"/>
  <c r="K535" i="4" s="1"/>
  <c r="J559" i="4"/>
  <c r="K559" i="4" s="1"/>
  <c r="J575" i="4"/>
  <c r="K575" i="4" s="1"/>
  <c r="J599" i="4"/>
  <c r="K599" i="4" s="1"/>
  <c r="J623" i="4"/>
  <c r="K623" i="4" s="1"/>
  <c r="J647" i="4"/>
  <c r="K647" i="4" s="1"/>
  <c r="J671" i="4"/>
  <c r="K671" i="4" s="1"/>
  <c r="J695" i="4"/>
  <c r="K695" i="4" s="1"/>
  <c r="J719" i="4"/>
  <c r="K719" i="4" s="1"/>
  <c r="J743" i="4"/>
  <c r="K743" i="4" s="1"/>
  <c r="J767" i="4"/>
  <c r="K767" i="4" s="1"/>
  <c r="J791" i="4"/>
  <c r="K791" i="4" s="1"/>
  <c r="J807" i="4"/>
  <c r="K807" i="4" s="1"/>
  <c r="J1135" i="4"/>
  <c r="K1135" i="4" s="1"/>
  <c r="G68" i="4"/>
  <c r="H68" i="4" s="1"/>
  <c r="G268" i="4"/>
  <c r="H268" i="4" s="1"/>
  <c r="G348" i="4"/>
  <c r="H348" i="4" s="1"/>
  <c r="G396" i="4"/>
  <c r="H396" i="4" s="1"/>
  <c r="G460" i="4"/>
  <c r="H460" i="4" s="1"/>
  <c r="G540" i="4"/>
  <c r="H540" i="4" s="1"/>
  <c r="G812" i="4"/>
  <c r="H812" i="4" s="1"/>
  <c r="G948" i="4"/>
  <c r="H948" i="4" s="1"/>
  <c r="G269" i="4"/>
  <c r="H269" i="4" s="1"/>
  <c r="G317" i="4"/>
  <c r="H317" i="4" s="1"/>
  <c r="G349" i="4"/>
  <c r="H349" i="4" s="1"/>
  <c r="G437" i="4"/>
  <c r="H437" i="4" s="1"/>
  <c r="G637" i="4"/>
  <c r="H637" i="4" s="1"/>
  <c r="G677" i="4"/>
  <c r="H677" i="4" s="1"/>
  <c r="G813" i="4"/>
  <c r="H813" i="4" s="1"/>
  <c r="G901" i="4"/>
  <c r="H901" i="4" s="1"/>
  <c r="G949" i="4"/>
  <c r="H949" i="4" s="1"/>
  <c r="G1013" i="4"/>
  <c r="H1013" i="4" s="1"/>
  <c r="G1133" i="4"/>
  <c r="H1133" i="4" s="1"/>
  <c r="G1197" i="4"/>
  <c r="H1197" i="4" s="1"/>
  <c r="G62" i="4"/>
  <c r="H62" i="4" s="1"/>
  <c r="G142" i="4"/>
  <c r="H142" i="4" s="1"/>
  <c r="G190" i="4"/>
  <c r="H190" i="4" s="1"/>
  <c r="G310" i="4"/>
  <c r="H310" i="4" s="1"/>
  <c r="G718" i="4"/>
  <c r="H718" i="4" s="1"/>
  <c r="G766" i="4"/>
  <c r="H766" i="4" s="1"/>
  <c r="G902" i="4"/>
  <c r="H902" i="4" s="1"/>
  <c r="G1078" i="4"/>
  <c r="H1078" i="4" s="1"/>
  <c r="G1142" i="4"/>
  <c r="H1142" i="4" s="1"/>
  <c r="G1206" i="4"/>
  <c r="H1206" i="4" s="1"/>
  <c r="G2" i="4"/>
  <c r="H2" i="4" s="1"/>
  <c r="J545" i="4"/>
  <c r="K545" i="4" s="1"/>
  <c r="J218" i="4"/>
  <c r="K218" i="4" s="1"/>
  <c r="J138" i="4"/>
  <c r="K138" i="4" s="1"/>
  <c r="J1043" i="4"/>
  <c r="K1043" i="4" s="1"/>
  <c r="J537" i="4"/>
  <c r="K537" i="4" s="1"/>
  <c r="J778" i="4"/>
  <c r="K778" i="4" s="1"/>
  <c r="J529" i="4"/>
  <c r="K529" i="4" s="1"/>
  <c r="J90" i="4"/>
  <c r="K90" i="4" s="1"/>
  <c r="J1237" i="4"/>
  <c r="K1237" i="4" s="1"/>
  <c r="J917" i="4"/>
  <c r="K917" i="4" s="1"/>
  <c r="J771" i="4"/>
  <c r="K771" i="4" s="1"/>
  <c r="J619" i="4"/>
  <c r="K619" i="4" s="1"/>
  <c r="J500" i="4"/>
  <c r="K500" i="4" s="1"/>
  <c r="J404" i="4"/>
  <c r="K404" i="4" s="1"/>
  <c r="J282" i="4"/>
  <c r="K282" i="4" s="1"/>
  <c r="J202" i="4"/>
  <c r="K202" i="4" s="1"/>
  <c r="J76" i="4"/>
  <c r="K76" i="4" s="1"/>
  <c r="J555" i="4"/>
  <c r="K555" i="4" s="1"/>
  <c r="J341" i="4"/>
  <c r="K341" i="4" s="1"/>
  <c r="J139" i="4"/>
  <c r="K139" i="4" s="1"/>
  <c r="J1203" i="4"/>
  <c r="K1203" i="4" s="1"/>
  <c r="J483" i="4"/>
  <c r="K483" i="4" s="1"/>
  <c r="J277" i="4"/>
  <c r="K277" i="4" s="1"/>
  <c r="J75" i="4"/>
  <c r="K75" i="4" s="1"/>
  <c r="J365" i="4"/>
  <c r="K365" i="4" s="1"/>
  <c r="J884" i="4"/>
  <c r="K884" i="4" s="1"/>
  <c r="J140" i="4"/>
  <c r="K140" i="4" s="1"/>
  <c r="J701" i="4"/>
  <c r="K701" i="4" s="1"/>
  <c r="J469" i="4"/>
  <c r="K469" i="4" s="1"/>
  <c r="J276" i="4"/>
  <c r="K276" i="4" s="1"/>
  <c r="J397" i="4"/>
  <c r="K397" i="4" s="1"/>
  <c r="J173" i="4"/>
  <c r="K173" i="4" s="1"/>
  <c r="J603" i="4"/>
  <c r="K603" i="4" s="1"/>
  <c r="J154" i="4"/>
  <c r="K154" i="4" s="1"/>
  <c r="J573" i="4"/>
  <c r="K573" i="4" s="1"/>
  <c r="J1083" i="4"/>
  <c r="K1083" i="4" s="1"/>
  <c r="J692" i="4"/>
  <c r="K692" i="4" s="1"/>
  <c r="J468" i="4"/>
  <c r="K468" i="4" s="1"/>
  <c r="J266" i="4"/>
  <c r="K266" i="4" s="1"/>
  <c r="J36" i="4"/>
  <c r="K36" i="4" s="1"/>
  <c r="J1075" i="4"/>
  <c r="K1075" i="4" s="1"/>
  <c r="J691" i="4"/>
  <c r="K691" i="4" s="1"/>
  <c r="J461" i="4"/>
  <c r="K461" i="4" s="1"/>
  <c r="J237" i="4"/>
  <c r="K237" i="4" s="1"/>
  <c r="J20" i="4"/>
  <c r="K20" i="4" s="1"/>
  <c r="J617" i="4"/>
  <c r="K617" i="4" s="1"/>
  <c r="J893" i="4"/>
  <c r="K893" i="4" s="1"/>
  <c r="J346" i="4"/>
  <c r="K346" i="4" s="1"/>
  <c r="J6" i="4"/>
  <c r="K6" i="4" s="1"/>
  <c r="G1223" i="4"/>
  <c r="H1223" i="4" s="1"/>
  <c r="G1159" i="4"/>
  <c r="H1159" i="4" s="1"/>
  <c r="G1095" i="4"/>
  <c r="H1095" i="4" s="1"/>
  <c r="G1031" i="4"/>
  <c r="H1031" i="4" s="1"/>
  <c r="G969" i="4"/>
  <c r="H969" i="4" s="1"/>
  <c r="G920" i="4"/>
  <c r="H920" i="4" s="1"/>
  <c r="G829" i="4"/>
  <c r="H829" i="4" s="1"/>
  <c r="G783" i="4"/>
  <c r="H783" i="4" s="1"/>
  <c r="G740" i="4"/>
  <c r="H740" i="4" s="1"/>
  <c r="G694" i="4"/>
  <c r="H694" i="4" s="1"/>
  <c r="G654" i="4"/>
  <c r="H654" i="4" s="1"/>
  <c r="G614" i="4"/>
  <c r="H614" i="4" s="1"/>
  <c r="G574" i="4"/>
  <c r="H574" i="4" s="1"/>
  <c r="G534" i="4"/>
  <c r="H534" i="4" s="1"/>
  <c r="G285" i="4"/>
  <c r="H285" i="4" s="1"/>
  <c r="G245" i="4"/>
  <c r="H245" i="4" s="1"/>
  <c r="G205" i="4"/>
  <c r="H205" i="4" s="1"/>
  <c r="G165" i="4"/>
  <c r="H165" i="4" s="1"/>
  <c r="G125" i="4"/>
  <c r="H125" i="4" s="1"/>
  <c r="G79" i="4"/>
  <c r="H79" i="4" s="1"/>
  <c r="G39" i="4"/>
  <c r="H39" i="4" s="1"/>
  <c r="G1102" i="4"/>
  <c r="H1102" i="4" s="1"/>
  <c r="G974" i="4"/>
  <c r="H974" i="4" s="1"/>
  <c r="G830" i="4"/>
  <c r="H830" i="4" s="1"/>
  <c r="G701" i="4"/>
  <c r="H701" i="4" s="1"/>
  <c r="G575" i="4"/>
  <c r="H575" i="4" s="1"/>
  <c r="G452" i="4"/>
  <c r="H452" i="4" s="1"/>
  <c r="G332" i="4"/>
  <c r="H332" i="4" s="1"/>
  <c r="G206" i="4"/>
  <c r="H206" i="4" s="1"/>
  <c r="G86" i="4"/>
  <c r="H86" i="4" s="1"/>
  <c r="G1040" i="4"/>
  <c r="H1040" i="4" s="1"/>
  <c r="G976" i="4"/>
  <c r="H976" i="4" s="1"/>
  <c r="G839" i="4"/>
  <c r="H839" i="4" s="1"/>
  <c r="G743" i="4"/>
  <c r="H743" i="4" s="1"/>
  <c r="G703" i="4"/>
  <c r="H703" i="4" s="1"/>
  <c r="G663" i="4"/>
  <c r="H663" i="4" s="1"/>
  <c r="G623" i="4"/>
  <c r="H623" i="4" s="1"/>
  <c r="G374" i="4"/>
  <c r="H374" i="4" s="1"/>
  <c r="G334" i="4"/>
  <c r="H334" i="4" s="1"/>
  <c r="G294" i="4"/>
  <c r="H294" i="4" s="1"/>
  <c r="G254" i="4"/>
  <c r="H254" i="4" s="1"/>
  <c r="G214" i="4"/>
  <c r="H214" i="4" s="1"/>
  <c r="G1103" i="4"/>
  <c r="H1103" i="4" s="1"/>
  <c r="G975" i="4"/>
  <c r="H975" i="4" s="1"/>
  <c r="G929" i="4"/>
  <c r="H929" i="4" s="1"/>
  <c r="G785" i="4"/>
  <c r="H785" i="4" s="1"/>
  <c r="G702" i="4"/>
  <c r="H702" i="4" s="1"/>
  <c r="G373" i="4"/>
  <c r="H373" i="4" s="1"/>
  <c r="G293" i="4"/>
  <c r="H293" i="4" s="1"/>
  <c r="G207" i="4"/>
  <c r="H207" i="4" s="1"/>
  <c r="G167" i="4"/>
  <c r="H167" i="4" s="1"/>
  <c r="G87" i="4"/>
  <c r="H87" i="4" s="1"/>
  <c r="G1166" i="4"/>
  <c r="H1166" i="4" s="1"/>
  <c r="G928" i="4"/>
  <c r="H928" i="4" s="1"/>
  <c r="G784" i="4"/>
  <c r="H784" i="4" s="1"/>
  <c r="G615" i="4"/>
  <c r="H615" i="4" s="1"/>
  <c r="G495" i="4"/>
  <c r="H495" i="4" s="1"/>
  <c r="G372" i="4"/>
  <c r="H372" i="4" s="1"/>
  <c r="G246" i="4"/>
  <c r="H246" i="4" s="1"/>
  <c r="G126" i="4"/>
  <c r="H126" i="4" s="1"/>
  <c r="G1173" i="4"/>
  <c r="H1173" i="4" s="1"/>
  <c r="G1039" i="4"/>
  <c r="H1039" i="4" s="1"/>
  <c r="G831" i="4"/>
  <c r="H831" i="4" s="1"/>
  <c r="G742" i="4"/>
  <c r="H742" i="4" s="1"/>
  <c r="G662" i="4"/>
  <c r="H662" i="4" s="1"/>
  <c r="G413" i="4"/>
  <c r="H413" i="4" s="1"/>
  <c r="G333" i="4"/>
  <c r="H333" i="4" s="1"/>
  <c r="G253" i="4"/>
  <c r="H253" i="4" s="1"/>
  <c r="G127" i="4"/>
  <c r="H127" i="4" s="1"/>
  <c r="G47" i="4"/>
  <c r="H47" i="4" s="1"/>
  <c r="G1038" i="4"/>
  <c r="H1038" i="4" s="1"/>
  <c r="G876" i="4"/>
  <c r="H876" i="4" s="1"/>
  <c r="G741" i="4"/>
  <c r="H741" i="4" s="1"/>
  <c r="G655" i="4"/>
  <c r="H655" i="4" s="1"/>
  <c r="G535" i="4"/>
  <c r="H535" i="4" s="1"/>
  <c r="G412" i="4"/>
  <c r="H412" i="4" s="1"/>
  <c r="G292" i="4"/>
  <c r="H292" i="4" s="1"/>
  <c r="G166" i="4"/>
  <c r="H166" i="4" s="1"/>
  <c r="G3" i="4"/>
  <c r="H3" i="4" s="1"/>
  <c r="G27" i="4"/>
  <c r="H27" i="4" s="1"/>
  <c r="G51" i="4"/>
  <c r="H51" i="4" s="1"/>
  <c r="G75" i="4"/>
  <c r="H75" i="4" s="1"/>
  <c r="G115" i="4"/>
  <c r="H115" i="4" s="1"/>
  <c r="G139" i="4"/>
  <c r="H139" i="4" s="1"/>
  <c r="G163" i="4"/>
  <c r="H163" i="4" s="1"/>
  <c r="G187" i="4"/>
  <c r="H187" i="4" s="1"/>
  <c r="G211" i="4"/>
  <c r="H211" i="4" s="1"/>
  <c r="G235" i="4"/>
  <c r="H235" i="4" s="1"/>
  <c r="G259" i="4"/>
  <c r="H259" i="4" s="1"/>
  <c r="G283" i="4"/>
  <c r="H283" i="4" s="1"/>
  <c r="G307" i="4"/>
  <c r="H307" i="4" s="1"/>
  <c r="G331" i="4"/>
  <c r="H331" i="4" s="1"/>
  <c r="G355" i="4"/>
  <c r="H355" i="4" s="1"/>
  <c r="G379" i="4"/>
  <c r="H379" i="4" s="1"/>
  <c r="G403" i="4"/>
  <c r="H403" i="4" s="1"/>
  <c r="G427" i="4"/>
  <c r="H427" i="4" s="1"/>
  <c r="G451" i="4"/>
  <c r="H451" i="4" s="1"/>
  <c r="G475" i="4"/>
  <c r="H475" i="4" s="1"/>
  <c r="G499" i="4"/>
  <c r="H499" i="4" s="1"/>
  <c r="G523" i="4"/>
  <c r="H523" i="4" s="1"/>
  <c r="G547" i="4"/>
  <c r="H547" i="4" s="1"/>
  <c r="G571" i="4"/>
  <c r="H571" i="4" s="1"/>
  <c r="G603" i="4"/>
  <c r="H603" i="4" s="1"/>
  <c r="G619" i="4"/>
  <c r="H619" i="4" s="1"/>
  <c r="G643" i="4"/>
  <c r="H643" i="4" s="1"/>
  <c r="G667" i="4"/>
  <c r="H667" i="4" s="1"/>
  <c r="G691" i="4"/>
  <c r="H691" i="4" s="1"/>
  <c r="G731" i="4"/>
  <c r="H731" i="4" s="1"/>
  <c r="G755" i="4"/>
  <c r="H755" i="4" s="1"/>
  <c r="G779" i="4"/>
  <c r="H779" i="4" s="1"/>
  <c r="G803" i="4"/>
  <c r="H803" i="4" s="1"/>
  <c r="G827" i="4"/>
  <c r="H827" i="4" s="1"/>
  <c r="G851" i="4"/>
  <c r="H851" i="4" s="1"/>
  <c r="G875" i="4"/>
  <c r="H875" i="4" s="1"/>
  <c r="G899" i="4"/>
  <c r="H899" i="4" s="1"/>
  <c r="G923" i="4"/>
  <c r="H923" i="4" s="1"/>
  <c r="G947" i="4"/>
  <c r="H947" i="4" s="1"/>
  <c r="G971" i="4"/>
  <c r="H971" i="4" s="1"/>
  <c r="G995" i="4"/>
  <c r="H995" i="4" s="1"/>
  <c r="G1035" i="4"/>
  <c r="H1035" i="4" s="1"/>
  <c r="G1059" i="4"/>
  <c r="H1059" i="4" s="1"/>
  <c r="G1083" i="4"/>
  <c r="H1083" i="4" s="1"/>
  <c r="G1107" i="4"/>
  <c r="H1107" i="4" s="1"/>
  <c r="G1131" i="4"/>
  <c r="H1131" i="4" s="1"/>
  <c r="G1155" i="4"/>
  <c r="H1155" i="4" s="1"/>
  <c r="G1179" i="4"/>
  <c r="H1179" i="4" s="1"/>
  <c r="G1219" i="4"/>
  <c r="H1219" i="4" s="1"/>
  <c r="J15" i="4"/>
  <c r="K15" i="4" s="1"/>
  <c r="J39" i="4"/>
  <c r="K39" i="4" s="1"/>
  <c r="J63" i="4"/>
  <c r="K63" i="4" s="1"/>
  <c r="J87" i="4"/>
  <c r="K87" i="4" s="1"/>
  <c r="J111" i="4"/>
  <c r="K111" i="4" s="1"/>
  <c r="J135" i="4"/>
  <c r="K135" i="4" s="1"/>
  <c r="J167" i="4"/>
  <c r="K167" i="4" s="1"/>
  <c r="J199" i="4"/>
  <c r="K199" i="4" s="1"/>
  <c r="J223" i="4"/>
  <c r="K223" i="4" s="1"/>
  <c r="J247" i="4"/>
  <c r="K247" i="4" s="1"/>
  <c r="J271" i="4"/>
  <c r="K271" i="4" s="1"/>
  <c r="J295" i="4"/>
  <c r="K295" i="4" s="1"/>
  <c r="J335" i="4"/>
  <c r="K335" i="4" s="1"/>
  <c r="J359" i="4"/>
  <c r="K359" i="4" s="1"/>
  <c r="J383" i="4"/>
  <c r="K383" i="4" s="1"/>
  <c r="J407" i="4"/>
  <c r="K407" i="4" s="1"/>
  <c r="J447" i="4"/>
  <c r="K447" i="4" s="1"/>
  <c r="J583" i="4"/>
  <c r="K583" i="4" s="1"/>
  <c r="J607" i="4"/>
  <c r="K607" i="4" s="1"/>
  <c r="J631" i="4"/>
  <c r="K631" i="4" s="1"/>
  <c r="J655" i="4"/>
  <c r="K655" i="4" s="1"/>
  <c r="J679" i="4"/>
  <c r="K679" i="4" s="1"/>
  <c r="J703" i="4"/>
  <c r="K703" i="4" s="1"/>
  <c r="J727" i="4"/>
  <c r="K727" i="4" s="1"/>
  <c r="J751" i="4"/>
  <c r="K751" i="4" s="1"/>
  <c r="J775" i="4"/>
  <c r="K775" i="4" s="1"/>
  <c r="J815" i="4"/>
  <c r="K815" i="4" s="1"/>
  <c r="G4" i="4"/>
  <c r="H4" i="4" s="1"/>
  <c r="G308" i="4"/>
  <c r="H308" i="4" s="1"/>
  <c r="G388" i="4"/>
  <c r="H388" i="4" s="1"/>
  <c r="G436" i="4"/>
  <c r="H436" i="4" s="1"/>
  <c r="G500" i="4"/>
  <c r="H500" i="4" s="1"/>
  <c r="G516" i="4"/>
  <c r="H516" i="4" s="1"/>
  <c r="G1116" i="4"/>
  <c r="H1116" i="4" s="1"/>
  <c r="G189" i="4"/>
  <c r="H189" i="4" s="1"/>
  <c r="G22" i="4"/>
  <c r="H22" i="4" s="1"/>
  <c r="G150" i="4"/>
  <c r="H150" i="4" s="1"/>
  <c r="G230" i="4"/>
  <c r="H230" i="4" s="1"/>
  <c r="G598" i="4"/>
  <c r="H598" i="4" s="1"/>
  <c r="G726" i="4"/>
  <c r="H726" i="4" s="1"/>
  <c r="G1198" i="4"/>
  <c r="H1198" i="4" s="1"/>
  <c r="G857" i="4"/>
  <c r="H857" i="4" s="1"/>
  <c r="G1226" i="4"/>
  <c r="H1226" i="4" s="1"/>
  <c r="J30" i="4"/>
  <c r="K30" i="4" s="1"/>
  <c r="J38" i="4"/>
  <c r="K38" i="4" s="1"/>
  <c r="J46" i="4"/>
  <c r="K46" i="4" s="1"/>
  <c r="J54" i="4"/>
  <c r="K54" i="4" s="1"/>
  <c r="J62" i="4"/>
  <c r="K62" i="4" s="1"/>
  <c r="J70" i="4"/>
  <c r="K70" i="4" s="1"/>
  <c r="J78" i="4"/>
  <c r="K78" i="4" s="1"/>
  <c r="J86" i="4"/>
  <c r="K86" i="4" s="1"/>
  <c r="J94" i="4"/>
  <c r="K94" i="4" s="1"/>
  <c r="J102" i="4"/>
  <c r="K102" i="4" s="1"/>
  <c r="J110" i="4"/>
  <c r="K110" i="4" s="1"/>
  <c r="J118" i="4"/>
  <c r="K118" i="4" s="1"/>
  <c r="J126" i="4"/>
  <c r="K126" i="4" s="1"/>
  <c r="J134" i="4"/>
  <c r="K134" i="4" s="1"/>
  <c r="J142" i="4"/>
  <c r="K142" i="4" s="1"/>
  <c r="J150" i="4"/>
  <c r="K150" i="4" s="1"/>
  <c r="J158" i="4"/>
  <c r="K158" i="4" s="1"/>
  <c r="J166" i="4"/>
  <c r="K166" i="4" s="1"/>
  <c r="J174" i="4"/>
  <c r="K174" i="4" s="1"/>
  <c r="J182" i="4"/>
  <c r="K182" i="4" s="1"/>
  <c r="J190" i="4"/>
  <c r="K190" i="4" s="1"/>
  <c r="J198" i="4"/>
  <c r="K198" i="4" s="1"/>
  <c r="J206" i="4"/>
  <c r="K206" i="4" s="1"/>
  <c r="J214" i="4"/>
  <c r="K214" i="4" s="1"/>
  <c r="J222" i="4"/>
  <c r="K222" i="4" s="1"/>
  <c r="J230" i="4"/>
  <c r="K230" i="4" s="1"/>
  <c r="J238" i="4"/>
  <c r="K238" i="4" s="1"/>
  <c r="J246" i="4"/>
  <c r="K246" i="4" s="1"/>
  <c r="J254" i="4"/>
  <c r="K254" i="4" s="1"/>
  <c r="J262" i="4"/>
  <c r="K262" i="4" s="1"/>
  <c r="J270" i="4"/>
  <c r="K270" i="4" s="1"/>
  <c r="J278" i="4"/>
  <c r="K278" i="4" s="1"/>
  <c r="J286" i="4"/>
  <c r="K286" i="4" s="1"/>
  <c r="J294" i="4"/>
  <c r="K294" i="4" s="1"/>
  <c r="J302" i="4"/>
  <c r="K302" i="4" s="1"/>
  <c r="J310" i="4"/>
  <c r="K310" i="4" s="1"/>
  <c r="J318" i="4"/>
  <c r="K318" i="4" s="1"/>
  <c r="J326" i="4"/>
  <c r="K326" i="4" s="1"/>
  <c r="J334" i="4"/>
  <c r="K334" i="4" s="1"/>
  <c r="J342" i="4"/>
  <c r="K342" i="4" s="1"/>
  <c r="J350" i="4"/>
  <c r="K350" i="4" s="1"/>
  <c r="J358" i="4"/>
  <c r="K358" i="4" s="1"/>
  <c r="J366" i="4"/>
  <c r="K366" i="4" s="1"/>
  <c r="J374" i="4"/>
  <c r="K374" i="4" s="1"/>
  <c r="J382" i="4"/>
  <c r="K382" i="4" s="1"/>
  <c r="J390" i="4"/>
  <c r="K390" i="4" s="1"/>
  <c r="J398" i="4"/>
  <c r="K398" i="4" s="1"/>
  <c r="J406" i="4"/>
  <c r="K406" i="4" s="1"/>
  <c r="J414" i="4"/>
  <c r="K414" i="4" s="1"/>
  <c r="J422" i="4"/>
  <c r="K422" i="4" s="1"/>
  <c r="J430" i="4"/>
  <c r="K430" i="4" s="1"/>
  <c r="J438" i="4"/>
  <c r="K438" i="4" s="1"/>
  <c r="J446" i="4"/>
  <c r="K446" i="4" s="1"/>
  <c r="J454" i="4"/>
  <c r="K454" i="4" s="1"/>
  <c r="J462" i="4"/>
  <c r="K462" i="4" s="1"/>
  <c r="J470" i="4"/>
  <c r="K470" i="4" s="1"/>
  <c r="J478" i="4"/>
  <c r="K478" i="4" s="1"/>
  <c r="J486" i="4"/>
  <c r="K486" i="4" s="1"/>
  <c r="J494" i="4"/>
  <c r="K494" i="4" s="1"/>
  <c r="J502" i="4"/>
  <c r="K502" i="4" s="1"/>
  <c r="J510" i="4"/>
  <c r="K510" i="4" s="1"/>
  <c r="J518" i="4"/>
  <c r="K518" i="4" s="1"/>
  <c r="J526" i="4"/>
  <c r="K526" i="4" s="1"/>
  <c r="J534" i="4"/>
  <c r="K534" i="4" s="1"/>
  <c r="J542" i="4"/>
  <c r="K542" i="4" s="1"/>
  <c r="J550" i="4"/>
  <c r="K550" i="4" s="1"/>
  <c r="J558" i="4"/>
  <c r="K558" i="4" s="1"/>
  <c r="J566" i="4"/>
  <c r="K566" i="4" s="1"/>
  <c r="J574" i="4"/>
  <c r="K574" i="4" s="1"/>
  <c r="J582" i="4"/>
  <c r="K582" i="4" s="1"/>
  <c r="J590" i="4"/>
  <c r="K590" i="4" s="1"/>
  <c r="J598" i="4"/>
  <c r="K598" i="4" s="1"/>
  <c r="J606" i="4"/>
  <c r="K606" i="4" s="1"/>
  <c r="J614" i="4"/>
  <c r="K614" i="4" s="1"/>
  <c r="J622" i="4"/>
  <c r="K622" i="4" s="1"/>
  <c r="J630" i="4"/>
  <c r="K630" i="4" s="1"/>
  <c r="J638" i="4"/>
  <c r="K638" i="4" s="1"/>
  <c r="J646" i="4"/>
  <c r="K646" i="4" s="1"/>
  <c r="J654" i="4"/>
  <c r="K654" i="4" s="1"/>
  <c r="J662" i="4"/>
  <c r="K662" i="4" s="1"/>
  <c r="J670" i="4"/>
  <c r="K670" i="4" s="1"/>
  <c r="J678" i="4"/>
  <c r="K678" i="4" s="1"/>
  <c r="J686" i="4"/>
  <c r="K686" i="4" s="1"/>
  <c r="J694" i="4"/>
  <c r="K694" i="4" s="1"/>
  <c r="J702" i="4"/>
  <c r="K702" i="4" s="1"/>
  <c r="J710" i="4"/>
  <c r="K710" i="4" s="1"/>
  <c r="J718" i="4"/>
  <c r="K718" i="4" s="1"/>
  <c r="J726" i="4"/>
  <c r="K726" i="4" s="1"/>
  <c r="J734" i="4"/>
  <c r="K734" i="4" s="1"/>
  <c r="J742" i="4"/>
  <c r="K742" i="4" s="1"/>
  <c r="J750" i="4"/>
  <c r="K750" i="4" s="1"/>
  <c r="J758" i="4"/>
  <c r="K758" i="4" s="1"/>
  <c r="J766" i="4"/>
  <c r="K766" i="4" s="1"/>
  <c r="J774" i="4"/>
  <c r="K774" i="4" s="1"/>
  <c r="J782" i="4"/>
  <c r="K782" i="4" s="1"/>
  <c r="J790" i="4"/>
  <c r="K790" i="4" s="1"/>
  <c r="J798" i="4"/>
  <c r="K798" i="4" s="1"/>
  <c r="J806" i="4"/>
  <c r="K806" i="4" s="1"/>
  <c r="J814" i="4"/>
  <c r="K814" i="4" s="1"/>
  <c r="J822" i="4"/>
  <c r="K822" i="4" s="1"/>
  <c r="J830" i="4"/>
  <c r="K830" i="4" s="1"/>
  <c r="J838" i="4"/>
  <c r="K838" i="4" s="1"/>
  <c r="J846" i="4"/>
  <c r="K846" i="4" s="1"/>
  <c r="J854" i="4"/>
  <c r="K854" i="4" s="1"/>
  <c r="J862" i="4"/>
  <c r="K862" i="4" s="1"/>
  <c r="J870" i="4"/>
  <c r="K870" i="4" s="1"/>
  <c r="J878" i="4"/>
  <c r="K878" i="4" s="1"/>
  <c r="J886" i="4"/>
  <c r="K886" i="4" s="1"/>
  <c r="J894" i="4"/>
  <c r="K894" i="4" s="1"/>
  <c r="J902" i="4"/>
  <c r="K902" i="4" s="1"/>
  <c r="J910" i="4"/>
  <c r="K910" i="4" s="1"/>
  <c r="J918" i="4"/>
  <c r="K918" i="4" s="1"/>
  <c r="J926" i="4"/>
  <c r="K926" i="4" s="1"/>
  <c r="J934" i="4"/>
  <c r="K934" i="4" s="1"/>
  <c r="J942" i="4"/>
  <c r="K942" i="4" s="1"/>
  <c r="J950" i="4"/>
  <c r="K950" i="4" s="1"/>
  <c r="J958" i="4"/>
  <c r="K958" i="4" s="1"/>
  <c r="J966" i="4"/>
  <c r="K966" i="4" s="1"/>
  <c r="J974" i="4"/>
  <c r="K974" i="4" s="1"/>
  <c r="J982" i="4"/>
  <c r="K982" i="4" s="1"/>
  <c r="J990" i="4"/>
  <c r="K990" i="4" s="1"/>
  <c r="J998" i="4"/>
  <c r="K998" i="4" s="1"/>
  <c r="J1006" i="4"/>
  <c r="K1006" i="4" s="1"/>
  <c r="J1014" i="4"/>
  <c r="K1014" i="4" s="1"/>
  <c r="J1022" i="4"/>
  <c r="K1022" i="4" s="1"/>
  <c r="J1030" i="4"/>
  <c r="K1030" i="4" s="1"/>
  <c r="J1038" i="4"/>
  <c r="K1038" i="4" s="1"/>
  <c r="J1046" i="4"/>
  <c r="K1046" i="4" s="1"/>
  <c r="J1054" i="4"/>
  <c r="K1054" i="4" s="1"/>
  <c r="J1062" i="4"/>
  <c r="K1062" i="4" s="1"/>
  <c r="J1070" i="4"/>
  <c r="K1070" i="4" s="1"/>
  <c r="J1078" i="4"/>
  <c r="K1078" i="4" s="1"/>
  <c r="J1086" i="4"/>
  <c r="K1086" i="4" s="1"/>
  <c r="J1094" i="4"/>
  <c r="K1094" i="4" s="1"/>
  <c r="J1102" i="4"/>
  <c r="K1102" i="4" s="1"/>
  <c r="J1110" i="4"/>
  <c r="K1110" i="4" s="1"/>
  <c r="J1118" i="4"/>
  <c r="K1118" i="4" s="1"/>
  <c r="J1126" i="4"/>
  <c r="K1126" i="4" s="1"/>
  <c r="J1134" i="4"/>
  <c r="K1134" i="4" s="1"/>
  <c r="J1142" i="4"/>
  <c r="K1142" i="4" s="1"/>
  <c r="J1150" i="4"/>
  <c r="K1150" i="4" s="1"/>
  <c r="J1158" i="4"/>
  <c r="K1158" i="4" s="1"/>
  <c r="J1166" i="4"/>
  <c r="K1166" i="4" s="1"/>
  <c r="J1174" i="4"/>
  <c r="K1174" i="4" s="1"/>
  <c r="J1182" i="4"/>
  <c r="K1182" i="4" s="1"/>
  <c r="J823" i="4"/>
  <c r="K823" i="4" s="1"/>
  <c r="J847" i="4"/>
  <c r="K847" i="4" s="1"/>
  <c r="J871" i="4"/>
  <c r="K871" i="4" s="1"/>
  <c r="J895" i="4"/>
  <c r="K895" i="4" s="1"/>
  <c r="J919" i="4"/>
  <c r="K919" i="4" s="1"/>
  <c r="J943" i="4"/>
  <c r="K943" i="4" s="1"/>
  <c r="J967" i="4"/>
  <c r="K967" i="4" s="1"/>
  <c r="J991" i="4"/>
  <c r="K991" i="4" s="1"/>
  <c r="J1015" i="4"/>
  <c r="K1015" i="4" s="1"/>
  <c r="J1039" i="4"/>
  <c r="K1039" i="4" s="1"/>
  <c r="J1063" i="4"/>
  <c r="K1063" i="4" s="1"/>
  <c r="J1087" i="4"/>
  <c r="K1087" i="4" s="1"/>
  <c r="J1111" i="4"/>
  <c r="K1111" i="4" s="1"/>
  <c r="J1127" i="4"/>
  <c r="K1127" i="4" s="1"/>
  <c r="J1151" i="4"/>
  <c r="K1151" i="4" s="1"/>
  <c r="J1175" i="4"/>
  <c r="K1175" i="4" s="1"/>
  <c r="J1199" i="4"/>
  <c r="K1199" i="4" s="1"/>
  <c r="J1215" i="4"/>
  <c r="K1215" i="4" s="1"/>
  <c r="J1239" i="4"/>
  <c r="K1239" i="4" s="1"/>
  <c r="J1263" i="4"/>
  <c r="K1263" i="4" s="1"/>
  <c r="J1287" i="4"/>
  <c r="K1287" i="4" s="1"/>
  <c r="J1311" i="4"/>
  <c r="K1311" i="4" s="1"/>
  <c r="J1335" i="4"/>
  <c r="K1335" i="4" s="1"/>
  <c r="J1359" i="4"/>
  <c r="K1359" i="4" s="1"/>
  <c r="J1375" i="4"/>
  <c r="K1375" i="4" s="1"/>
  <c r="G20" i="4"/>
  <c r="H20" i="4" s="1"/>
  <c r="G52" i="4"/>
  <c r="H52" i="4" s="1"/>
  <c r="G76" i="4"/>
  <c r="H76" i="4" s="1"/>
  <c r="G100" i="4"/>
  <c r="H100" i="4" s="1"/>
  <c r="G124" i="4"/>
  <c r="H124" i="4" s="1"/>
  <c r="G148" i="4"/>
  <c r="H148" i="4" s="1"/>
  <c r="G276" i="4"/>
  <c r="H276" i="4" s="1"/>
  <c r="G300" i="4"/>
  <c r="H300" i="4" s="1"/>
  <c r="G340" i="4"/>
  <c r="H340" i="4" s="1"/>
  <c r="G428" i="4"/>
  <c r="H428" i="4" s="1"/>
  <c r="G484" i="4"/>
  <c r="H484" i="4" s="1"/>
  <c r="G524" i="4"/>
  <c r="H524" i="4" s="1"/>
  <c r="G564" i="4"/>
  <c r="H564" i="4" s="1"/>
  <c r="G588" i="4"/>
  <c r="H588" i="4" s="1"/>
  <c r="G620" i="4"/>
  <c r="H620" i="4" s="1"/>
  <c r="G644" i="4"/>
  <c r="H644" i="4" s="1"/>
  <c r="G652" i="4"/>
  <c r="H652" i="4" s="1"/>
  <c r="G676" i="4"/>
  <c r="H676" i="4" s="1"/>
  <c r="G700" i="4"/>
  <c r="H700" i="4" s="1"/>
  <c r="G724" i="4"/>
  <c r="H724" i="4" s="1"/>
  <c r="G764" i="4"/>
  <c r="H764" i="4" s="1"/>
  <c r="G788" i="4"/>
  <c r="H788" i="4" s="1"/>
  <c r="G820" i="4"/>
  <c r="H820" i="4" s="1"/>
  <c r="G844" i="4"/>
  <c r="H844" i="4" s="1"/>
  <c r="G868" i="4"/>
  <c r="H868" i="4" s="1"/>
  <c r="G900" i="4"/>
  <c r="H900" i="4" s="1"/>
  <c r="G924" i="4"/>
  <c r="H924" i="4" s="1"/>
  <c r="G964" i="4"/>
  <c r="H964" i="4" s="1"/>
  <c r="G988" i="4"/>
  <c r="H988" i="4" s="1"/>
  <c r="G1004" i="4"/>
  <c r="H1004" i="4" s="1"/>
  <c r="G1028" i="4"/>
  <c r="H1028" i="4" s="1"/>
  <c r="G1060" i="4"/>
  <c r="H1060" i="4" s="1"/>
  <c r="G1076" i="4"/>
  <c r="H1076" i="4" s="1"/>
  <c r="G1100" i="4"/>
  <c r="H1100" i="4" s="1"/>
  <c r="G1124" i="4"/>
  <c r="H1124" i="4" s="1"/>
  <c r="G1148" i="4"/>
  <c r="H1148" i="4" s="1"/>
  <c r="G1172" i="4"/>
  <c r="H1172" i="4" s="1"/>
  <c r="G1204" i="4"/>
  <c r="H1204" i="4" s="1"/>
  <c r="G1228" i="4"/>
  <c r="H1228" i="4" s="1"/>
  <c r="J24" i="4"/>
  <c r="K24" i="4" s="1"/>
  <c r="J48" i="4"/>
  <c r="K48" i="4" s="1"/>
  <c r="J72" i="4"/>
  <c r="K72" i="4" s="1"/>
  <c r="J96" i="4"/>
  <c r="K96" i="4" s="1"/>
  <c r="J112" i="4"/>
  <c r="K112" i="4" s="1"/>
  <c r="J136" i="4"/>
  <c r="K136" i="4" s="1"/>
  <c r="J152" i="4"/>
  <c r="K152" i="4" s="1"/>
  <c r="J176" i="4"/>
  <c r="K176" i="4" s="1"/>
  <c r="J208" i="4"/>
  <c r="K208" i="4" s="1"/>
  <c r="J232" i="4"/>
  <c r="K232" i="4" s="1"/>
  <c r="J248" i="4"/>
  <c r="K248" i="4" s="1"/>
  <c r="J280" i="4"/>
  <c r="K280" i="4" s="1"/>
  <c r="J296" i="4"/>
  <c r="K296" i="4" s="1"/>
  <c r="J312" i="4"/>
  <c r="K312" i="4" s="1"/>
  <c r="J344" i="4"/>
  <c r="K344" i="4" s="1"/>
  <c r="J368" i="4"/>
  <c r="K368" i="4" s="1"/>
  <c r="J384" i="4"/>
  <c r="K384" i="4" s="1"/>
  <c r="J408" i="4"/>
  <c r="K408" i="4" s="1"/>
  <c r="J440" i="4"/>
  <c r="K440" i="4" s="1"/>
  <c r="J448" i="4"/>
  <c r="K448" i="4" s="1"/>
  <c r="J472" i="4"/>
  <c r="K472" i="4" s="1"/>
  <c r="J504" i="4"/>
  <c r="K504" i="4" s="1"/>
  <c r="J528" i="4"/>
  <c r="K528" i="4" s="1"/>
  <c r="J544" i="4"/>
  <c r="K544" i="4" s="1"/>
  <c r="J568" i="4"/>
  <c r="K568" i="4" s="1"/>
  <c r="J592" i="4"/>
  <c r="K592" i="4" s="1"/>
  <c r="J616" i="4"/>
  <c r="K616" i="4" s="1"/>
  <c r="J632" i="4"/>
  <c r="K632" i="4" s="1"/>
  <c r="J656" i="4"/>
  <c r="K656" i="4" s="1"/>
  <c r="J680" i="4"/>
  <c r="K680" i="4" s="1"/>
  <c r="J696" i="4"/>
  <c r="K696" i="4" s="1"/>
  <c r="J728" i="4"/>
  <c r="K728" i="4" s="1"/>
  <c r="J744" i="4"/>
  <c r="K744" i="4" s="1"/>
  <c r="J760" i="4"/>
  <c r="K760" i="4" s="1"/>
  <c r="J784" i="4"/>
  <c r="K784" i="4" s="1"/>
  <c r="J816" i="4"/>
  <c r="K816" i="4" s="1"/>
  <c r="J840" i="4"/>
  <c r="K840" i="4" s="1"/>
  <c r="J856" i="4"/>
  <c r="K856" i="4" s="1"/>
  <c r="J880" i="4"/>
  <c r="K880" i="4" s="1"/>
  <c r="J912" i="4"/>
  <c r="K912" i="4" s="1"/>
  <c r="J928" i="4"/>
  <c r="K928" i="4" s="1"/>
  <c r="J944" i="4"/>
  <c r="K944" i="4" s="1"/>
  <c r="J968" i="4"/>
  <c r="K968" i="4" s="1"/>
  <c r="J992" i="4"/>
  <c r="K992" i="4" s="1"/>
  <c r="J1024" i="4"/>
  <c r="K1024" i="4" s="1"/>
  <c r="J1040" i="4"/>
  <c r="K1040" i="4" s="1"/>
  <c r="J1056" i="4"/>
  <c r="K1056" i="4" s="1"/>
  <c r="J1080" i="4"/>
  <c r="K1080" i="4" s="1"/>
  <c r="J1112" i="4"/>
  <c r="K1112" i="4" s="1"/>
  <c r="J1136" i="4"/>
  <c r="K1136" i="4" s="1"/>
  <c r="J1152" i="4"/>
  <c r="K1152" i="4" s="1"/>
  <c r="J1168" i="4"/>
  <c r="K1168" i="4" s="1"/>
  <c r="J1200" i="4"/>
  <c r="K1200" i="4" s="1"/>
  <c r="J1216" i="4"/>
  <c r="K1216" i="4" s="1"/>
  <c r="J1248" i="4"/>
  <c r="K1248" i="4" s="1"/>
  <c r="J1272" i="4"/>
  <c r="K1272" i="4" s="1"/>
  <c r="J1288" i="4"/>
  <c r="K1288" i="4" s="1"/>
  <c r="J1312" i="4"/>
  <c r="K1312" i="4" s="1"/>
  <c r="J1320" i="4"/>
  <c r="K1320" i="4" s="1"/>
  <c r="J1344" i="4"/>
  <c r="K1344" i="4" s="1"/>
  <c r="J1360" i="4"/>
  <c r="K1360" i="4" s="1"/>
  <c r="J1384" i="4"/>
  <c r="K1384" i="4" s="1"/>
  <c r="J1400" i="4"/>
  <c r="K1400" i="4" s="1"/>
  <c r="G21" i="4"/>
  <c r="H21" i="4" s="1"/>
  <c r="G45" i="4"/>
  <c r="H45" i="4" s="1"/>
  <c r="G69" i="4"/>
  <c r="H69" i="4" s="1"/>
  <c r="G93" i="4"/>
  <c r="H93" i="4" s="1"/>
  <c r="G109" i="4"/>
  <c r="H109" i="4" s="1"/>
  <c r="G157" i="4"/>
  <c r="H157" i="4" s="1"/>
  <c r="G173" i="4"/>
  <c r="H173" i="4" s="1"/>
  <c r="G213" i="4"/>
  <c r="H213" i="4" s="1"/>
  <c r="G261" i="4"/>
  <c r="H261" i="4" s="1"/>
  <c r="G301" i="4"/>
  <c r="H301" i="4" s="1"/>
  <c r="G325" i="4"/>
  <c r="H325" i="4" s="1"/>
  <c r="G365" i="4"/>
  <c r="H365" i="4" s="1"/>
  <c r="G389" i="4"/>
  <c r="H389" i="4" s="1"/>
  <c r="G429" i="4"/>
  <c r="H429" i="4" s="1"/>
  <c r="G445" i="4"/>
  <c r="H445" i="4" s="1"/>
  <c r="G461" i="4"/>
  <c r="H461" i="4" s="1"/>
  <c r="G493" i="4"/>
  <c r="H493" i="4" s="1"/>
  <c r="G509" i="4"/>
  <c r="H509" i="4" s="1"/>
  <c r="G525" i="4"/>
  <c r="H525" i="4" s="1"/>
  <c r="G541" i="4"/>
  <c r="H541" i="4" s="1"/>
  <c r="G549" i="4"/>
  <c r="H549" i="4" s="1"/>
  <c r="G573" i="4"/>
  <c r="H573" i="4" s="1"/>
  <c r="G589" i="4"/>
  <c r="H589" i="4" s="1"/>
  <c r="G613" i="4"/>
  <c r="H613" i="4" s="1"/>
  <c r="G645" i="4"/>
  <c r="H645" i="4" s="1"/>
  <c r="G669" i="4"/>
  <c r="H669" i="4" s="1"/>
  <c r="G693" i="4"/>
  <c r="H693" i="4" s="1"/>
  <c r="G725" i="4"/>
  <c r="H725" i="4" s="1"/>
  <c r="G765" i="4"/>
  <c r="H765" i="4" s="1"/>
  <c r="G789" i="4"/>
  <c r="H789" i="4" s="1"/>
  <c r="G821" i="4"/>
  <c r="H821" i="4" s="1"/>
  <c r="G845" i="4"/>
  <c r="H845" i="4" s="1"/>
  <c r="G869" i="4"/>
  <c r="H869" i="4" s="1"/>
  <c r="G909" i="4"/>
  <c r="H909" i="4" s="1"/>
  <c r="G941" i="4"/>
  <c r="H941" i="4" s="1"/>
  <c r="G973" i="4"/>
  <c r="H973" i="4" s="1"/>
  <c r="G997" i="4"/>
  <c r="H997" i="4" s="1"/>
  <c r="G1029" i="4"/>
  <c r="H1029" i="4" s="1"/>
  <c r="G1053" i="4"/>
  <c r="H1053" i="4" s="1"/>
  <c r="G1085" i="4"/>
  <c r="H1085" i="4" s="1"/>
  <c r="G1109" i="4"/>
  <c r="H1109" i="4" s="1"/>
  <c r="G1125" i="4"/>
  <c r="H1125" i="4" s="1"/>
  <c r="G1165" i="4"/>
  <c r="H1165" i="4" s="1"/>
  <c r="G1181" i="4"/>
  <c r="H1181" i="4" s="1"/>
  <c r="G1213" i="4"/>
  <c r="H1213" i="4" s="1"/>
  <c r="G1221" i="4"/>
  <c r="H1221" i="4" s="1"/>
  <c r="J9" i="4"/>
  <c r="K9" i="4" s="1"/>
  <c r="J25" i="4"/>
  <c r="K25" i="4" s="1"/>
  <c r="J41" i="4"/>
  <c r="K41" i="4" s="1"/>
  <c r="J65" i="4"/>
  <c r="K65" i="4" s="1"/>
  <c r="J105" i="4"/>
  <c r="K105" i="4" s="1"/>
  <c r="G6" i="4"/>
  <c r="H6" i="4" s="1"/>
  <c r="G38" i="4"/>
  <c r="H38" i="4" s="1"/>
  <c r="G46" i="4"/>
  <c r="H46" i="4" s="1"/>
  <c r="G78" i="4"/>
  <c r="H78" i="4" s="1"/>
  <c r="G118" i="4"/>
  <c r="H118" i="4" s="1"/>
  <c r="G158" i="4"/>
  <c r="H158" i="4" s="1"/>
  <c r="G238" i="4"/>
  <c r="H238" i="4" s="1"/>
  <c r="G262" i="4"/>
  <c r="H262" i="4" s="1"/>
  <c r="G278" i="4"/>
  <c r="H278" i="4" s="1"/>
  <c r="G302" i="4"/>
  <c r="H302" i="4" s="1"/>
  <c r="G318" i="4"/>
  <c r="H318" i="4" s="1"/>
  <c r="G350" i="4"/>
  <c r="H350" i="4" s="1"/>
  <c r="G366" i="4"/>
  <c r="H366" i="4" s="1"/>
  <c r="G390" i="4"/>
  <c r="H390" i="4" s="1"/>
  <c r="G406" i="4"/>
  <c r="H406" i="4" s="1"/>
  <c r="G430" i="4"/>
  <c r="H430" i="4" s="1"/>
  <c r="G438" i="4"/>
  <c r="H438" i="4" s="1"/>
  <c r="G462" i="4"/>
  <c r="H462" i="4" s="1"/>
  <c r="G478" i="4"/>
  <c r="H478" i="4" s="1"/>
  <c r="G494" i="4"/>
  <c r="H494" i="4" s="1"/>
  <c r="G510" i="4"/>
  <c r="H510" i="4" s="1"/>
  <c r="G518" i="4"/>
  <c r="H518" i="4" s="1"/>
  <c r="G550" i="4"/>
  <c r="H550" i="4" s="1"/>
  <c r="G566" i="4"/>
  <c r="H566" i="4" s="1"/>
  <c r="G582" i="4"/>
  <c r="H582" i="4" s="1"/>
  <c r="G606" i="4"/>
  <c r="H606" i="4" s="1"/>
  <c r="G622" i="4"/>
  <c r="H622" i="4" s="1"/>
  <c r="G646" i="4"/>
  <c r="H646" i="4" s="1"/>
  <c r="G670" i="4"/>
  <c r="H670" i="4" s="1"/>
  <c r="G750" i="4"/>
  <c r="H750" i="4" s="1"/>
  <c r="G774" i="4"/>
  <c r="H774" i="4" s="1"/>
  <c r="G790" i="4"/>
  <c r="H790" i="4" s="1"/>
  <c r="G806" i="4"/>
  <c r="H806" i="4" s="1"/>
  <c r="G822" i="4"/>
  <c r="H822" i="4" s="1"/>
  <c r="G846" i="4"/>
  <c r="H846" i="4" s="1"/>
  <c r="G862" i="4"/>
  <c r="H862" i="4" s="1"/>
  <c r="G878" i="4"/>
  <c r="H878" i="4" s="1"/>
  <c r="G894" i="4"/>
  <c r="H894" i="4" s="1"/>
  <c r="G918" i="4"/>
  <c r="H918" i="4" s="1"/>
  <c r="G934" i="4"/>
  <c r="H934" i="4" s="1"/>
  <c r="G942" i="4"/>
  <c r="H942" i="4" s="1"/>
  <c r="G950" i="4"/>
  <c r="H950" i="4" s="1"/>
  <c r="G966" i="4"/>
  <c r="H966" i="4" s="1"/>
  <c r="G982" i="4"/>
  <c r="H982" i="4" s="1"/>
  <c r="G990" i="4"/>
  <c r="H990" i="4" s="1"/>
  <c r="G998" i="4"/>
  <c r="H998" i="4" s="1"/>
  <c r="G1006" i="4"/>
  <c r="H1006" i="4" s="1"/>
  <c r="G1022" i="4"/>
  <c r="H1022" i="4" s="1"/>
  <c r="G1030" i="4"/>
  <c r="H1030" i="4" s="1"/>
  <c r="G1046" i="4"/>
  <c r="H1046" i="4" s="1"/>
  <c r="G1054" i="4"/>
  <c r="H1054" i="4" s="1"/>
  <c r="G1062" i="4"/>
  <c r="H1062" i="4" s="1"/>
  <c r="G1086" i="4"/>
  <c r="H1086" i="4" s="1"/>
  <c r="G1094" i="4"/>
  <c r="H1094" i="4" s="1"/>
  <c r="G1110" i="4"/>
  <c r="H1110" i="4" s="1"/>
  <c r="G1118" i="4"/>
  <c r="H1118" i="4" s="1"/>
  <c r="G1126" i="4"/>
  <c r="H1126" i="4" s="1"/>
  <c r="G1150" i="4"/>
  <c r="H1150" i="4" s="1"/>
  <c r="G1158" i="4"/>
  <c r="H1158" i="4" s="1"/>
  <c r="G1174" i="4"/>
  <c r="H1174" i="4" s="1"/>
  <c r="G1182" i="4"/>
  <c r="H1182" i="4" s="1"/>
  <c r="G1190" i="4"/>
  <c r="H1190" i="4" s="1"/>
  <c r="G1214" i="4"/>
  <c r="H1214" i="4" s="1"/>
  <c r="G1222" i="4"/>
  <c r="H1222" i="4" s="1"/>
  <c r="J2" i="4"/>
  <c r="K2" i="4" s="1"/>
  <c r="G1216" i="4"/>
  <c r="H1216" i="4" s="1"/>
  <c r="G1143" i="4"/>
  <c r="H1143" i="4" s="1"/>
  <c r="G1079" i="4"/>
  <c r="H1079" i="4" s="1"/>
  <c r="G1015" i="4"/>
  <c r="H1015" i="4" s="1"/>
  <c r="G912" i="4"/>
  <c r="H912" i="4" s="1"/>
  <c r="G840" i="4"/>
  <c r="H840" i="4" s="1"/>
  <c r="G768" i="4"/>
  <c r="H768" i="4" s="1"/>
  <c r="G727" i="4"/>
  <c r="H727" i="4" s="1"/>
  <c r="G687" i="4"/>
  <c r="H687" i="4" s="1"/>
  <c r="G335" i="4"/>
  <c r="H335" i="4" s="1"/>
  <c r="G295" i="4"/>
  <c r="H295" i="4" s="1"/>
  <c r="G255" i="4"/>
  <c r="H255" i="4" s="1"/>
  <c r="G215" i="4"/>
  <c r="H215" i="4" s="1"/>
  <c r="G175" i="4"/>
  <c r="H175" i="4" s="1"/>
  <c r="J10" i="4"/>
  <c r="K10" i="4" s="1"/>
  <c r="J18" i="4"/>
  <c r="K18" i="4" s="1"/>
  <c r="J26" i="4"/>
  <c r="K26" i="4" s="1"/>
  <c r="J34" i="4"/>
  <c r="K34" i="4" s="1"/>
  <c r="J42" i="4"/>
  <c r="K42" i="4" s="1"/>
  <c r="J50" i="4"/>
  <c r="K50" i="4" s="1"/>
  <c r="J58" i="4"/>
  <c r="K58" i="4" s="1"/>
  <c r="J66" i="4"/>
  <c r="K66" i="4" s="1"/>
  <c r="J82" i="4"/>
  <c r="K82" i="4" s="1"/>
  <c r="J114" i="4"/>
  <c r="K114" i="4" s="1"/>
  <c r="J178" i="4"/>
  <c r="K178" i="4" s="1"/>
  <c r="G431" i="4"/>
  <c r="H431" i="4" s="1"/>
  <c r="G471" i="4"/>
  <c r="H471" i="4" s="1"/>
  <c r="G511" i="4"/>
  <c r="H511" i="4" s="1"/>
  <c r="G551" i="4"/>
  <c r="H551" i="4" s="1"/>
  <c r="G591" i="4"/>
  <c r="H591" i="4" s="1"/>
  <c r="G855" i="4"/>
  <c r="H855" i="4" s="1"/>
  <c r="G999" i="4"/>
  <c r="H999" i="4" s="1"/>
  <c r="G1063" i="4"/>
  <c r="H1063" i="4" s="1"/>
  <c r="G15" i="4"/>
  <c r="H15" i="4" s="1"/>
  <c r="G239" i="4"/>
  <c r="H239" i="4" s="1"/>
  <c r="G279" i="4"/>
  <c r="H279" i="4" s="1"/>
  <c r="G303" i="4"/>
  <c r="H303" i="4" s="1"/>
  <c r="G319" i="4"/>
  <c r="H319" i="4" s="1"/>
  <c r="G343" i="4"/>
  <c r="H343" i="4" s="1"/>
  <c r="G359" i="4"/>
  <c r="H359" i="4" s="1"/>
  <c r="G367" i="4"/>
  <c r="H367" i="4" s="1"/>
  <c r="G383" i="4"/>
  <c r="H383" i="4" s="1"/>
  <c r="G399" i="4"/>
  <c r="H399" i="4" s="1"/>
  <c r="G407" i="4"/>
  <c r="H407" i="4" s="1"/>
  <c r="G423" i="4"/>
  <c r="H423" i="4" s="1"/>
  <c r="G447" i="4"/>
  <c r="H447" i="4" s="1"/>
  <c r="G463" i="4"/>
  <c r="H463" i="4" s="1"/>
  <c r="G487" i="4"/>
  <c r="H487" i="4" s="1"/>
  <c r="G527" i="4"/>
  <c r="H527" i="4" s="1"/>
  <c r="G751" i="4"/>
  <c r="H751" i="4" s="1"/>
  <c r="G823" i="4"/>
  <c r="H823" i="4" s="1"/>
  <c r="G847" i="4"/>
  <c r="H847" i="4" s="1"/>
  <c r="G887" i="4"/>
  <c r="H887" i="4" s="1"/>
  <c r="G919" i="4"/>
  <c r="H919" i="4" s="1"/>
  <c r="G959" i="4"/>
  <c r="H959" i="4" s="1"/>
  <c r="G991" i="4"/>
  <c r="H991" i="4" s="1"/>
  <c r="G1055" i="4"/>
  <c r="H1055" i="4" s="1"/>
  <c r="G1119" i="4"/>
  <c r="H1119" i="4" s="1"/>
  <c r="G1183" i="4"/>
  <c r="H1183" i="4" s="1"/>
  <c r="J11" i="4"/>
  <c r="K11" i="4" s="1"/>
  <c r="J203" i="4"/>
  <c r="K203" i="4" s="1"/>
  <c r="J419" i="4"/>
  <c r="K419" i="4" s="1"/>
  <c r="J779" i="4"/>
  <c r="K779" i="4" s="1"/>
  <c r="J795" i="4"/>
  <c r="K795" i="4" s="1"/>
  <c r="G23" i="4"/>
  <c r="H23" i="4" s="1"/>
  <c r="G63" i="4"/>
  <c r="H63" i="4" s="1"/>
  <c r="G103" i="4"/>
  <c r="H103" i="4" s="1"/>
  <c r="G143" i="4"/>
  <c r="H143" i="4" s="1"/>
  <c r="G856" i="4"/>
  <c r="H856" i="4" s="1"/>
  <c r="G1000" i="4"/>
  <c r="H1000" i="4" s="1"/>
  <c r="J831" i="4"/>
  <c r="K831" i="4" s="1"/>
  <c r="J855" i="4"/>
  <c r="K855" i="4" s="1"/>
  <c r="J879" i="4"/>
  <c r="K879" i="4" s="1"/>
  <c r="J903" i="4"/>
  <c r="K903" i="4" s="1"/>
  <c r="J911" i="4"/>
  <c r="K911" i="4" s="1"/>
  <c r="J935" i="4"/>
  <c r="K935" i="4" s="1"/>
  <c r="J959" i="4"/>
  <c r="K959" i="4" s="1"/>
  <c r="J983" i="4"/>
  <c r="K983" i="4" s="1"/>
  <c r="J1007" i="4"/>
  <c r="K1007" i="4" s="1"/>
  <c r="J1031" i="4"/>
  <c r="K1031" i="4" s="1"/>
  <c r="J1047" i="4"/>
  <c r="K1047" i="4" s="1"/>
  <c r="J1071" i="4"/>
  <c r="K1071" i="4" s="1"/>
  <c r="J1095" i="4"/>
  <c r="K1095" i="4" s="1"/>
  <c r="J1119" i="4"/>
  <c r="K1119" i="4" s="1"/>
  <c r="J1159" i="4"/>
  <c r="K1159" i="4" s="1"/>
  <c r="J1183" i="4"/>
  <c r="K1183" i="4" s="1"/>
  <c r="J1207" i="4"/>
  <c r="K1207" i="4" s="1"/>
  <c r="J1231" i="4"/>
  <c r="K1231" i="4" s="1"/>
  <c r="J1255" i="4"/>
  <c r="K1255" i="4" s="1"/>
  <c r="J1271" i="4"/>
  <c r="K1271" i="4" s="1"/>
  <c r="J1295" i="4"/>
  <c r="K1295" i="4" s="1"/>
  <c r="J1319" i="4"/>
  <c r="K1319" i="4" s="1"/>
  <c r="J1343" i="4"/>
  <c r="K1343" i="4" s="1"/>
  <c r="J1367" i="4"/>
  <c r="K1367" i="4" s="1"/>
  <c r="J1383" i="4"/>
  <c r="K1383" i="4" s="1"/>
  <c r="G12" i="4"/>
  <c r="H12" i="4" s="1"/>
  <c r="G44" i="4"/>
  <c r="H44" i="4" s="1"/>
  <c r="G92" i="4"/>
  <c r="H92" i="4" s="1"/>
  <c r="G108" i="4"/>
  <c r="H108" i="4" s="1"/>
  <c r="G132" i="4"/>
  <c r="H132" i="4" s="1"/>
  <c r="G156" i="4"/>
  <c r="H156" i="4" s="1"/>
  <c r="G172" i="4"/>
  <c r="H172" i="4" s="1"/>
  <c r="G188" i="4"/>
  <c r="H188" i="4" s="1"/>
  <c r="G204" i="4"/>
  <c r="H204" i="4" s="1"/>
  <c r="G220" i="4"/>
  <c r="H220" i="4" s="1"/>
  <c r="G244" i="4"/>
  <c r="H244" i="4" s="1"/>
  <c r="G260" i="4"/>
  <c r="H260" i="4" s="1"/>
  <c r="G284" i="4"/>
  <c r="H284" i="4" s="1"/>
  <c r="G316" i="4"/>
  <c r="H316" i="4" s="1"/>
  <c r="G380" i="4"/>
  <c r="H380" i="4" s="1"/>
  <c r="G444" i="4"/>
  <c r="H444" i="4" s="1"/>
  <c r="G492" i="4"/>
  <c r="H492" i="4" s="1"/>
  <c r="G548" i="4"/>
  <c r="H548" i="4" s="1"/>
  <c r="G572" i="4"/>
  <c r="H572" i="4" s="1"/>
  <c r="G596" i="4"/>
  <c r="H596" i="4" s="1"/>
  <c r="G612" i="4"/>
  <c r="H612" i="4" s="1"/>
  <c r="G636" i="4"/>
  <c r="H636" i="4" s="1"/>
  <c r="G660" i="4"/>
  <c r="H660" i="4" s="1"/>
  <c r="G684" i="4"/>
  <c r="H684" i="4" s="1"/>
  <c r="G708" i="4"/>
  <c r="H708" i="4" s="1"/>
  <c r="G732" i="4"/>
  <c r="H732" i="4" s="1"/>
  <c r="G756" i="4"/>
  <c r="H756" i="4" s="1"/>
  <c r="G780" i="4"/>
  <c r="H780" i="4" s="1"/>
  <c r="G804" i="4"/>
  <c r="H804" i="4" s="1"/>
  <c r="G836" i="4"/>
  <c r="H836" i="4" s="1"/>
  <c r="G860" i="4"/>
  <c r="H860" i="4" s="1"/>
  <c r="G892" i="4"/>
  <c r="H892" i="4" s="1"/>
  <c r="G916" i="4"/>
  <c r="H916" i="4" s="1"/>
  <c r="G940" i="4"/>
  <c r="H940" i="4" s="1"/>
  <c r="G956" i="4"/>
  <c r="H956" i="4" s="1"/>
  <c r="G980" i="4"/>
  <c r="H980" i="4" s="1"/>
  <c r="G1012" i="4"/>
  <c r="H1012" i="4" s="1"/>
  <c r="G1036" i="4"/>
  <c r="H1036" i="4" s="1"/>
  <c r="G1052" i="4"/>
  <c r="H1052" i="4" s="1"/>
  <c r="G1084" i="4"/>
  <c r="H1084" i="4" s="1"/>
  <c r="G1108" i="4"/>
  <c r="H1108" i="4" s="1"/>
  <c r="G1132" i="4"/>
  <c r="H1132" i="4" s="1"/>
  <c r="G1156" i="4"/>
  <c r="H1156" i="4" s="1"/>
  <c r="G1188" i="4"/>
  <c r="H1188" i="4" s="1"/>
  <c r="G1196" i="4"/>
  <c r="H1196" i="4" s="1"/>
  <c r="G1220" i="4"/>
  <c r="H1220" i="4" s="1"/>
  <c r="J16" i="4"/>
  <c r="K16" i="4" s="1"/>
  <c r="J40" i="4"/>
  <c r="K40" i="4" s="1"/>
  <c r="J64" i="4"/>
  <c r="K64" i="4" s="1"/>
  <c r="J88" i="4"/>
  <c r="K88" i="4" s="1"/>
  <c r="J120" i="4"/>
  <c r="K120" i="4" s="1"/>
  <c r="J128" i="4"/>
  <c r="K128" i="4" s="1"/>
  <c r="J160" i="4"/>
  <c r="K160" i="4" s="1"/>
  <c r="J184" i="4"/>
  <c r="K184" i="4" s="1"/>
  <c r="J200" i="4"/>
  <c r="K200" i="4" s="1"/>
  <c r="J224" i="4"/>
  <c r="K224" i="4" s="1"/>
  <c r="J256" i="4"/>
  <c r="K256" i="4" s="1"/>
  <c r="J272" i="4"/>
  <c r="K272" i="4" s="1"/>
  <c r="J304" i="4"/>
  <c r="K304" i="4" s="1"/>
  <c r="J320" i="4"/>
  <c r="K320" i="4" s="1"/>
  <c r="J336" i="4"/>
  <c r="K336" i="4" s="1"/>
  <c r="J360" i="4"/>
  <c r="K360" i="4" s="1"/>
  <c r="J392" i="4"/>
  <c r="K392" i="4" s="1"/>
  <c r="J416" i="4"/>
  <c r="K416" i="4" s="1"/>
  <c r="J432" i="4"/>
  <c r="K432" i="4" s="1"/>
  <c r="J456" i="4"/>
  <c r="K456" i="4" s="1"/>
  <c r="J480" i="4"/>
  <c r="K480" i="4" s="1"/>
  <c r="J496" i="4"/>
  <c r="K496" i="4" s="1"/>
  <c r="J520" i="4"/>
  <c r="K520" i="4" s="1"/>
  <c r="J552" i="4"/>
  <c r="K552" i="4" s="1"/>
  <c r="J560" i="4"/>
  <c r="K560" i="4" s="1"/>
  <c r="J584" i="4"/>
  <c r="K584" i="4" s="1"/>
  <c r="J608" i="4"/>
  <c r="K608" i="4" s="1"/>
  <c r="J640" i="4"/>
  <c r="K640" i="4" s="1"/>
  <c r="J648" i="4"/>
  <c r="K648" i="4" s="1"/>
  <c r="J672" i="4"/>
  <c r="K672" i="4" s="1"/>
  <c r="J704" i="4"/>
  <c r="K704" i="4" s="1"/>
  <c r="J720" i="4"/>
  <c r="K720" i="4" s="1"/>
  <c r="J752" i="4"/>
  <c r="K752" i="4" s="1"/>
  <c r="J776" i="4"/>
  <c r="K776" i="4" s="1"/>
  <c r="J792" i="4"/>
  <c r="K792" i="4" s="1"/>
  <c r="J808" i="4"/>
  <c r="K808" i="4" s="1"/>
  <c r="J832" i="4"/>
  <c r="K832" i="4" s="1"/>
  <c r="J864" i="4"/>
  <c r="K864" i="4" s="1"/>
  <c r="J888" i="4"/>
  <c r="K888" i="4" s="1"/>
  <c r="J904" i="4"/>
  <c r="K904" i="4" s="1"/>
  <c r="J920" i="4"/>
  <c r="K920" i="4" s="1"/>
  <c r="J952" i="4"/>
  <c r="K952" i="4" s="1"/>
  <c r="J976" i="4"/>
  <c r="K976" i="4" s="1"/>
  <c r="J1000" i="4"/>
  <c r="K1000" i="4" s="1"/>
  <c r="J1016" i="4"/>
  <c r="K1016" i="4" s="1"/>
  <c r="J1048" i="4"/>
  <c r="K1048" i="4" s="1"/>
  <c r="J1064" i="4"/>
  <c r="K1064" i="4" s="1"/>
  <c r="J1088" i="4"/>
  <c r="K1088" i="4" s="1"/>
  <c r="J1104" i="4"/>
  <c r="K1104" i="4" s="1"/>
  <c r="J1128" i="4"/>
  <c r="K1128" i="4" s="1"/>
  <c r="J1160" i="4"/>
  <c r="K1160" i="4" s="1"/>
  <c r="J1176" i="4"/>
  <c r="K1176" i="4" s="1"/>
  <c r="J1192" i="4"/>
  <c r="K1192" i="4" s="1"/>
  <c r="J1224" i="4"/>
  <c r="K1224" i="4" s="1"/>
  <c r="J1240" i="4"/>
  <c r="K1240" i="4" s="1"/>
  <c r="J1264" i="4"/>
  <c r="K1264" i="4" s="1"/>
  <c r="J1280" i="4"/>
  <c r="K1280" i="4" s="1"/>
  <c r="J1304" i="4"/>
  <c r="K1304" i="4" s="1"/>
  <c r="J1328" i="4"/>
  <c r="K1328" i="4" s="1"/>
  <c r="J1336" i="4"/>
  <c r="K1336" i="4" s="1"/>
  <c r="J1368" i="4"/>
  <c r="K1368" i="4" s="1"/>
  <c r="J1376" i="4"/>
  <c r="K1376" i="4" s="1"/>
  <c r="J1392" i="4"/>
  <c r="K1392" i="4" s="1"/>
  <c r="G13" i="4"/>
  <c r="H13" i="4" s="1"/>
  <c r="G37" i="4"/>
  <c r="H37" i="4" s="1"/>
  <c r="G53" i="4"/>
  <c r="H53" i="4" s="1"/>
  <c r="G77" i="4"/>
  <c r="H77" i="4" s="1"/>
  <c r="G101" i="4"/>
  <c r="H101" i="4" s="1"/>
  <c r="G133" i="4"/>
  <c r="H133" i="4" s="1"/>
  <c r="G149" i="4"/>
  <c r="H149" i="4" s="1"/>
  <c r="G197" i="4"/>
  <c r="H197" i="4" s="1"/>
  <c r="G221" i="4"/>
  <c r="H221" i="4" s="1"/>
  <c r="G277" i="4"/>
  <c r="H277" i="4" s="1"/>
  <c r="G381" i="4"/>
  <c r="H381" i="4" s="1"/>
  <c r="G405" i="4"/>
  <c r="H405" i="4" s="1"/>
  <c r="G421" i="4"/>
  <c r="H421" i="4" s="1"/>
  <c r="G453" i="4"/>
  <c r="H453" i="4" s="1"/>
  <c r="G469" i="4"/>
  <c r="H469" i="4" s="1"/>
  <c r="G485" i="4"/>
  <c r="H485" i="4" s="1"/>
  <c r="G501" i="4"/>
  <c r="H501" i="4" s="1"/>
  <c r="G517" i="4"/>
  <c r="H517" i="4" s="1"/>
  <c r="G533" i="4"/>
  <c r="H533" i="4" s="1"/>
  <c r="G557" i="4"/>
  <c r="H557" i="4" s="1"/>
  <c r="G581" i="4"/>
  <c r="H581" i="4" s="1"/>
  <c r="G605" i="4"/>
  <c r="H605" i="4" s="1"/>
  <c r="G629" i="4"/>
  <c r="H629" i="4" s="1"/>
  <c r="G661" i="4"/>
  <c r="H661" i="4" s="1"/>
  <c r="G709" i="4"/>
  <c r="H709" i="4" s="1"/>
  <c r="G749" i="4"/>
  <c r="H749" i="4" s="1"/>
  <c r="G781" i="4"/>
  <c r="H781" i="4" s="1"/>
  <c r="G805" i="4"/>
  <c r="H805" i="4" s="1"/>
  <c r="G837" i="4"/>
  <c r="H837" i="4" s="1"/>
  <c r="G853" i="4"/>
  <c r="H853" i="4" s="1"/>
  <c r="G877" i="4"/>
  <c r="H877" i="4" s="1"/>
  <c r="G917" i="4"/>
  <c r="H917" i="4" s="1"/>
  <c r="G933" i="4"/>
  <c r="H933" i="4" s="1"/>
  <c r="G965" i="4"/>
  <c r="H965" i="4" s="1"/>
  <c r="G989" i="4"/>
  <c r="H989" i="4" s="1"/>
  <c r="G1021" i="4"/>
  <c r="H1021" i="4" s="1"/>
  <c r="G1037" i="4"/>
  <c r="H1037" i="4" s="1"/>
  <c r="G1061" i="4"/>
  <c r="H1061" i="4" s="1"/>
  <c r="G1093" i="4"/>
  <c r="H1093" i="4" s="1"/>
  <c r="G1101" i="4"/>
  <c r="H1101" i="4" s="1"/>
  <c r="G1117" i="4"/>
  <c r="H1117" i="4" s="1"/>
  <c r="G1149" i="4"/>
  <c r="H1149" i="4" s="1"/>
  <c r="G1157" i="4"/>
  <c r="H1157" i="4" s="1"/>
  <c r="G1189" i="4"/>
  <c r="H1189" i="4" s="1"/>
  <c r="G1229" i="4"/>
  <c r="H1229" i="4" s="1"/>
  <c r="J17" i="4"/>
  <c r="K17" i="4" s="1"/>
  <c r="J33" i="4"/>
  <c r="K33" i="4" s="1"/>
  <c r="J49" i="4"/>
  <c r="K49" i="4" s="1"/>
  <c r="J57" i="4"/>
  <c r="K57" i="4" s="1"/>
  <c r="J73" i="4"/>
  <c r="K73" i="4" s="1"/>
  <c r="J81" i="4"/>
  <c r="K81" i="4" s="1"/>
  <c r="J89" i="4"/>
  <c r="K89" i="4" s="1"/>
  <c r="J97" i="4"/>
  <c r="K97" i="4" s="1"/>
  <c r="J113" i="4"/>
  <c r="K113" i="4" s="1"/>
  <c r="J121" i="4"/>
  <c r="K121" i="4" s="1"/>
  <c r="J129" i="4"/>
  <c r="K129" i="4" s="1"/>
  <c r="G14" i="4"/>
  <c r="H14" i="4" s="1"/>
  <c r="G30" i="4"/>
  <c r="H30" i="4" s="1"/>
  <c r="G54" i="4"/>
  <c r="H54" i="4" s="1"/>
  <c r="G70" i="4"/>
  <c r="H70" i="4" s="1"/>
  <c r="G94" i="4"/>
  <c r="H94" i="4" s="1"/>
  <c r="G110" i="4"/>
  <c r="H110" i="4" s="1"/>
  <c r="G134" i="4"/>
  <c r="H134" i="4" s="1"/>
  <c r="G174" i="4"/>
  <c r="H174" i="4" s="1"/>
  <c r="G198" i="4"/>
  <c r="H198" i="4" s="1"/>
  <c r="G222" i="4"/>
  <c r="H222" i="4" s="1"/>
  <c r="G286" i="4"/>
  <c r="H286" i="4" s="1"/>
  <c r="G326" i="4"/>
  <c r="H326" i="4" s="1"/>
  <c r="G342" i="4"/>
  <c r="H342" i="4" s="1"/>
  <c r="G358" i="4"/>
  <c r="H358" i="4" s="1"/>
  <c r="G382" i="4"/>
  <c r="H382" i="4" s="1"/>
  <c r="G398" i="4"/>
  <c r="H398" i="4" s="1"/>
  <c r="G414" i="4"/>
  <c r="H414" i="4" s="1"/>
  <c r="G422" i="4"/>
  <c r="H422" i="4" s="1"/>
  <c r="G446" i="4"/>
  <c r="H446" i="4" s="1"/>
  <c r="G454" i="4"/>
  <c r="H454" i="4" s="1"/>
  <c r="G470" i="4"/>
  <c r="H470" i="4" s="1"/>
  <c r="G486" i="4"/>
  <c r="H486" i="4" s="1"/>
  <c r="G502" i="4"/>
  <c r="H502" i="4" s="1"/>
  <c r="G526" i="4"/>
  <c r="H526" i="4" s="1"/>
  <c r="G542" i="4"/>
  <c r="H542" i="4" s="1"/>
  <c r="G558" i="4"/>
  <c r="H558" i="4" s="1"/>
  <c r="G590" i="4"/>
  <c r="H590" i="4" s="1"/>
  <c r="G630" i="4"/>
  <c r="H630" i="4" s="1"/>
  <c r="G686" i="4"/>
  <c r="H686" i="4" s="1"/>
  <c r="G710" i="4"/>
  <c r="H710" i="4" s="1"/>
  <c r="G734" i="4"/>
  <c r="H734" i="4" s="1"/>
  <c r="G782" i="4"/>
  <c r="H782" i="4" s="1"/>
  <c r="G798" i="4"/>
  <c r="H798" i="4" s="1"/>
  <c r="G814" i="4"/>
  <c r="H814" i="4" s="1"/>
  <c r="G838" i="4"/>
  <c r="H838" i="4" s="1"/>
  <c r="G854" i="4"/>
  <c r="H854" i="4" s="1"/>
  <c r="G870" i="4"/>
  <c r="H870" i="4" s="1"/>
  <c r="G886" i="4"/>
  <c r="H886" i="4" s="1"/>
  <c r="G910" i="4"/>
  <c r="H910" i="4" s="1"/>
  <c r="G926" i="4"/>
  <c r="H926" i="4" s="1"/>
  <c r="G958" i="4"/>
  <c r="H958" i="4" s="1"/>
  <c r="G8" i="4"/>
  <c r="H8" i="4" s="1"/>
  <c r="G16" i="4"/>
  <c r="H16" i="4" s="1"/>
  <c r="G24" i="4"/>
  <c r="H24" i="4" s="1"/>
  <c r="G32" i="4"/>
  <c r="H32" i="4" s="1"/>
  <c r="G40" i="4"/>
  <c r="H40" i="4" s="1"/>
  <c r="G48" i="4"/>
  <c r="H48" i="4" s="1"/>
  <c r="G56" i="4"/>
  <c r="H56" i="4" s="1"/>
  <c r="G64" i="4"/>
  <c r="H64" i="4" s="1"/>
  <c r="G72" i="4"/>
  <c r="H72" i="4" s="1"/>
  <c r="G80" i="4"/>
  <c r="H80" i="4" s="1"/>
  <c r="G88" i="4"/>
  <c r="H88" i="4" s="1"/>
  <c r="G96" i="4"/>
  <c r="H96" i="4" s="1"/>
  <c r="G104" i="4"/>
  <c r="H104" i="4" s="1"/>
  <c r="G112" i="4"/>
  <c r="H112" i="4" s="1"/>
  <c r="G120" i="4"/>
  <c r="H120" i="4" s="1"/>
  <c r="G128" i="4"/>
  <c r="H128" i="4" s="1"/>
  <c r="G136" i="4"/>
  <c r="H136" i="4" s="1"/>
  <c r="G144" i="4"/>
  <c r="H144" i="4" s="1"/>
  <c r="G152" i="4"/>
  <c r="H152" i="4" s="1"/>
  <c r="G160" i="4"/>
  <c r="H160" i="4" s="1"/>
  <c r="G168" i="4"/>
  <c r="H168" i="4" s="1"/>
  <c r="G176" i="4"/>
  <c r="H176" i="4" s="1"/>
  <c r="G184" i="4"/>
  <c r="H184" i="4" s="1"/>
  <c r="G192" i="4"/>
  <c r="H192" i="4" s="1"/>
  <c r="G200" i="4"/>
  <c r="H200" i="4" s="1"/>
  <c r="G208" i="4"/>
  <c r="H208" i="4" s="1"/>
  <c r="G216" i="4"/>
  <c r="H216" i="4" s="1"/>
  <c r="G224" i="4"/>
  <c r="H224" i="4" s="1"/>
  <c r="G232" i="4"/>
  <c r="H232" i="4" s="1"/>
  <c r="G240" i="4"/>
  <c r="H240" i="4" s="1"/>
  <c r="G248" i="4"/>
  <c r="H248" i="4" s="1"/>
  <c r="G256" i="4"/>
  <c r="H256" i="4" s="1"/>
  <c r="G264" i="4"/>
  <c r="H264" i="4" s="1"/>
  <c r="G272" i="4"/>
  <c r="H272" i="4" s="1"/>
  <c r="G280" i="4"/>
  <c r="H280" i="4" s="1"/>
  <c r="G288" i="4"/>
  <c r="H288" i="4" s="1"/>
  <c r="G296" i="4"/>
  <c r="H296" i="4" s="1"/>
  <c r="G304" i="4"/>
  <c r="H304" i="4" s="1"/>
  <c r="G312" i="4"/>
  <c r="H312" i="4" s="1"/>
  <c r="G320" i="4"/>
  <c r="H320" i="4" s="1"/>
  <c r="G328" i="4"/>
  <c r="H328" i="4" s="1"/>
  <c r="G336" i="4"/>
  <c r="H336" i="4" s="1"/>
  <c r="G344" i="4"/>
  <c r="H344" i="4" s="1"/>
  <c r="G352" i="4"/>
  <c r="H352" i="4" s="1"/>
  <c r="G360" i="4"/>
  <c r="H360" i="4" s="1"/>
  <c r="G368" i="4"/>
  <c r="H368" i="4" s="1"/>
  <c r="G376" i="4"/>
  <c r="H376" i="4" s="1"/>
  <c r="G384" i="4"/>
  <c r="H384" i="4" s="1"/>
  <c r="G392" i="4"/>
  <c r="H392" i="4" s="1"/>
  <c r="G400" i="4"/>
  <c r="H400" i="4" s="1"/>
  <c r="G408" i="4"/>
  <c r="H408" i="4" s="1"/>
  <c r="G416" i="4"/>
  <c r="H416" i="4" s="1"/>
  <c r="G424" i="4"/>
  <c r="H424" i="4" s="1"/>
  <c r="G432" i="4"/>
  <c r="H432" i="4" s="1"/>
  <c r="G440" i="4"/>
  <c r="H440" i="4" s="1"/>
  <c r="G448" i="4"/>
  <c r="H448" i="4" s="1"/>
  <c r="G456" i="4"/>
  <c r="H456" i="4" s="1"/>
  <c r="G464" i="4"/>
  <c r="H464" i="4" s="1"/>
  <c r="G472" i="4"/>
  <c r="H472" i="4" s="1"/>
  <c r="G480" i="4"/>
  <c r="H480" i="4" s="1"/>
  <c r="G488" i="4"/>
  <c r="H488" i="4" s="1"/>
  <c r="G496" i="4"/>
  <c r="H496" i="4" s="1"/>
  <c r="G504" i="4"/>
  <c r="H504" i="4" s="1"/>
  <c r="G512" i="4"/>
  <c r="H512" i="4" s="1"/>
  <c r="G520" i="4"/>
  <c r="H520" i="4" s="1"/>
  <c r="G528" i="4"/>
  <c r="H528" i="4" s="1"/>
  <c r="G536" i="4"/>
  <c r="H536" i="4" s="1"/>
  <c r="G544" i="4"/>
  <c r="H544" i="4" s="1"/>
  <c r="G800" i="4"/>
  <c r="H800" i="4" s="1"/>
  <c r="G896" i="4"/>
  <c r="H896" i="4" s="1"/>
  <c r="G960" i="4"/>
  <c r="H960" i="4" s="1"/>
  <c r="G992" i="4"/>
  <c r="H992" i="4" s="1"/>
  <c r="G1016" i="4"/>
  <c r="H1016" i="4" s="1"/>
  <c r="G1056" i="4"/>
  <c r="H1056" i="4" s="1"/>
  <c r="G1080" i="4"/>
  <c r="H1080" i="4" s="1"/>
  <c r="G1120" i="4"/>
  <c r="H1120" i="4" s="1"/>
  <c r="J12" i="4"/>
  <c r="K12" i="4" s="1"/>
  <c r="J100" i="4"/>
  <c r="K100" i="4" s="1"/>
  <c r="J340" i="4"/>
  <c r="K340" i="4" s="1"/>
  <c r="J628" i="4"/>
  <c r="K628" i="4" s="1"/>
  <c r="J972" i="4"/>
  <c r="K972" i="4" s="1"/>
  <c r="G559" i="4"/>
  <c r="H559" i="4" s="1"/>
  <c r="G599" i="4"/>
  <c r="H599" i="4" s="1"/>
  <c r="G639" i="4"/>
  <c r="H639" i="4" s="1"/>
  <c r="G679" i="4"/>
  <c r="H679" i="4" s="1"/>
  <c r="G719" i="4"/>
  <c r="H719" i="4" s="1"/>
  <c r="G903" i="4"/>
  <c r="H903" i="4" s="1"/>
  <c r="J839" i="4"/>
  <c r="K839" i="4" s="1"/>
  <c r="J863" i="4"/>
  <c r="K863" i="4" s="1"/>
  <c r="J887" i="4"/>
  <c r="K887" i="4" s="1"/>
  <c r="J927" i="4"/>
  <c r="K927" i="4" s="1"/>
  <c r="J951" i="4"/>
  <c r="K951" i="4" s="1"/>
  <c r="J975" i="4"/>
  <c r="K975" i="4" s="1"/>
  <c r="J999" i="4"/>
  <c r="K999" i="4" s="1"/>
  <c r="J1023" i="4"/>
  <c r="K1023" i="4" s="1"/>
  <c r="J1055" i="4"/>
  <c r="K1055" i="4" s="1"/>
  <c r="J1079" i="4"/>
  <c r="K1079" i="4" s="1"/>
  <c r="J1103" i="4"/>
  <c r="K1103" i="4" s="1"/>
  <c r="J1143" i="4"/>
  <c r="K1143" i="4" s="1"/>
  <c r="J1167" i="4"/>
  <c r="K1167" i="4" s="1"/>
  <c r="J1191" i="4"/>
  <c r="K1191" i="4" s="1"/>
  <c r="J1223" i="4"/>
  <c r="K1223" i="4" s="1"/>
  <c r="J1247" i="4"/>
  <c r="K1247" i="4" s="1"/>
  <c r="J1279" i="4"/>
  <c r="K1279" i="4" s="1"/>
  <c r="J1303" i="4"/>
  <c r="K1303" i="4" s="1"/>
  <c r="J1327" i="4"/>
  <c r="K1327" i="4" s="1"/>
  <c r="J1351" i="4"/>
  <c r="K1351" i="4" s="1"/>
  <c r="J1391" i="4"/>
  <c r="K1391" i="4" s="1"/>
  <c r="G36" i="4"/>
  <c r="H36" i="4" s="1"/>
  <c r="G60" i="4"/>
  <c r="H60" i="4" s="1"/>
  <c r="G84" i="4"/>
  <c r="H84" i="4" s="1"/>
  <c r="G116" i="4"/>
  <c r="H116" i="4" s="1"/>
  <c r="G140" i="4"/>
  <c r="H140" i="4" s="1"/>
  <c r="G164" i="4"/>
  <c r="H164" i="4" s="1"/>
  <c r="G180" i="4"/>
  <c r="H180" i="4" s="1"/>
  <c r="G196" i="4"/>
  <c r="H196" i="4" s="1"/>
  <c r="G212" i="4"/>
  <c r="H212" i="4" s="1"/>
  <c r="G236" i="4"/>
  <c r="H236" i="4" s="1"/>
  <c r="G252" i="4"/>
  <c r="H252" i="4" s="1"/>
  <c r="G324" i="4"/>
  <c r="H324" i="4" s="1"/>
  <c r="G364" i="4"/>
  <c r="H364" i="4" s="1"/>
  <c r="G404" i="4"/>
  <c r="H404" i="4" s="1"/>
  <c r="G468" i="4"/>
  <c r="H468" i="4" s="1"/>
  <c r="G508" i="4"/>
  <c r="H508" i="4" s="1"/>
  <c r="G532" i="4"/>
  <c r="H532" i="4" s="1"/>
  <c r="G556" i="4"/>
  <c r="H556" i="4" s="1"/>
  <c r="G604" i="4"/>
  <c r="H604" i="4" s="1"/>
  <c r="G628" i="4"/>
  <c r="H628" i="4" s="1"/>
  <c r="G668" i="4"/>
  <c r="H668" i="4" s="1"/>
  <c r="G692" i="4"/>
  <c r="H692" i="4" s="1"/>
  <c r="G716" i="4"/>
  <c r="H716" i="4" s="1"/>
  <c r="G748" i="4"/>
  <c r="H748" i="4" s="1"/>
  <c r="G772" i="4"/>
  <c r="H772" i="4" s="1"/>
  <c r="G796" i="4"/>
  <c r="H796" i="4" s="1"/>
  <c r="G828" i="4"/>
  <c r="H828" i="4" s="1"/>
  <c r="G852" i="4"/>
  <c r="H852" i="4" s="1"/>
  <c r="G908" i="4"/>
  <c r="H908" i="4" s="1"/>
  <c r="G932" i="4"/>
  <c r="H932" i="4" s="1"/>
  <c r="G972" i="4"/>
  <c r="H972" i="4" s="1"/>
  <c r="G996" i="4"/>
  <c r="H996" i="4" s="1"/>
  <c r="G1020" i="4"/>
  <c r="H1020" i="4" s="1"/>
  <c r="G1044" i="4"/>
  <c r="H1044" i="4" s="1"/>
  <c r="G1068" i="4"/>
  <c r="H1068" i="4" s="1"/>
  <c r="G1092" i="4"/>
  <c r="H1092" i="4" s="1"/>
  <c r="G1140" i="4"/>
  <c r="H1140" i="4" s="1"/>
  <c r="G1164" i="4"/>
  <c r="H1164" i="4" s="1"/>
  <c r="G1212" i="4"/>
  <c r="H1212" i="4" s="1"/>
  <c r="J8" i="4"/>
  <c r="K8" i="4" s="1"/>
  <c r="J32" i="4"/>
  <c r="K32" i="4" s="1"/>
  <c r="J56" i="4"/>
  <c r="K56" i="4" s="1"/>
  <c r="J80" i="4"/>
  <c r="K80" i="4" s="1"/>
  <c r="J104" i="4"/>
  <c r="K104" i="4" s="1"/>
  <c r="J144" i="4"/>
  <c r="K144" i="4" s="1"/>
  <c r="J168" i="4"/>
  <c r="K168" i="4" s="1"/>
  <c r="J192" i="4"/>
  <c r="K192" i="4" s="1"/>
  <c r="J216" i="4"/>
  <c r="K216" i="4" s="1"/>
  <c r="J240" i="4"/>
  <c r="K240" i="4" s="1"/>
  <c r="J264" i="4"/>
  <c r="K264" i="4" s="1"/>
  <c r="J288" i="4"/>
  <c r="K288" i="4" s="1"/>
  <c r="J328" i="4"/>
  <c r="K328" i="4" s="1"/>
  <c r="J352" i="4"/>
  <c r="K352" i="4" s="1"/>
  <c r="J376" i="4"/>
  <c r="K376" i="4" s="1"/>
  <c r="J400" i="4"/>
  <c r="K400" i="4" s="1"/>
  <c r="J424" i="4"/>
  <c r="K424" i="4" s="1"/>
  <c r="J464" i="4"/>
  <c r="K464" i="4" s="1"/>
  <c r="J488" i="4"/>
  <c r="K488" i="4" s="1"/>
  <c r="J512" i="4"/>
  <c r="K512" i="4" s="1"/>
  <c r="J536" i="4"/>
  <c r="K536" i="4" s="1"/>
  <c r="J576" i="4"/>
  <c r="K576" i="4" s="1"/>
  <c r="J600" i="4"/>
  <c r="K600" i="4" s="1"/>
  <c r="J624" i="4"/>
  <c r="K624" i="4" s="1"/>
  <c r="J664" i="4"/>
  <c r="K664" i="4" s="1"/>
  <c r="J688" i="4"/>
  <c r="K688" i="4" s="1"/>
  <c r="J712" i="4"/>
  <c r="K712" i="4" s="1"/>
  <c r="J736" i="4"/>
  <c r="K736" i="4" s="1"/>
  <c r="J768" i="4"/>
  <c r="K768" i="4" s="1"/>
  <c r="J800" i="4"/>
  <c r="K800" i="4" s="1"/>
  <c r="J824" i="4"/>
  <c r="K824" i="4" s="1"/>
  <c r="J848" i="4"/>
  <c r="K848" i="4" s="1"/>
  <c r="J872" i="4"/>
  <c r="K872" i="4" s="1"/>
  <c r="J896" i="4"/>
  <c r="K896" i="4" s="1"/>
  <c r="J936" i="4"/>
  <c r="K936" i="4" s="1"/>
  <c r="J960" i="4"/>
  <c r="K960" i="4" s="1"/>
  <c r="J984" i="4"/>
  <c r="K984" i="4" s="1"/>
  <c r="J1008" i="4"/>
  <c r="K1008" i="4" s="1"/>
  <c r="J1032" i="4"/>
  <c r="K1032" i="4" s="1"/>
  <c r="J1072" i="4"/>
  <c r="K1072" i="4" s="1"/>
  <c r="J1096" i="4"/>
  <c r="K1096" i="4" s="1"/>
  <c r="J1120" i="4"/>
  <c r="K1120" i="4" s="1"/>
  <c r="J1144" i="4"/>
  <c r="K1144" i="4" s="1"/>
  <c r="J1184" i="4"/>
  <c r="K1184" i="4" s="1"/>
  <c r="J1208" i="4"/>
  <c r="K1208" i="4" s="1"/>
  <c r="J1232" i="4"/>
  <c r="K1232" i="4" s="1"/>
  <c r="J1256" i="4"/>
  <c r="K1256" i="4" s="1"/>
  <c r="J1296" i="4"/>
  <c r="K1296" i="4" s="1"/>
  <c r="J1352" i="4"/>
  <c r="K1352" i="4" s="1"/>
  <c r="G5" i="4"/>
  <c r="H5" i="4" s="1"/>
  <c r="G29" i="4"/>
  <c r="H29" i="4" s="1"/>
  <c r="G61" i="4"/>
  <c r="H61" i="4" s="1"/>
  <c r="G85" i="4"/>
  <c r="H85" i="4" s="1"/>
  <c r="G117" i="4"/>
  <c r="H117" i="4" s="1"/>
  <c r="G141" i="4"/>
  <c r="H141" i="4" s="1"/>
  <c r="G181" i="4"/>
  <c r="H181" i="4" s="1"/>
  <c r="G237" i="4"/>
  <c r="H237" i="4" s="1"/>
  <c r="G341" i="4"/>
  <c r="H341" i="4" s="1"/>
  <c r="G565" i="4"/>
  <c r="H565" i="4" s="1"/>
  <c r="G597" i="4"/>
  <c r="H597" i="4" s="1"/>
  <c r="G621" i="4"/>
  <c r="H621" i="4" s="1"/>
  <c r="G653" i="4"/>
  <c r="H653" i="4" s="1"/>
  <c r="G685" i="4"/>
  <c r="H685" i="4" s="1"/>
  <c r="G733" i="4"/>
  <c r="H733" i="4" s="1"/>
  <c r="G773" i="4"/>
  <c r="H773" i="4" s="1"/>
  <c r="G797" i="4"/>
  <c r="H797" i="4" s="1"/>
  <c r="G861" i="4"/>
  <c r="H861" i="4" s="1"/>
  <c r="G893" i="4"/>
  <c r="H893" i="4" s="1"/>
  <c r="G925" i="4"/>
  <c r="H925" i="4" s="1"/>
  <c r="G981" i="4"/>
  <c r="H981" i="4" s="1"/>
  <c r="G1005" i="4"/>
  <c r="H1005" i="4" s="1"/>
  <c r="G1045" i="4"/>
  <c r="H1045" i="4" s="1"/>
  <c r="G1069" i="4"/>
  <c r="H1069" i="4" s="1"/>
  <c r="G9" i="4"/>
  <c r="H9" i="4" s="1"/>
  <c r="G17" i="4"/>
  <c r="H17" i="4" s="1"/>
  <c r="G25" i="4"/>
  <c r="H25" i="4" s="1"/>
  <c r="G33" i="4"/>
  <c r="H33" i="4" s="1"/>
  <c r="G41" i="4"/>
  <c r="H41" i="4" s="1"/>
  <c r="G49" i="4"/>
  <c r="H49" i="4" s="1"/>
  <c r="G57" i="4"/>
  <c r="H57" i="4" s="1"/>
  <c r="G65" i="4"/>
  <c r="H65" i="4" s="1"/>
  <c r="G73" i="4"/>
  <c r="H73" i="4" s="1"/>
  <c r="G81" i="4"/>
  <c r="H81" i="4" s="1"/>
  <c r="G89" i="4"/>
  <c r="H89" i="4" s="1"/>
  <c r="G97" i="4"/>
  <c r="H97" i="4" s="1"/>
  <c r="G105" i="4"/>
  <c r="H105" i="4" s="1"/>
  <c r="G113" i="4"/>
  <c r="H113" i="4" s="1"/>
  <c r="G121" i="4"/>
  <c r="H121" i="4" s="1"/>
  <c r="G129" i="4"/>
  <c r="H129" i="4" s="1"/>
  <c r="G137" i="4"/>
  <c r="H137" i="4" s="1"/>
  <c r="G145" i="4"/>
  <c r="H145" i="4" s="1"/>
  <c r="G153" i="4"/>
  <c r="H153" i="4" s="1"/>
  <c r="G161" i="4"/>
  <c r="H161" i="4" s="1"/>
  <c r="G169" i="4"/>
  <c r="H169" i="4" s="1"/>
  <c r="G177" i="4"/>
  <c r="H177" i="4" s="1"/>
  <c r="G185" i="4"/>
  <c r="H185" i="4" s="1"/>
  <c r="G193" i="4"/>
  <c r="H193" i="4" s="1"/>
  <c r="G201" i="4"/>
  <c r="H201" i="4" s="1"/>
  <c r="G209" i="4"/>
  <c r="H209" i="4" s="1"/>
  <c r="G217" i="4"/>
  <c r="H217" i="4" s="1"/>
  <c r="G225" i="4"/>
  <c r="H225" i="4" s="1"/>
  <c r="G233" i="4"/>
  <c r="H233" i="4" s="1"/>
  <c r="G241" i="4"/>
  <c r="H241" i="4" s="1"/>
  <c r="G249" i="4"/>
  <c r="H249" i="4" s="1"/>
  <c r="G257" i="4"/>
  <c r="H257" i="4" s="1"/>
  <c r="G265" i="4"/>
  <c r="H265" i="4" s="1"/>
  <c r="G273" i="4"/>
  <c r="H273" i="4" s="1"/>
  <c r="G281" i="4"/>
  <c r="H281" i="4" s="1"/>
  <c r="G289" i="4"/>
  <c r="H289" i="4" s="1"/>
  <c r="G297" i="4"/>
  <c r="H297" i="4" s="1"/>
  <c r="G305" i="4"/>
  <c r="H305" i="4" s="1"/>
  <c r="G313" i="4"/>
  <c r="H313" i="4" s="1"/>
  <c r="G321" i="4"/>
  <c r="H321" i="4" s="1"/>
  <c r="G329" i="4"/>
  <c r="H329" i="4" s="1"/>
  <c r="G337" i="4"/>
  <c r="H337" i="4" s="1"/>
  <c r="G345" i="4"/>
  <c r="H345" i="4" s="1"/>
  <c r="G353" i="4"/>
  <c r="H353" i="4" s="1"/>
  <c r="G361" i="4"/>
  <c r="H361" i="4" s="1"/>
  <c r="G369" i="4"/>
  <c r="H369" i="4" s="1"/>
  <c r="G377" i="4"/>
  <c r="H377" i="4" s="1"/>
  <c r="G385" i="4"/>
  <c r="H385" i="4" s="1"/>
  <c r="G393" i="4"/>
  <c r="H393" i="4" s="1"/>
  <c r="G401" i="4"/>
  <c r="H401" i="4" s="1"/>
  <c r="G409" i="4"/>
  <c r="H409" i="4" s="1"/>
  <c r="G417" i="4"/>
  <c r="H417" i="4" s="1"/>
  <c r="G425" i="4"/>
  <c r="H425" i="4" s="1"/>
  <c r="G433" i="4"/>
  <c r="H433" i="4" s="1"/>
  <c r="G441" i="4"/>
  <c r="H441" i="4" s="1"/>
  <c r="G449" i="4"/>
  <c r="H449" i="4" s="1"/>
  <c r="G457" i="4"/>
  <c r="H457" i="4" s="1"/>
  <c r="G465" i="4"/>
  <c r="H465" i="4" s="1"/>
  <c r="G473" i="4"/>
  <c r="H473" i="4" s="1"/>
  <c r="G481" i="4"/>
  <c r="H481" i="4" s="1"/>
  <c r="G489" i="4"/>
  <c r="H489" i="4" s="1"/>
  <c r="G497" i="4"/>
  <c r="H497" i="4" s="1"/>
  <c r="G505" i="4"/>
  <c r="H505" i="4" s="1"/>
  <c r="G513" i="4"/>
  <c r="H513" i="4" s="1"/>
  <c r="G521" i="4"/>
  <c r="H521" i="4" s="1"/>
  <c r="G529" i="4"/>
  <c r="H529" i="4" s="1"/>
  <c r="G537" i="4"/>
  <c r="H537" i="4" s="1"/>
  <c r="G545" i="4"/>
  <c r="H545" i="4" s="1"/>
  <c r="G553" i="4"/>
  <c r="H553" i="4" s="1"/>
  <c r="G561" i="4"/>
  <c r="H561" i="4" s="1"/>
  <c r="G569" i="4"/>
  <c r="H569" i="4" s="1"/>
  <c r="G577" i="4"/>
  <c r="H577" i="4" s="1"/>
  <c r="G585" i="4"/>
  <c r="H585" i="4" s="1"/>
  <c r="G593" i="4"/>
  <c r="H593" i="4" s="1"/>
  <c r="G601" i="4"/>
  <c r="H601" i="4" s="1"/>
  <c r="G609" i="4"/>
  <c r="H609" i="4" s="1"/>
  <c r="G617" i="4"/>
  <c r="H617" i="4" s="1"/>
  <c r="G625" i="4"/>
  <c r="H625" i="4" s="1"/>
  <c r="G633" i="4"/>
  <c r="H633" i="4" s="1"/>
  <c r="G641" i="4"/>
  <c r="H641" i="4" s="1"/>
  <c r="G649" i="4"/>
  <c r="H649" i="4" s="1"/>
  <c r="G657" i="4"/>
  <c r="H657" i="4" s="1"/>
  <c r="G665" i="4"/>
  <c r="H665" i="4" s="1"/>
  <c r="G673" i="4"/>
  <c r="H673" i="4" s="1"/>
  <c r="G681" i="4"/>
  <c r="H681" i="4" s="1"/>
  <c r="G689" i="4"/>
  <c r="H689" i="4" s="1"/>
  <c r="G697" i="4"/>
  <c r="H697" i="4" s="1"/>
  <c r="G705" i="4"/>
  <c r="H705" i="4" s="1"/>
  <c r="G713" i="4"/>
  <c r="H713" i="4" s="1"/>
  <c r="G721" i="4"/>
  <c r="H721" i="4" s="1"/>
  <c r="G729" i="4"/>
  <c r="H729" i="4" s="1"/>
  <c r="G737" i="4"/>
  <c r="H737" i="4" s="1"/>
  <c r="G745" i="4"/>
  <c r="H745" i="4" s="1"/>
  <c r="G753" i="4"/>
  <c r="H753" i="4" s="1"/>
  <c r="G761" i="4"/>
  <c r="H761" i="4" s="1"/>
  <c r="G769" i="4"/>
  <c r="H769" i="4" s="1"/>
  <c r="G777" i="4"/>
  <c r="H777" i="4" s="1"/>
  <c r="G793" i="4"/>
  <c r="H793" i="4" s="1"/>
  <c r="G801" i="4"/>
  <c r="H801" i="4" s="1"/>
  <c r="G809" i="4"/>
  <c r="H809" i="4" s="1"/>
  <c r="G817" i="4"/>
  <c r="H817" i="4" s="1"/>
  <c r="G825" i="4"/>
  <c r="H825" i="4" s="1"/>
  <c r="G833" i="4"/>
  <c r="H833" i="4" s="1"/>
  <c r="G841" i="4"/>
  <c r="H841" i="4" s="1"/>
  <c r="G849" i="4"/>
  <c r="H849" i="4" s="1"/>
  <c r="G865" i="4"/>
  <c r="H865" i="4" s="1"/>
  <c r="G873" i="4"/>
  <c r="H873" i="4" s="1"/>
  <c r="G881" i="4"/>
  <c r="H881" i="4" s="1"/>
  <c r="G889" i="4"/>
  <c r="H889" i="4" s="1"/>
  <c r="G897" i="4"/>
  <c r="H897" i="4" s="1"/>
  <c r="G905" i="4"/>
  <c r="H905" i="4" s="1"/>
  <c r="G913" i="4"/>
  <c r="H913" i="4" s="1"/>
  <c r="G921" i="4"/>
  <c r="H921" i="4" s="1"/>
  <c r="G937" i="4"/>
  <c r="H937" i="4" s="1"/>
  <c r="G945" i="4"/>
  <c r="H945" i="4" s="1"/>
  <c r="G953" i="4"/>
  <c r="H953" i="4" s="1"/>
  <c r="G961" i="4"/>
  <c r="H961" i="4" s="1"/>
  <c r="G977" i="4"/>
  <c r="H977" i="4" s="1"/>
  <c r="G985" i="4"/>
  <c r="H985" i="4" s="1"/>
  <c r="G993" i="4"/>
  <c r="H993" i="4" s="1"/>
  <c r="G1001" i="4"/>
  <c r="H1001" i="4" s="1"/>
  <c r="G1009" i="4"/>
  <c r="H1009" i="4" s="1"/>
  <c r="G1017" i="4"/>
  <c r="H1017" i="4" s="1"/>
  <c r="G1025" i="4"/>
  <c r="H1025" i="4" s="1"/>
  <c r="G1033" i="4"/>
  <c r="H1033" i="4" s="1"/>
  <c r="G1041" i="4"/>
  <c r="H1041" i="4" s="1"/>
  <c r="G1049" i="4"/>
  <c r="H1049" i="4" s="1"/>
  <c r="G1057" i="4"/>
  <c r="H1057" i="4" s="1"/>
  <c r="J213" i="4"/>
  <c r="K213" i="4" s="1"/>
  <c r="J301" i="4"/>
  <c r="K301" i="4" s="1"/>
  <c r="J333" i="4"/>
  <c r="K333" i="4" s="1"/>
  <c r="J405" i="4"/>
  <c r="K405" i="4" s="1"/>
  <c r="J429" i="4"/>
  <c r="K429" i="4" s="1"/>
  <c r="J1301" i="4"/>
  <c r="K1301" i="4" s="1"/>
  <c r="G111" i="4"/>
  <c r="H111" i="4" s="1"/>
  <c r="G151" i="4"/>
  <c r="H151" i="4" s="1"/>
  <c r="G191" i="4"/>
  <c r="H191" i="4" s="1"/>
  <c r="G231" i="4"/>
  <c r="H231" i="4" s="1"/>
  <c r="G271" i="4"/>
  <c r="H271" i="4" s="1"/>
  <c r="G767" i="4"/>
  <c r="H767" i="4" s="1"/>
  <c r="G904" i="4"/>
  <c r="H904" i="4" s="1"/>
  <c r="J1190" i="4"/>
  <c r="K1190" i="4" s="1"/>
  <c r="J1198" i="4"/>
  <c r="K1198" i="4" s="1"/>
  <c r="J1206" i="4"/>
  <c r="K1206" i="4" s="1"/>
  <c r="J1214" i="4"/>
  <c r="K1214" i="4" s="1"/>
  <c r="J1222" i="4"/>
  <c r="K1222" i="4" s="1"/>
  <c r="J1230" i="4"/>
  <c r="K1230" i="4" s="1"/>
  <c r="J1238" i="4"/>
  <c r="K1238" i="4" s="1"/>
  <c r="J1246" i="4"/>
  <c r="K1246" i="4" s="1"/>
  <c r="J1254" i="4"/>
  <c r="K1254" i="4" s="1"/>
  <c r="J1262" i="4"/>
  <c r="K1262" i="4" s="1"/>
  <c r="J1270" i="4"/>
  <c r="K1270" i="4" s="1"/>
  <c r="J1278" i="4"/>
  <c r="K1278" i="4" s="1"/>
  <c r="J1286" i="4"/>
  <c r="K1286" i="4" s="1"/>
  <c r="J1294" i="4"/>
  <c r="K1294" i="4" s="1"/>
  <c r="J1302" i="4"/>
  <c r="K1302" i="4" s="1"/>
  <c r="J1310" i="4"/>
  <c r="K1310" i="4" s="1"/>
  <c r="J1318" i="4"/>
  <c r="K1318" i="4" s="1"/>
  <c r="J1326" i="4"/>
  <c r="K1326" i="4" s="1"/>
  <c r="J1334" i="4"/>
  <c r="K1334" i="4" s="1"/>
  <c r="J1342" i="4"/>
  <c r="K1342" i="4" s="1"/>
  <c r="J1350" i="4"/>
  <c r="K1350" i="4" s="1"/>
  <c r="J1358" i="4"/>
  <c r="K1358" i="4" s="1"/>
  <c r="J1366" i="4"/>
  <c r="K1366" i="4" s="1"/>
  <c r="J1374" i="4"/>
  <c r="K1374" i="4" s="1"/>
  <c r="J1382" i="4"/>
  <c r="K1382" i="4" s="1"/>
  <c r="J1390" i="4"/>
  <c r="K1390" i="4" s="1"/>
  <c r="J1398" i="4"/>
  <c r="K1398" i="4" s="1"/>
  <c r="J242" i="4"/>
  <c r="K242" i="4" s="1"/>
  <c r="J306" i="4"/>
  <c r="K306" i="4" s="1"/>
  <c r="G7" i="4"/>
  <c r="H7" i="4" s="1"/>
  <c r="G31" i="4"/>
  <c r="H31" i="4" s="1"/>
  <c r="G55" i="4"/>
  <c r="H55" i="4" s="1"/>
  <c r="G71" i="4"/>
  <c r="H71" i="4" s="1"/>
  <c r="G95" i="4"/>
  <c r="H95" i="4" s="1"/>
  <c r="G119" i="4"/>
  <c r="H119" i="4" s="1"/>
  <c r="G135" i="4"/>
  <c r="H135" i="4" s="1"/>
  <c r="G159" i="4"/>
  <c r="H159" i="4" s="1"/>
  <c r="G183" i="4"/>
  <c r="H183" i="4" s="1"/>
  <c r="G199" i="4"/>
  <c r="H199" i="4" s="1"/>
  <c r="G223" i="4"/>
  <c r="H223" i="4" s="1"/>
  <c r="G247" i="4"/>
  <c r="H247" i="4" s="1"/>
  <c r="G263" i="4"/>
  <c r="H263" i="4" s="1"/>
  <c r="G287" i="4"/>
  <c r="H287" i="4" s="1"/>
  <c r="G311" i="4"/>
  <c r="H311" i="4" s="1"/>
  <c r="G327" i="4"/>
  <c r="H327" i="4" s="1"/>
  <c r="G351" i="4"/>
  <c r="H351" i="4" s="1"/>
  <c r="G375" i="4"/>
  <c r="H375" i="4" s="1"/>
  <c r="G391" i="4"/>
  <c r="H391" i="4" s="1"/>
  <c r="G415" i="4"/>
  <c r="H415" i="4" s="1"/>
  <c r="G439" i="4"/>
  <c r="H439" i="4" s="1"/>
  <c r="G455" i="4"/>
  <c r="H455" i="4" s="1"/>
  <c r="G479" i="4"/>
  <c r="H479" i="4" s="1"/>
  <c r="G503" i="4"/>
  <c r="H503" i="4" s="1"/>
  <c r="G519" i="4"/>
  <c r="H519" i="4" s="1"/>
  <c r="G543" i="4"/>
  <c r="H543" i="4" s="1"/>
  <c r="G567" i="4"/>
  <c r="H567" i="4" s="1"/>
  <c r="G583" i="4"/>
  <c r="H583" i="4" s="1"/>
  <c r="G607" i="4"/>
  <c r="H607" i="4" s="1"/>
  <c r="G631" i="4"/>
  <c r="H631" i="4" s="1"/>
  <c r="G647" i="4"/>
  <c r="H647" i="4" s="1"/>
  <c r="G671" i="4"/>
  <c r="H671" i="4" s="1"/>
  <c r="G695" i="4"/>
  <c r="H695" i="4" s="1"/>
  <c r="G711" i="4"/>
  <c r="H711" i="4" s="1"/>
  <c r="G735" i="4"/>
  <c r="H735" i="4" s="1"/>
  <c r="G759" i="4"/>
  <c r="H759" i="4" s="1"/>
  <c r="G775" i="4"/>
  <c r="H775" i="4" s="1"/>
  <c r="G791" i="4"/>
  <c r="H791" i="4" s="1"/>
  <c r="G799" i="4"/>
  <c r="H799" i="4" s="1"/>
  <c r="G807" i="4"/>
  <c r="H807" i="4" s="1"/>
  <c r="G815" i="4"/>
  <c r="H815" i="4" s="1"/>
  <c r="G863" i="4"/>
  <c r="H863" i="4" s="1"/>
  <c r="G871" i="4"/>
  <c r="H871" i="4" s="1"/>
  <c r="G879" i="4"/>
  <c r="H879" i="4" s="1"/>
  <c r="G895" i="4"/>
  <c r="H895" i="4" s="1"/>
  <c r="G911" i="4"/>
  <c r="H911" i="4" s="1"/>
  <c r="G927" i="4"/>
  <c r="H927" i="4" s="1"/>
  <c r="G935" i="4"/>
  <c r="H935" i="4" s="1"/>
  <c r="G943" i="4"/>
  <c r="H943" i="4" s="1"/>
  <c r="G951" i="4"/>
  <c r="H951" i="4" s="1"/>
  <c r="G967" i="4"/>
  <c r="H967" i="4" s="1"/>
  <c r="G983" i="4"/>
  <c r="H983" i="4" s="1"/>
  <c r="G1007" i="4"/>
  <c r="H1007" i="4" s="1"/>
  <c r="G1023" i="4"/>
  <c r="H1023" i="4" s="1"/>
  <c r="G1047" i="4"/>
  <c r="H1047" i="4" s="1"/>
  <c r="G1071" i="4"/>
  <c r="H1071" i="4" s="1"/>
  <c r="G1087" i="4"/>
  <c r="H1087" i="4" s="1"/>
  <c r="G1111" i="4"/>
  <c r="H1111" i="4" s="1"/>
  <c r="G1127" i="4"/>
  <c r="H1127" i="4" s="1"/>
  <c r="G1135" i="4"/>
  <c r="H1135" i="4" s="1"/>
  <c r="G1151" i="4"/>
  <c r="H1151" i="4" s="1"/>
  <c r="G1167" i="4"/>
  <c r="H1167" i="4" s="1"/>
  <c r="G1175" i="4"/>
  <c r="H1175" i="4" s="1"/>
  <c r="G1191" i="4"/>
  <c r="H1191" i="4" s="1"/>
  <c r="G1199" i="4"/>
  <c r="H1199" i="4" s="1"/>
  <c r="G1207" i="4"/>
  <c r="H1207" i="4" s="1"/>
  <c r="G1215" i="4"/>
  <c r="H1215" i="4" s="1"/>
  <c r="J3" i="4"/>
  <c r="K3" i="4" s="1"/>
  <c r="J19" i="4"/>
  <c r="K19" i="4" s="1"/>
  <c r="J27" i="4"/>
  <c r="K27" i="4" s="1"/>
  <c r="J35" i="4"/>
  <c r="K35" i="4" s="1"/>
  <c r="J43" i="4"/>
  <c r="K43" i="4" s="1"/>
  <c r="J51" i="4"/>
  <c r="K51" i="4" s="1"/>
  <c r="J59" i="4"/>
  <c r="K59" i="4" s="1"/>
  <c r="J67" i="4"/>
  <c r="K67" i="4" s="1"/>
  <c r="J83" i="4"/>
  <c r="K83" i="4" s="1"/>
  <c r="J91" i="4"/>
  <c r="K91" i="4" s="1"/>
  <c r="J99" i="4"/>
  <c r="K99" i="4" s="1"/>
  <c r="J107" i="4"/>
  <c r="K107" i="4" s="1"/>
  <c r="J115" i="4"/>
  <c r="K115" i="4" s="1"/>
  <c r="J123" i="4"/>
  <c r="K123" i="4" s="1"/>
  <c r="J131" i="4"/>
  <c r="K131" i="4" s="1"/>
  <c r="J147" i="4"/>
  <c r="K147" i="4" s="1"/>
  <c r="J155" i="4"/>
  <c r="K155" i="4" s="1"/>
  <c r="J163" i="4"/>
  <c r="K163" i="4" s="1"/>
  <c r="J171" i="4"/>
  <c r="K171" i="4" s="1"/>
  <c r="J179" i="4"/>
  <c r="K179" i="4" s="1"/>
  <c r="J187" i="4"/>
  <c r="K187" i="4" s="1"/>
  <c r="J195" i="4"/>
  <c r="K195" i="4" s="1"/>
  <c r="J211" i="4"/>
  <c r="K211" i="4" s="1"/>
  <c r="J219" i="4"/>
  <c r="K219" i="4" s="1"/>
  <c r="J227" i="4"/>
  <c r="K227" i="4" s="1"/>
  <c r="J235" i="4"/>
  <c r="K235" i="4" s="1"/>
  <c r="J243" i="4"/>
  <c r="K243" i="4" s="1"/>
  <c r="J251" i="4"/>
  <c r="K251" i="4" s="1"/>
  <c r="J259" i="4"/>
  <c r="K259" i="4" s="1"/>
  <c r="J267" i="4"/>
  <c r="K267" i="4" s="1"/>
  <c r="J275" i="4"/>
  <c r="K275" i="4" s="1"/>
  <c r="J283" i="4"/>
  <c r="K283" i="4" s="1"/>
  <c r="J291" i="4"/>
  <c r="K291" i="4" s="1"/>
  <c r="J299" i="4"/>
  <c r="K299" i="4" s="1"/>
  <c r="J307" i="4"/>
  <c r="K307" i="4" s="1"/>
  <c r="J315" i="4"/>
  <c r="K315" i="4" s="1"/>
  <c r="J323" i="4"/>
  <c r="K323" i="4" s="1"/>
  <c r="J331" i="4"/>
  <c r="K331" i="4" s="1"/>
  <c r="J339" i="4"/>
  <c r="K339" i="4" s="1"/>
  <c r="J347" i="4"/>
  <c r="K347" i="4" s="1"/>
  <c r="J355" i="4"/>
  <c r="K355" i="4" s="1"/>
  <c r="J363" i="4"/>
  <c r="K363" i="4" s="1"/>
  <c r="J371" i="4"/>
  <c r="K371" i="4" s="1"/>
  <c r="J379" i="4"/>
  <c r="K379" i="4" s="1"/>
  <c r="J387" i="4"/>
  <c r="K387" i="4" s="1"/>
  <c r="J395" i="4"/>
  <c r="K395" i="4" s="1"/>
  <c r="J403" i="4"/>
  <c r="K403" i="4" s="1"/>
  <c r="J411" i="4"/>
  <c r="K411" i="4" s="1"/>
  <c r="J427" i="4"/>
  <c r="K427" i="4" s="1"/>
  <c r="J435" i="4"/>
  <c r="K435" i="4" s="1"/>
  <c r="J443" i="4"/>
  <c r="K443" i="4" s="1"/>
  <c r="J451" i="4"/>
  <c r="K451" i="4" s="1"/>
  <c r="J459" i="4"/>
  <c r="K459" i="4" s="1"/>
  <c r="J467" i="4"/>
  <c r="K467" i="4" s="1"/>
  <c r="J475" i="4"/>
  <c r="K475" i="4" s="1"/>
  <c r="J491" i="4"/>
  <c r="K491" i="4" s="1"/>
  <c r="J499" i="4"/>
  <c r="K499" i="4" s="1"/>
  <c r="J507" i="4"/>
  <c r="K507" i="4" s="1"/>
  <c r="J515" i="4"/>
  <c r="K515" i="4" s="1"/>
  <c r="J523" i="4"/>
  <c r="K523" i="4" s="1"/>
  <c r="J531" i="4"/>
  <c r="K531" i="4" s="1"/>
  <c r="J539" i="4"/>
  <c r="K539" i="4" s="1"/>
  <c r="J547" i="4"/>
  <c r="K547" i="4" s="1"/>
  <c r="J563" i="4"/>
  <c r="K563" i="4" s="1"/>
  <c r="J571" i="4"/>
  <c r="K571" i="4" s="1"/>
  <c r="J579" i="4"/>
  <c r="K579" i="4" s="1"/>
  <c r="J587" i="4"/>
  <c r="K587" i="4" s="1"/>
  <c r="J595" i="4"/>
  <c r="K595" i="4" s="1"/>
  <c r="J611" i="4"/>
  <c r="K611" i="4" s="1"/>
  <c r="J627" i="4"/>
  <c r="K627" i="4" s="1"/>
  <c r="J635" i="4"/>
  <c r="K635" i="4" s="1"/>
  <c r="J643" i="4"/>
  <c r="K643" i="4" s="1"/>
  <c r="J651" i="4"/>
  <c r="K651" i="4" s="1"/>
  <c r="J659" i="4"/>
  <c r="K659" i="4" s="1"/>
  <c r="J667" i="4"/>
  <c r="K667" i="4" s="1"/>
  <c r="J675" i="4"/>
  <c r="K675" i="4" s="1"/>
  <c r="J683" i="4"/>
  <c r="K683" i="4" s="1"/>
  <c r="J699" i="4"/>
  <c r="K699" i="4" s="1"/>
  <c r="J707" i="4"/>
  <c r="K707" i="4" s="1"/>
  <c r="J715" i="4"/>
  <c r="K715" i="4" s="1"/>
  <c r="J723" i="4"/>
  <c r="K723" i="4" s="1"/>
  <c r="J731" i="4"/>
  <c r="K731" i="4" s="1"/>
  <c r="J739" i="4"/>
  <c r="K739" i="4" s="1"/>
  <c r="J747" i="4"/>
  <c r="K747" i="4" s="1"/>
  <c r="J755" i="4"/>
  <c r="K755" i="4" s="1"/>
  <c r="J763" i="4"/>
  <c r="K763" i="4" s="1"/>
  <c r="J787" i="4"/>
  <c r="K787" i="4" s="1"/>
  <c r="J803" i="4"/>
  <c r="K803" i="4" s="1"/>
  <c r="J811" i="4"/>
  <c r="K811" i="4" s="1"/>
  <c r="J819" i="4"/>
  <c r="K819" i="4" s="1"/>
  <c r="J827" i="4"/>
  <c r="K827" i="4" s="1"/>
  <c r="J835" i="4"/>
  <c r="K835" i="4" s="1"/>
  <c r="J851" i="4"/>
  <c r="K851" i="4" s="1"/>
  <c r="J979" i="4"/>
  <c r="K979" i="4" s="1"/>
  <c r="J1139" i="4"/>
  <c r="K1139" i="4" s="1"/>
  <c r="G552" i="4"/>
  <c r="H552" i="4" s="1"/>
  <c r="G560" i="4"/>
  <c r="H560" i="4" s="1"/>
  <c r="G568" i="4"/>
  <c r="H568" i="4" s="1"/>
  <c r="G576" i="4"/>
  <c r="H576" i="4" s="1"/>
  <c r="G584" i="4"/>
  <c r="H584" i="4" s="1"/>
  <c r="G592" i="4"/>
  <c r="H592" i="4" s="1"/>
  <c r="G600" i="4"/>
  <c r="H600" i="4" s="1"/>
  <c r="G608" i="4"/>
  <c r="H608" i="4" s="1"/>
  <c r="G616" i="4"/>
  <c r="H616" i="4" s="1"/>
  <c r="G624" i="4"/>
  <c r="H624" i="4" s="1"/>
  <c r="G632" i="4"/>
  <c r="H632" i="4" s="1"/>
  <c r="G640" i="4"/>
  <c r="H640" i="4" s="1"/>
  <c r="G648" i="4"/>
  <c r="H648" i="4" s="1"/>
  <c r="G656" i="4"/>
  <c r="H656" i="4" s="1"/>
  <c r="G664" i="4"/>
  <c r="H664" i="4" s="1"/>
  <c r="G672" i="4"/>
  <c r="H672" i="4" s="1"/>
  <c r="G680" i="4"/>
  <c r="H680" i="4" s="1"/>
  <c r="G688" i="4"/>
  <c r="H688" i="4" s="1"/>
  <c r="G696" i="4"/>
  <c r="H696" i="4" s="1"/>
  <c r="G704" i="4"/>
  <c r="H704" i="4" s="1"/>
  <c r="G712" i="4"/>
  <c r="H712" i="4" s="1"/>
  <c r="G720" i="4"/>
  <c r="H720" i="4" s="1"/>
  <c r="G728" i="4"/>
  <c r="H728" i="4" s="1"/>
  <c r="G736" i="4"/>
  <c r="H736" i="4" s="1"/>
  <c r="G744" i="4"/>
  <c r="H744" i="4" s="1"/>
  <c r="G752" i="4"/>
  <c r="H752" i="4" s="1"/>
  <c r="G760" i="4"/>
  <c r="H760" i="4" s="1"/>
  <c r="G776" i="4"/>
  <c r="H776" i="4" s="1"/>
  <c r="G792" i="4"/>
  <c r="H792" i="4" s="1"/>
  <c r="G808" i="4"/>
  <c r="H808" i="4" s="1"/>
  <c r="G816" i="4"/>
  <c r="H816" i="4" s="1"/>
  <c r="G824" i="4"/>
  <c r="H824" i="4" s="1"/>
  <c r="G832" i="4"/>
  <c r="H832" i="4" s="1"/>
  <c r="G848" i="4"/>
  <c r="H848" i="4" s="1"/>
  <c r="G864" i="4"/>
  <c r="H864" i="4" s="1"/>
  <c r="G872" i="4"/>
  <c r="H872" i="4" s="1"/>
  <c r="G880" i="4"/>
  <c r="H880" i="4" s="1"/>
  <c r="G888" i="4"/>
  <c r="H888" i="4" s="1"/>
  <c r="G936" i="4"/>
  <c r="H936" i="4" s="1"/>
  <c r="G944" i="4"/>
  <c r="H944" i="4" s="1"/>
  <c r="G952" i="4"/>
  <c r="H952" i="4" s="1"/>
  <c r="G968" i="4"/>
  <c r="H968" i="4" s="1"/>
  <c r="G984" i="4"/>
  <c r="H984" i="4" s="1"/>
  <c r="G1008" i="4"/>
  <c r="H1008" i="4" s="1"/>
  <c r="G1024" i="4"/>
  <c r="H1024" i="4" s="1"/>
  <c r="G1032" i="4"/>
  <c r="H1032" i="4" s="1"/>
  <c r="G1048" i="4"/>
  <c r="H1048" i="4" s="1"/>
  <c r="G1064" i="4"/>
  <c r="H1064" i="4" s="1"/>
  <c r="G1072" i="4"/>
  <c r="H1072" i="4" s="1"/>
  <c r="G1088" i="4"/>
  <c r="H1088" i="4" s="1"/>
  <c r="G1096" i="4"/>
  <c r="H1096" i="4" s="1"/>
  <c r="G1104" i="4"/>
  <c r="H1104" i="4" s="1"/>
  <c r="G1112" i="4"/>
  <c r="H1112" i="4" s="1"/>
  <c r="G1128" i="4"/>
  <c r="H1128" i="4" s="1"/>
  <c r="G1136" i="4"/>
  <c r="H1136" i="4" s="1"/>
  <c r="G1144" i="4"/>
  <c r="H1144" i="4" s="1"/>
  <c r="G1152" i="4"/>
  <c r="H1152" i="4" s="1"/>
  <c r="G1160" i="4"/>
  <c r="H1160" i="4" s="1"/>
  <c r="G1168" i="4"/>
  <c r="H1168" i="4" s="1"/>
  <c r="G1176" i="4"/>
  <c r="H1176" i="4" s="1"/>
  <c r="G1184" i="4"/>
  <c r="H1184" i="4" s="1"/>
  <c r="G1192" i="4"/>
  <c r="H1192" i="4" s="1"/>
  <c r="G1200" i="4"/>
  <c r="H1200" i="4" s="1"/>
  <c r="G1208" i="4"/>
  <c r="H1208" i="4" s="1"/>
  <c r="G1224" i="4"/>
  <c r="H1224" i="4" s="1"/>
  <c r="J4" i="4"/>
  <c r="K4" i="4" s="1"/>
  <c r="J28" i="4"/>
  <c r="K28" i="4" s="1"/>
  <c r="J44" i="4"/>
  <c r="K44" i="4" s="1"/>
  <c r="J52" i="4"/>
  <c r="K52" i="4" s="1"/>
  <c r="J60" i="4"/>
  <c r="K60" i="4" s="1"/>
  <c r="J68" i="4"/>
  <c r="K68" i="4" s="1"/>
  <c r="J84" i="4"/>
  <c r="K84" i="4" s="1"/>
  <c r="J92" i="4"/>
  <c r="K92" i="4" s="1"/>
  <c r="J108" i="4"/>
  <c r="K108" i="4" s="1"/>
  <c r="J116" i="4"/>
  <c r="K116" i="4" s="1"/>
  <c r="J124" i="4"/>
  <c r="K124" i="4" s="1"/>
  <c r="J132" i="4"/>
  <c r="K132" i="4" s="1"/>
  <c r="J148" i="4"/>
  <c r="K148" i="4" s="1"/>
  <c r="J156" i="4"/>
  <c r="K156" i="4" s="1"/>
  <c r="J164" i="4"/>
  <c r="K164" i="4" s="1"/>
  <c r="J172" i="4"/>
  <c r="K172" i="4" s="1"/>
  <c r="J180" i="4"/>
  <c r="K180" i="4" s="1"/>
  <c r="J188" i="4"/>
  <c r="K188" i="4" s="1"/>
  <c r="J196" i="4"/>
  <c r="K196" i="4" s="1"/>
  <c r="J204" i="4"/>
  <c r="K204" i="4" s="1"/>
  <c r="J212" i="4"/>
  <c r="K212" i="4" s="1"/>
  <c r="J220" i="4"/>
  <c r="K220" i="4" s="1"/>
  <c r="J228" i="4"/>
  <c r="K228" i="4" s="1"/>
  <c r="J236" i="4"/>
  <c r="K236" i="4" s="1"/>
  <c r="J244" i="4"/>
  <c r="K244" i="4" s="1"/>
  <c r="J252" i="4"/>
  <c r="K252" i="4" s="1"/>
  <c r="J260" i="4"/>
  <c r="K260" i="4" s="1"/>
  <c r="J268" i="4"/>
  <c r="K268" i="4" s="1"/>
  <c r="J284" i="4"/>
  <c r="K284" i="4" s="1"/>
  <c r="J292" i="4"/>
  <c r="K292" i="4" s="1"/>
  <c r="J300" i="4"/>
  <c r="K300" i="4" s="1"/>
  <c r="J308" i="4"/>
  <c r="K308" i="4" s="1"/>
  <c r="J316" i="4"/>
  <c r="K316" i="4" s="1"/>
  <c r="J324" i="4"/>
  <c r="K324" i="4" s="1"/>
  <c r="J332" i="4"/>
  <c r="K332" i="4" s="1"/>
  <c r="J348" i="4"/>
  <c r="K348" i="4" s="1"/>
  <c r="J356" i="4"/>
  <c r="K356" i="4" s="1"/>
  <c r="J364" i="4"/>
  <c r="K364" i="4" s="1"/>
  <c r="J372" i="4"/>
  <c r="K372" i="4" s="1"/>
  <c r="J380" i="4"/>
  <c r="K380" i="4" s="1"/>
  <c r="J388" i="4"/>
  <c r="K388" i="4" s="1"/>
  <c r="J396" i="4"/>
  <c r="K396" i="4" s="1"/>
  <c r="J412" i="4"/>
  <c r="K412" i="4" s="1"/>
  <c r="J420" i="4"/>
  <c r="K420" i="4" s="1"/>
  <c r="J428" i="4"/>
  <c r="K428" i="4" s="1"/>
  <c r="J436" i="4"/>
  <c r="K436" i="4" s="1"/>
  <c r="J444" i="4"/>
  <c r="K444" i="4" s="1"/>
  <c r="J452" i="4"/>
  <c r="K452" i="4" s="1"/>
  <c r="J460" i="4"/>
  <c r="K460" i="4" s="1"/>
  <c r="J476" i="4"/>
  <c r="K476" i="4" s="1"/>
  <c r="J484" i="4"/>
  <c r="K484" i="4" s="1"/>
  <c r="J492" i="4"/>
  <c r="K492" i="4" s="1"/>
  <c r="J508" i="4"/>
  <c r="K508" i="4" s="1"/>
  <c r="J516" i="4"/>
  <c r="K516" i="4" s="1"/>
  <c r="J524" i="4"/>
  <c r="K524" i="4" s="1"/>
  <c r="J532" i="4"/>
  <c r="K532" i="4" s="1"/>
  <c r="J540" i="4"/>
  <c r="K540" i="4" s="1"/>
  <c r="J548" i="4"/>
  <c r="K548" i="4" s="1"/>
  <c r="J556" i="4"/>
  <c r="K556" i="4" s="1"/>
  <c r="J564" i="4"/>
  <c r="K564" i="4" s="1"/>
  <c r="J572" i="4"/>
  <c r="K572" i="4" s="1"/>
  <c r="J580" i="4"/>
  <c r="K580" i="4" s="1"/>
  <c r="J588" i="4"/>
  <c r="K588" i="4" s="1"/>
  <c r="J596" i="4"/>
  <c r="K596" i="4" s="1"/>
  <c r="J604" i="4"/>
  <c r="K604" i="4" s="1"/>
  <c r="J612" i="4"/>
  <c r="K612" i="4" s="1"/>
  <c r="J620" i="4"/>
  <c r="K620" i="4" s="1"/>
  <c r="J636" i="4"/>
  <c r="K636" i="4" s="1"/>
  <c r="J644" i="4"/>
  <c r="K644" i="4" s="1"/>
  <c r="J652" i="4"/>
  <c r="K652" i="4" s="1"/>
  <c r="J660" i="4"/>
  <c r="K660" i="4" s="1"/>
  <c r="J668" i="4"/>
  <c r="K668" i="4" s="1"/>
  <c r="J676" i="4"/>
  <c r="K676" i="4" s="1"/>
  <c r="J684" i="4"/>
  <c r="K684" i="4" s="1"/>
  <c r="J700" i="4"/>
  <c r="K700" i="4" s="1"/>
  <c r="J708" i="4"/>
  <c r="K708" i="4" s="1"/>
  <c r="J716" i="4"/>
  <c r="K716" i="4" s="1"/>
  <c r="J724" i="4"/>
  <c r="K724" i="4" s="1"/>
  <c r="J732" i="4"/>
  <c r="K732" i="4" s="1"/>
  <c r="J740" i="4"/>
  <c r="K740" i="4" s="1"/>
  <c r="J748" i="4"/>
  <c r="K748" i="4" s="1"/>
  <c r="J756" i="4"/>
  <c r="K756" i="4" s="1"/>
  <c r="J764" i="4"/>
  <c r="K764" i="4" s="1"/>
  <c r="J772" i="4"/>
  <c r="K772" i="4" s="1"/>
  <c r="J780" i="4"/>
  <c r="K780" i="4" s="1"/>
  <c r="J788" i="4"/>
  <c r="K788" i="4" s="1"/>
  <c r="J796" i="4"/>
  <c r="K796" i="4" s="1"/>
  <c r="J804" i="4"/>
  <c r="K804" i="4" s="1"/>
  <c r="J812" i="4"/>
  <c r="K812" i="4" s="1"/>
  <c r="J820" i="4"/>
  <c r="K820" i="4" s="1"/>
  <c r="J828" i="4"/>
  <c r="K828" i="4" s="1"/>
  <c r="J836" i="4"/>
  <c r="K836" i="4" s="1"/>
  <c r="J844" i="4"/>
  <c r="K844" i="4" s="1"/>
  <c r="J852" i="4"/>
  <c r="K852" i="4" s="1"/>
  <c r="J860" i="4"/>
  <c r="K860" i="4" s="1"/>
  <c r="J868" i="4"/>
  <c r="K868" i="4" s="1"/>
  <c r="J876" i="4"/>
  <c r="K876" i="4" s="1"/>
  <c r="J892" i="4"/>
  <c r="K892" i="4" s="1"/>
  <c r="J900" i="4"/>
  <c r="K900" i="4" s="1"/>
  <c r="J908" i="4"/>
  <c r="K908" i="4" s="1"/>
  <c r="J916" i="4"/>
  <c r="K916" i="4" s="1"/>
  <c r="J924" i="4"/>
  <c r="K924" i="4" s="1"/>
  <c r="J932" i="4"/>
  <c r="K932" i="4" s="1"/>
  <c r="J940" i="4"/>
  <c r="K940" i="4" s="1"/>
  <c r="J948" i="4"/>
  <c r="K948" i="4" s="1"/>
  <c r="J956" i="4"/>
  <c r="K956" i="4" s="1"/>
  <c r="J964" i="4"/>
  <c r="K964" i="4" s="1"/>
  <c r="J980" i="4"/>
  <c r="K980" i="4" s="1"/>
  <c r="J988" i="4"/>
  <c r="K988" i="4" s="1"/>
  <c r="J996" i="4"/>
  <c r="K996" i="4" s="1"/>
  <c r="J1004" i="4"/>
  <c r="K1004" i="4" s="1"/>
  <c r="J1012" i="4"/>
  <c r="K1012" i="4" s="1"/>
  <c r="J1020" i="4"/>
  <c r="K1020" i="4" s="1"/>
  <c r="J1028" i="4"/>
  <c r="K1028" i="4" s="1"/>
  <c r="J1036" i="4"/>
  <c r="K1036" i="4" s="1"/>
  <c r="J1044" i="4"/>
  <c r="K1044" i="4" s="1"/>
  <c r="J1052" i="4"/>
  <c r="K1052" i="4" s="1"/>
  <c r="J1060" i="4"/>
  <c r="K1060" i="4" s="1"/>
  <c r="J1068" i="4"/>
  <c r="K1068" i="4" s="1"/>
  <c r="J1076" i="4"/>
  <c r="K1076" i="4" s="1"/>
  <c r="J1084" i="4"/>
  <c r="K1084" i="4" s="1"/>
  <c r="J1092" i="4"/>
  <c r="K1092" i="4" s="1"/>
  <c r="J1100" i="4"/>
  <c r="K1100" i="4" s="1"/>
  <c r="J1108" i="4"/>
  <c r="K1108" i="4" s="1"/>
  <c r="J1116" i="4"/>
  <c r="K1116" i="4" s="1"/>
  <c r="J1124" i="4"/>
  <c r="K1124" i="4" s="1"/>
  <c r="J1132" i="4"/>
  <c r="K1132" i="4" s="1"/>
  <c r="J1140" i="4"/>
  <c r="K1140" i="4" s="1"/>
  <c r="J1148" i="4"/>
  <c r="K1148" i="4" s="1"/>
  <c r="J1156" i="4"/>
  <c r="K1156" i="4" s="1"/>
  <c r="J1164" i="4"/>
  <c r="K1164" i="4" s="1"/>
  <c r="J1172" i="4"/>
  <c r="K1172" i="4" s="1"/>
  <c r="J1180" i="4"/>
  <c r="K1180" i="4" s="1"/>
  <c r="J1188" i="4"/>
  <c r="K1188" i="4" s="1"/>
  <c r="J1196" i="4"/>
  <c r="K1196" i="4" s="1"/>
  <c r="J1204" i="4"/>
  <c r="K1204" i="4" s="1"/>
  <c r="J1212" i="4"/>
  <c r="K1212" i="4" s="1"/>
  <c r="J1220" i="4"/>
  <c r="K1220" i="4" s="1"/>
  <c r="J1228" i="4"/>
  <c r="K1228" i="4" s="1"/>
  <c r="J1236" i="4"/>
  <c r="K1236" i="4" s="1"/>
  <c r="J1244" i="4"/>
  <c r="K1244" i="4" s="1"/>
  <c r="J1252" i="4"/>
  <c r="K1252" i="4" s="1"/>
  <c r="J1260" i="4"/>
  <c r="K1260" i="4" s="1"/>
  <c r="J1268" i="4"/>
  <c r="K1268" i="4" s="1"/>
  <c r="J1276" i="4"/>
  <c r="K1276" i="4" s="1"/>
  <c r="J1284" i="4"/>
  <c r="K1284" i="4" s="1"/>
  <c r="J1292" i="4"/>
  <c r="K1292" i="4" s="1"/>
  <c r="J1300" i="4"/>
  <c r="K1300" i="4" s="1"/>
  <c r="J1308" i="4"/>
  <c r="K1308" i="4" s="1"/>
  <c r="J1316" i="4"/>
  <c r="K1316" i="4" s="1"/>
  <c r="J1324" i="4"/>
  <c r="K1324" i="4" s="1"/>
  <c r="J1332" i="4"/>
  <c r="K1332" i="4" s="1"/>
  <c r="J1340" i="4"/>
  <c r="K1340" i="4" s="1"/>
  <c r="J1348" i="4"/>
  <c r="K1348" i="4" s="1"/>
  <c r="J1356" i="4"/>
  <c r="K1356" i="4" s="1"/>
  <c r="J1364" i="4"/>
  <c r="K1364" i="4" s="1"/>
  <c r="J1372" i="4"/>
  <c r="K1372" i="4" s="1"/>
  <c r="J1380" i="4"/>
  <c r="K1380" i="4" s="1"/>
  <c r="J1388" i="4"/>
  <c r="K1388" i="4" s="1"/>
  <c r="J1396" i="4"/>
  <c r="K1396" i="4" s="1"/>
  <c r="G1065" i="4"/>
  <c r="H1065" i="4" s="1"/>
  <c r="G1073" i="4"/>
  <c r="H1073" i="4" s="1"/>
  <c r="G1081" i="4"/>
  <c r="H1081" i="4" s="1"/>
  <c r="G1089" i="4"/>
  <c r="H1089" i="4" s="1"/>
  <c r="G1097" i="4"/>
  <c r="H1097" i="4" s="1"/>
  <c r="G1105" i="4"/>
  <c r="H1105" i="4" s="1"/>
  <c r="G1113" i="4"/>
  <c r="H1113" i="4" s="1"/>
  <c r="G1121" i="4"/>
  <c r="H1121" i="4" s="1"/>
  <c r="G1129" i="4"/>
  <c r="H1129" i="4" s="1"/>
  <c r="G1137" i="4"/>
  <c r="H1137" i="4" s="1"/>
  <c r="G1145" i="4"/>
  <c r="H1145" i="4" s="1"/>
  <c r="G1153" i="4"/>
  <c r="H1153" i="4" s="1"/>
  <c r="G1161" i="4"/>
  <c r="H1161" i="4" s="1"/>
  <c r="G1169" i="4"/>
  <c r="H1169" i="4" s="1"/>
  <c r="G1177" i="4"/>
  <c r="H1177" i="4" s="1"/>
  <c r="G1185" i="4"/>
  <c r="H1185" i="4" s="1"/>
  <c r="G1193" i="4"/>
  <c r="H1193" i="4" s="1"/>
  <c r="G1201" i="4"/>
  <c r="H1201" i="4" s="1"/>
  <c r="G1209" i="4"/>
  <c r="H1209" i="4" s="1"/>
  <c r="G1217" i="4"/>
  <c r="H1217" i="4" s="1"/>
  <c r="G1225" i="4"/>
  <c r="H1225" i="4" s="1"/>
  <c r="J5" i="4"/>
  <c r="K5" i="4" s="1"/>
  <c r="J13" i="4"/>
  <c r="K13" i="4" s="1"/>
  <c r="J21" i="4"/>
  <c r="K21" i="4" s="1"/>
  <c r="J29" i="4"/>
  <c r="K29" i="4" s="1"/>
  <c r="J37" i="4"/>
  <c r="K37" i="4" s="1"/>
  <c r="J45" i="4"/>
  <c r="K45" i="4" s="1"/>
  <c r="J53" i="4"/>
  <c r="K53" i="4" s="1"/>
  <c r="J61" i="4"/>
  <c r="K61" i="4" s="1"/>
  <c r="J69" i="4"/>
  <c r="K69" i="4" s="1"/>
  <c r="J77" i="4"/>
  <c r="K77" i="4" s="1"/>
  <c r="J85" i="4"/>
  <c r="K85" i="4" s="1"/>
  <c r="J93" i="4"/>
  <c r="K93" i="4" s="1"/>
  <c r="J101" i="4"/>
  <c r="K101" i="4" s="1"/>
  <c r="J109" i="4"/>
  <c r="K109" i="4" s="1"/>
  <c r="J117" i="4"/>
  <c r="K117" i="4" s="1"/>
  <c r="J125" i="4"/>
  <c r="K125" i="4" s="1"/>
  <c r="J133" i="4"/>
  <c r="K133" i="4" s="1"/>
  <c r="J141" i="4"/>
  <c r="K141" i="4" s="1"/>
  <c r="J149" i="4"/>
  <c r="K149" i="4" s="1"/>
  <c r="J157" i="4"/>
  <c r="K157" i="4" s="1"/>
  <c r="J165" i="4"/>
  <c r="K165" i="4" s="1"/>
  <c r="J181" i="4"/>
  <c r="K181" i="4" s="1"/>
  <c r="J189" i="4"/>
  <c r="K189" i="4" s="1"/>
  <c r="J197" i="4"/>
  <c r="K197" i="4" s="1"/>
  <c r="J205" i="4"/>
  <c r="K205" i="4" s="1"/>
  <c r="J221" i="4"/>
  <c r="K221" i="4" s="1"/>
  <c r="J229" i="4"/>
  <c r="K229" i="4" s="1"/>
  <c r="J245" i="4"/>
  <c r="K245" i="4" s="1"/>
  <c r="J253" i="4"/>
  <c r="K253" i="4" s="1"/>
  <c r="J261" i="4"/>
  <c r="K261" i="4" s="1"/>
  <c r="J269" i="4"/>
  <c r="K269" i="4" s="1"/>
  <c r="J285" i="4"/>
  <c r="K285" i="4" s="1"/>
  <c r="J293" i="4"/>
  <c r="K293" i="4" s="1"/>
  <c r="J309" i="4"/>
  <c r="K309" i="4" s="1"/>
  <c r="J317" i="4"/>
  <c r="K317" i="4" s="1"/>
  <c r="J325" i="4"/>
  <c r="K325" i="4" s="1"/>
  <c r="J349" i="4"/>
  <c r="K349" i="4" s="1"/>
  <c r="J357" i="4"/>
  <c r="K357" i="4" s="1"/>
  <c r="J373" i="4"/>
  <c r="K373" i="4" s="1"/>
  <c r="J381" i="4"/>
  <c r="K381" i="4" s="1"/>
  <c r="J389" i="4"/>
  <c r="K389" i="4" s="1"/>
  <c r="J413" i="4"/>
  <c r="K413" i="4" s="1"/>
  <c r="J421" i="4"/>
  <c r="K421" i="4" s="1"/>
  <c r="J437" i="4"/>
  <c r="K437" i="4" s="1"/>
  <c r="J445" i="4"/>
  <c r="K445" i="4" s="1"/>
  <c r="J453" i="4"/>
  <c r="K453" i="4" s="1"/>
  <c r="J477" i="4"/>
  <c r="K477" i="4" s="1"/>
  <c r="J485" i="4"/>
  <c r="K485" i="4" s="1"/>
  <c r="J493" i="4"/>
  <c r="K493" i="4" s="1"/>
  <c r="J501" i="4"/>
  <c r="K501" i="4" s="1"/>
  <c r="J509" i="4"/>
  <c r="K509" i="4" s="1"/>
  <c r="J517" i="4"/>
  <c r="K517" i="4" s="1"/>
  <c r="J525" i="4"/>
  <c r="K525" i="4" s="1"/>
  <c r="J533" i="4"/>
  <c r="K533" i="4" s="1"/>
  <c r="J541" i="4"/>
  <c r="K541" i="4" s="1"/>
  <c r="J549" i="4"/>
  <c r="K549" i="4" s="1"/>
  <c r="J557" i="4"/>
  <c r="K557" i="4" s="1"/>
  <c r="J565" i="4"/>
  <c r="K565" i="4" s="1"/>
  <c r="J581" i="4"/>
  <c r="K581" i="4" s="1"/>
  <c r="J589" i="4"/>
  <c r="K589" i="4" s="1"/>
  <c r="J597" i="4"/>
  <c r="K597" i="4" s="1"/>
  <c r="J605" i="4"/>
  <c r="K605" i="4" s="1"/>
  <c r="J613" i="4"/>
  <c r="K613" i="4" s="1"/>
  <c r="J621" i="4"/>
  <c r="K621" i="4" s="1"/>
  <c r="J629" i="4"/>
  <c r="K629" i="4" s="1"/>
  <c r="J637" i="4"/>
  <c r="K637" i="4" s="1"/>
  <c r="J645" i="4"/>
  <c r="K645" i="4" s="1"/>
  <c r="J653" i="4"/>
  <c r="K653" i="4" s="1"/>
  <c r="J661" i="4"/>
  <c r="K661" i="4" s="1"/>
  <c r="J669" i="4"/>
  <c r="K669" i="4" s="1"/>
  <c r="J677" i="4"/>
  <c r="K677" i="4" s="1"/>
  <c r="J685" i="4"/>
  <c r="K685" i="4" s="1"/>
  <c r="J693" i="4"/>
  <c r="K693" i="4" s="1"/>
  <c r="J709" i="4"/>
  <c r="K709" i="4" s="1"/>
  <c r="J717" i="4"/>
  <c r="K717" i="4" s="1"/>
  <c r="J725" i="4"/>
  <c r="K725" i="4" s="1"/>
  <c r="J733" i="4"/>
  <c r="K733" i="4" s="1"/>
  <c r="J741" i="4"/>
  <c r="K741" i="4" s="1"/>
  <c r="J749" i="4"/>
  <c r="K749" i="4" s="1"/>
  <c r="J757" i="4"/>
  <c r="K757" i="4" s="1"/>
  <c r="J765" i="4"/>
  <c r="K765" i="4" s="1"/>
  <c r="J773" i="4"/>
  <c r="K773" i="4" s="1"/>
  <c r="J781" i="4"/>
  <c r="K781" i="4" s="1"/>
  <c r="J789" i="4"/>
  <c r="K789" i="4" s="1"/>
  <c r="J797" i="4"/>
  <c r="K797" i="4" s="1"/>
  <c r="J805" i="4"/>
  <c r="K805" i="4" s="1"/>
  <c r="J813" i="4"/>
  <c r="K813" i="4" s="1"/>
  <c r="J821" i="4"/>
  <c r="K821" i="4" s="1"/>
  <c r="J829" i="4"/>
  <c r="K829" i="4" s="1"/>
  <c r="J837" i="4"/>
  <c r="K837" i="4" s="1"/>
  <c r="J845" i="4"/>
  <c r="K845" i="4" s="1"/>
  <c r="J853" i="4"/>
  <c r="K853" i="4" s="1"/>
  <c r="J861" i="4"/>
  <c r="K861" i="4" s="1"/>
  <c r="J869" i="4"/>
  <c r="K869" i="4" s="1"/>
  <c r="J877" i="4"/>
  <c r="K877" i="4" s="1"/>
  <c r="J885" i="4"/>
  <c r="K885" i="4" s="1"/>
  <c r="J901" i="4"/>
  <c r="K901" i="4" s="1"/>
  <c r="J909" i="4"/>
  <c r="K909" i="4" s="1"/>
  <c r="J925" i="4"/>
  <c r="K925" i="4" s="1"/>
  <c r="J933" i="4"/>
  <c r="K933" i="4" s="1"/>
  <c r="J941" i="4"/>
  <c r="K941" i="4" s="1"/>
  <c r="J949" i="4"/>
  <c r="K949" i="4" s="1"/>
  <c r="J957" i="4"/>
  <c r="K957" i="4" s="1"/>
  <c r="J965" i="4"/>
  <c r="K965" i="4" s="1"/>
  <c r="J973" i="4"/>
  <c r="K973" i="4" s="1"/>
  <c r="J981" i="4"/>
  <c r="K981" i="4" s="1"/>
  <c r="J989" i="4"/>
  <c r="K989" i="4" s="1"/>
  <c r="J997" i="4"/>
  <c r="K997" i="4" s="1"/>
  <c r="J1005" i="4"/>
  <c r="K1005" i="4" s="1"/>
  <c r="J1013" i="4"/>
  <c r="K1013" i="4" s="1"/>
  <c r="J1021" i="4"/>
  <c r="K1021" i="4" s="1"/>
  <c r="J1029" i="4"/>
  <c r="K1029" i="4" s="1"/>
  <c r="J1037" i="4"/>
  <c r="K1037" i="4" s="1"/>
  <c r="J1045" i="4"/>
  <c r="K1045" i="4" s="1"/>
  <c r="J1053" i="4"/>
  <c r="K1053" i="4" s="1"/>
  <c r="J1061" i="4"/>
  <c r="K1061" i="4" s="1"/>
  <c r="J1069" i="4"/>
  <c r="K1069" i="4" s="1"/>
  <c r="J1077" i="4"/>
  <c r="K1077" i="4" s="1"/>
  <c r="J1085" i="4"/>
  <c r="K1085" i="4" s="1"/>
  <c r="J1093" i="4"/>
  <c r="K1093" i="4" s="1"/>
  <c r="J1101" i="4"/>
  <c r="K1101" i="4" s="1"/>
  <c r="J1109" i="4"/>
  <c r="K1109" i="4" s="1"/>
  <c r="J1117" i="4"/>
  <c r="K1117" i="4" s="1"/>
  <c r="J1125" i="4"/>
  <c r="K1125" i="4" s="1"/>
  <c r="J1133" i="4"/>
  <c r="K1133" i="4" s="1"/>
  <c r="J1141" i="4"/>
  <c r="K1141" i="4" s="1"/>
  <c r="J1149" i="4"/>
  <c r="K1149" i="4" s="1"/>
  <c r="J1157" i="4"/>
  <c r="K1157" i="4" s="1"/>
  <c r="J1165" i="4"/>
  <c r="K1165" i="4" s="1"/>
  <c r="J1173" i="4"/>
  <c r="K1173" i="4" s="1"/>
  <c r="J1181" i="4"/>
  <c r="K1181" i="4" s="1"/>
  <c r="J1189" i="4"/>
  <c r="K1189" i="4" s="1"/>
  <c r="J1197" i="4"/>
  <c r="K1197" i="4" s="1"/>
  <c r="J1205" i="4"/>
  <c r="K1205" i="4" s="1"/>
  <c r="J1213" i="4"/>
  <c r="K1213" i="4" s="1"/>
  <c r="J1221" i="4"/>
  <c r="K1221" i="4" s="1"/>
  <c r="J1229" i="4"/>
  <c r="K1229" i="4" s="1"/>
  <c r="J1245" i="4"/>
  <c r="K1245" i="4" s="1"/>
  <c r="J1253" i="4"/>
  <c r="K1253" i="4" s="1"/>
  <c r="J1261" i="4"/>
  <c r="K1261" i="4" s="1"/>
  <c r="J1269" i="4"/>
  <c r="K1269" i="4" s="1"/>
  <c r="J1277" i="4"/>
  <c r="K1277" i="4" s="1"/>
  <c r="J1285" i="4"/>
  <c r="K1285" i="4" s="1"/>
  <c r="J1293" i="4"/>
  <c r="K1293" i="4" s="1"/>
  <c r="J1309" i="4"/>
  <c r="K1309" i="4" s="1"/>
  <c r="J1317" i="4"/>
  <c r="K1317" i="4" s="1"/>
  <c r="J1325" i="4"/>
  <c r="K1325" i="4" s="1"/>
  <c r="J1333" i="4"/>
  <c r="K1333" i="4" s="1"/>
  <c r="J1341" i="4"/>
  <c r="K1341" i="4" s="1"/>
  <c r="J1349" i="4"/>
  <c r="K1349" i="4" s="1"/>
  <c r="J1357" i="4"/>
  <c r="K1357" i="4" s="1"/>
  <c r="J1365" i="4"/>
  <c r="K1365" i="4" s="1"/>
  <c r="J1373" i="4"/>
  <c r="K1373" i="4" s="1"/>
  <c r="J1381" i="4"/>
  <c r="K1381" i="4" s="1"/>
  <c r="J1389" i="4"/>
  <c r="K1389" i="4" s="1"/>
  <c r="J137" i="4"/>
  <c r="K137" i="4" s="1"/>
  <c r="J145" i="4"/>
  <c r="K145" i="4" s="1"/>
  <c r="J153" i="4"/>
  <c r="K153" i="4" s="1"/>
  <c r="J161" i="4"/>
  <c r="K161" i="4" s="1"/>
  <c r="J169" i="4"/>
  <c r="K169" i="4" s="1"/>
  <c r="J177" i="4"/>
  <c r="K177" i="4" s="1"/>
  <c r="J185" i="4"/>
  <c r="K185" i="4" s="1"/>
  <c r="J193" i="4"/>
  <c r="K193" i="4" s="1"/>
  <c r="J201" i="4"/>
  <c r="K201" i="4" s="1"/>
  <c r="J209" i="4"/>
  <c r="K209" i="4" s="1"/>
  <c r="J217" i="4"/>
  <c r="K217" i="4" s="1"/>
  <c r="J225" i="4"/>
  <c r="K225" i="4" s="1"/>
  <c r="J233" i="4"/>
  <c r="K233" i="4" s="1"/>
  <c r="J241" i="4"/>
  <c r="K241" i="4" s="1"/>
  <c r="J249" i="4"/>
  <c r="K249" i="4" s="1"/>
  <c r="J257" i="4"/>
  <c r="K257" i="4" s="1"/>
  <c r="J265" i="4"/>
  <c r="K265" i="4" s="1"/>
  <c r="J273" i="4"/>
  <c r="K273" i="4" s="1"/>
  <c r="J281" i="4"/>
  <c r="K281" i="4" s="1"/>
  <c r="J289" i="4"/>
  <c r="K289" i="4" s="1"/>
  <c r="J297" i="4"/>
  <c r="K297" i="4" s="1"/>
  <c r="J305" i="4"/>
  <c r="K305" i="4" s="1"/>
  <c r="J313" i="4"/>
  <c r="K313" i="4" s="1"/>
  <c r="J321" i="4"/>
  <c r="K321" i="4" s="1"/>
  <c r="J329" i="4"/>
  <c r="K329" i="4" s="1"/>
  <c r="J337" i="4"/>
  <c r="K337" i="4" s="1"/>
  <c r="J345" i="4"/>
  <c r="K345" i="4" s="1"/>
  <c r="J353" i="4"/>
  <c r="K353" i="4" s="1"/>
  <c r="J361" i="4"/>
  <c r="K361" i="4" s="1"/>
  <c r="J369" i="4"/>
  <c r="K369" i="4" s="1"/>
  <c r="J377" i="4"/>
  <c r="K377" i="4" s="1"/>
  <c r="J385" i="4"/>
  <c r="K385" i="4" s="1"/>
  <c r="J393" i="4"/>
  <c r="K393" i="4" s="1"/>
  <c r="J401" i="4"/>
  <c r="K401" i="4" s="1"/>
  <c r="J409" i="4"/>
  <c r="K409" i="4" s="1"/>
  <c r="J417" i="4"/>
  <c r="K417" i="4" s="1"/>
  <c r="J425" i="4"/>
  <c r="K425" i="4" s="1"/>
  <c r="J433" i="4"/>
  <c r="K433" i="4" s="1"/>
  <c r="J441" i="4"/>
  <c r="K441" i="4" s="1"/>
  <c r="J449" i="4"/>
  <c r="K449" i="4" s="1"/>
  <c r="J457" i="4"/>
  <c r="K457" i="4" s="1"/>
  <c r="J465" i="4"/>
  <c r="K465" i="4" s="1"/>
  <c r="J473" i="4"/>
  <c r="K473" i="4" s="1"/>
  <c r="J481" i="4"/>
  <c r="K481" i="4" s="1"/>
  <c r="J489" i="4"/>
  <c r="K489" i="4" s="1"/>
  <c r="J497" i="4"/>
  <c r="K497" i="4" s="1"/>
  <c r="J505" i="4"/>
  <c r="K505" i="4" s="1"/>
  <c r="J513" i="4"/>
  <c r="K513" i="4" s="1"/>
  <c r="J521" i="4"/>
  <c r="K521" i="4" s="1"/>
  <c r="J553" i="4"/>
  <c r="K553" i="4" s="1"/>
  <c r="J561" i="4"/>
  <c r="K561" i="4" s="1"/>
  <c r="J569" i="4"/>
  <c r="K569" i="4" s="1"/>
  <c r="J577" i="4"/>
  <c r="K577" i="4" s="1"/>
  <c r="J585" i="4"/>
  <c r="K585" i="4" s="1"/>
  <c r="J593" i="4"/>
  <c r="K593" i="4" s="1"/>
  <c r="J601" i="4"/>
  <c r="K601" i="4" s="1"/>
  <c r="J609" i="4"/>
  <c r="K609" i="4" s="1"/>
  <c r="J625" i="4"/>
  <c r="K625" i="4" s="1"/>
  <c r="J633" i="4"/>
  <c r="K633" i="4" s="1"/>
  <c r="J641" i="4"/>
  <c r="K641" i="4" s="1"/>
  <c r="J649" i="4"/>
  <c r="K649" i="4" s="1"/>
  <c r="J657" i="4"/>
  <c r="K657" i="4" s="1"/>
  <c r="J665" i="4"/>
  <c r="K665" i="4" s="1"/>
  <c r="J673" i="4"/>
  <c r="K673" i="4" s="1"/>
  <c r="J681" i="4"/>
  <c r="K681" i="4" s="1"/>
  <c r="J689" i="4"/>
  <c r="K689" i="4" s="1"/>
  <c r="J697" i="4"/>
  <c r="K697" i="4" s="1"/>
  <c r="J705" i="4"/>
  <c r="K705" i="4" s="1"/>
  <c r="J713" i="4"/>
  <c r="K713" i="4" s="1"/>
  <c r="J721" i="4"/>
  <c r="K721" i="4" s="1"/>
  <c r="J729" i="4"/>
  <c r="K729" i="4" s="1"/>
  <c r="J737" i="4"/>
  <c r="K737" i="4" s="1"/>
  <c r="J745" i="4"/>
  <c r="K745" i="4" s="1"/>
  <c r="J753" i="4"/>
  <c r="K753" i="4" s="1"/>
  <c r="J761" i="4"/>
  <c r="K761" i="4" s="1"/>
  <c r="J769" i="4"/>
  <c r="K769" i="4" s="1"/>
  <c r="J777" i="4"/>
  <c r="K777" i="4" s="1"/>
  <c r="J785" i="4"/>
  <c r="K785" i="4" s="1"/>
  <c r="J793" i="4"/>
  <c r="K793" i="4" s="1"/>
  <c r="J801" i="4"/>
  <c r="K801" i="4" s="1"/>
  <c r="J809" i="4"/>
  <c r="K809" i="4" s="1"/>
  <c r="J817" i="4"/>
  <c r="K817" i="4" s="1"/>
  <c r="J825" i="4"/>
  <c r="K825" i="4" s="1"/>
  <c r="J833" i="4"/>
  <c r="K833" i="4" s="1"/>
  <c r="J841" i="4"/>
  <c r="K841" i="4" s="1"/>
  <c r="J849" i="4"/>
  <c r="K849" i="4" s="1"/>
  <c r="J857" i="4"/>
  <c r="K857" i="4" s="1"/>
  <c r="J865" i="4"/>
  <c r="K865" i="4" s="1"/>
  <c r="J873" i="4"/>
  <c r="K873" i="4" s="1"/>
  <c r="J881" i="4"/>
  <c r="K881" i="4" s="1"/>
  <c r="J889" i="4"/>
  <c r="K889" i="4" s="1"/>
  <c r="J897" i="4"/>
  <c r="K897" i="4" s="1"/>
  <c r="J905" i="4"/>
  <c r="K905" i="4" s="1"/>
  <c r="J913" i="4"/>
  <c r="K913" i="4" s="1"/>
  <c r="J921" i="4"/>
  <c r="K921" i="4" s="1"/>
  <c r="J929" i="4"/>
  <c r="K929" i="4" s="1"/>
  <c r="J937" i="4"/>
  <c r="K937" i="4" s="1"/>
  <c r="J945" i="4"/>
  <c r="K945" i="4" s="1"/>
  <c r="J953" i="4"/>
  <c r="K953" i="4" s="1"/>
  <c r="J961" i="4"/>
  <c r="K961" i="4" s="1"/>
  <c r="J969" i="4"/>
  <c r="K969" i="4" s="1"/>
  <c r="J977" i="4"/>
  <c r="K977" i="4" s="1"/>
  <c r="J985" i="4"/>
  <c r="K985" i="4" s="1"/>
  <c r="J993" i="4"/>
  <c r="K993" i="4" s="1"/>
  <c r="J1001" i="4"/>
  <c r="K1001" i="4" s="1"/>
  <c r="J1009" i="4"/>
  <c r="K1009" i="4" s="1"/>
  <c r="J1017" i="4"/>
  <c r="K1017" i="4" s="1"/>
  <c r="J1025" i="4"/>
  <c r="K1025" i="4" s="1"/>
  <c r="J1033" i="4"/>
  <c r="K1033" i="4" s="1"/>
  <c r="J1041" i="4"/>
  <c r="K1041" i="4" s="1"/>
  <c r="J1049" i="4"/>
  <c r="K1049" i="4" s="1"/>
  <c r="J1057" i="4"/>
  <c r="K1057" i="4" s="1"/>
  <c r="J1065" i="4"/>
  <c r="K1065" i="4" s="1"/>
  <c r="J1073" i="4"/>
  <c r="K1073" i="4" s="1"/>
  <c r="J1081" i="4"/>
  <c r="K1081" i="4" s="1"/>
  <c r="J1089" i="4"/>
  <c r="K1089" i="4" s="1"/>
  <c r="J1097" i="4"/>
  <c r="K1097" i="4" s="1"/>
  <c r="J1105" i="4"/>
  <c r="K1105" i="4" s="1"/>
  <c r="J1113" i="4"/>
  <c r="K1113" i="4" s="1"/>
  <c r="J1121" i="4"/>
  <c r="K1121" i="4" s="1"/>
  <c r="J1129" i="4"/>
  <c r="K1129" i="4" s="1"/>
  <c r="J1137" i="4"/>
  <c r="K1137" i="4" s="1"/>
  <c r="J1145" i="4"/>
  <c r="K1145" i="4" s="1"/>
  <c r="J1153" i="4"/>
  <c r="K1153" i="4" s="1"/>
  <c r="J1161" i="4"/>
  <c r="K1161" i="4" s="1"/>
  <c r="J1169" i="4"/>
  <c r="K1169" i="4" s="1"/>
  <c r="J1177" i="4"/>
  <c r="K1177" i="4" s="1"/>
  <c r="J1185" i="4"/>
  <c r="K1185" i="4" s="1"/>
  <c r="J1193" i="4"/>
  <c r="K1193" i="4" s="1"/>
  <c r="J1201" i="4"/>
  <c r="K1201" i="4" s="1"/>
  <c r="J1209" i="4"/>
  <c r="K1209" i="4" s="1"/>
  <c r="J1217" i="4"/>
  <c r="K1217" i="4" s="1"/>
  <c r="J1225" i="4"/>
  <c r="K1225" i="4" s="1"/>
  <c r="J1233" i="4"/>
  <c r="K1233" i="4" s="1"/>
  <c r="J1241" i="4"/>
  <c r="K1241" i="4" s="1"/>
  <c r="J1249" i="4"/>
  <c r="K1249" i="4" s="1"/>
  <c r="J1257" i="4"/>
  <c r="K1257" i="4" s="1"/>
  <c r="J1265" i="4"/>
  <c r="K1265" i="4" s="1"/>
  <c r="J1273" i="4"/>
  <c r="K1273" i="4" s="1"/>
  <c r="J1281" i="4"/>
  <c r="K1281" i="4" s="1"/>
  <c r="J1289" i="4"/>
  <c r="K1289" i="4" s="1"/>
  <c r="J1297" i="4"/>
  <c r="K1297" i="4" s="1"/>
  <c r="J1305" i="4"/>
  <c r="K1305" i="4" s="1"/>
  <c r="J1313" i="4"/>
  <c r="K1313" i="4" s="1"/>
  <c r="J1321" i="4"/>
  <c r="K1321" i="4" s="1"/>
  <c r="J1329" i="4"/>
  <c r="K1329" i="4" s="1"/>
  <c r="J1337" i="4"/>
  <c r="K1337" i="4" s="1"/>
  <c r="J1345" i="4"/>
  <c r="K1345" i="4" s="1"/>
  <c r="J1353" i="4"/>
  <c r="K1353" i="4" s="1"/>
  <c r="J1361" i="4"/>
  <c r="K1361" i="4" s="1"/>
  <c r="J1369" i="4"/>
  <c r="K1369" i="4" s="1"/>
  <c r="J1377" i="4"/>
  <c r="K1377" i="4" s="1"/>
  <c r="J1385" i="4"/>
  <c r="K1385" i="4" s="1"/>
  <c r="J1393" i="4"/>
  <c r="K1393" i="4" s="1"/>
  <c r="J1401" i="4"/>
  <c r="K1401" i="4" s="1"/>
  <c r="J98" i="4"/>
  <c r="K98" i="4" s="1"/>
  <c r="J106" i="4"/>
  <c r="K106" i="4" s="1"/>
  <c r="J122" i="4"/>
  <c r="K122" i="4" s="1"/>
  <c r="J130" i="4"/>
  <c r="K130" i="4" s="1"/>
  <c r="J146" i="4"/>
  <c r="K146" i="4" s="1"/>
  <c r="J162" i="4"/>
  <c r="K162" i="4" s="1"/>
  <c r="J170" i="4"/>
  <c r="K170" i="4" s="1"/>
  <c r="J186" i="4"/>
  <c r="K186" i="4" s="1"/>
  <c r="J194" i="4"/>
  <c r="K194" i="4" s="1"/>
  <c r="J210" i="4"/>
  <c r="K210" i="4" s="1"/>
  <c r="J226" i="4"/>
  <c r="K226" i="4" s="1"/>
  <c r="J234" i="4"/>
  <c r="K234" i="4" s="1"/>
  <c r="J250" i="4"/>
  <c r="K250" i="4" s="1"/>
  <c r="J258" i="4"/>
  <c r="K258" i="4" s="1"/>
  <c r="J274" i="4"/>
  <c r="K274" i="4" s="1"/>
  <c r="J290" i="4"/>
  <c r="K290" i="4" s="1"/>
  <c r="J298" i="4"/>
  <c r="K298" i="4" s="1"/>
  <c r="J314" i="4"/>
  <c r="K314" i="4" s="1"/>
  <c r="J322" i="4"/>
  <c r="K322" i="4" s="1"/>
  <c r="J330" i="4"/>
  <c r="K330" i="4" s="1"/>
  <c r="J338" i="4"/>
  <c r="K338" i="4" s="1"/>
  <c r="J354" i="4"/>
  <c r="K354" i="4" s="1"/>
  <c r="J362" i="4"/>
  <c r="K362" i="4" s="1"/>
  <c r="J370" i="4"/>
  <c r="K370" i="4" s="1"/>
  <c r="J378" i="4"/>
  <c r="K378" i="4" s="1"/>
  <c r="J386" i="4"/>
  <c r="K386" i="4" s="1"/>
  <c r="J394" i="4"/>
  <c r="K394" i="4" s="1"/>
  <c r="J402" i="4"/>
  <c r="K402" i="4" s="1"/>
  <c r="J410" i="4"/>
  <c r="K410" i="4" s="1"/>
  <c r="J418" i="4"/>
  <c r="K418" i="4" s="1"/>
  <c r="J426" i="4"/>
  <c r="K426" i="4" s="1"/>
  <c r="J434" i="4"/>
  <c r="K434" i="4" s="1"/>
  <c r="J442" i="4"/>
  <c r="K442" i="4" s="1"/>
  <c r="J450" i="4"/>
  <c r="K450" i="4" s="1"/>
  <c r="J458" i="4"/>
  <c r="K458" i="4" s="1"/>
  <c r="J466" i="4"/>
  <c r="K466" i="4" s="1"/>
  <c r="J474" i="4"/>
  <c r="K474" i="4" s="1"/>
  <c r="J482" i="4"/>
  <c r="K482" i="4" s="1"/>
  <c r="J490" i="4"/>
  <c r="K490" i="4" s="1"/>
  <c r="J498" i="4"/>
  <c r="K498" i="4" s="1"/>
  <c r="J506" i="4"/>
  <c r="K506" i="4" s="1"/>
  <c r="J514" i="4"/>
  <c r="K514" i="4" s="1"/>
  <c r="J522" i="4"/>
  <c r="K522" i="4" s="1"/>
  <c r="J530" i="4"/>
  <c r="K530" i="4" s="1"/>
  <c r="J538" i="4"/>
  <c r="K538" i="4" s="1"/>
  <c r="J546" i="4"/>
  <c r="K546" i="4" s="1"/>
  <c r="J554" i="4"/>
  <c r="K554" i="4" s="1"/>
  <c r="J562" i="4"/>
  <c r="K562" i="4" s="1"/>
  <c r="J570" i="4"/>
  <c r="K570" i="4" s="1"/>
  <c r="J578" i="4"/>
  <c r="K578" i="4" s="1"/>
  <c r="J586" i="4"/>
  <c r="K586" i="4" s="1"/>
  <c r="J594" i="4"/>
  <c r="K594" i="4" s="1"/>
  <c r="J602" i="4"/>
  <c r="K602" i="4" s="1"/>
  <c r="J610" i="4"/>
  <c r="K610" i="4" s="1"/>
  <c r="J618" i="4"/>
  <c r="K618" i="4" s="1"/>
  <c r="J626" i="4"/>
  <c r="K626" i="4" s="1"/>
  <c r="J634" i="4"/>
  <c r="K634" i="4" s="1"/>
  <c r="J642" i="4"/>
  <c r="K642" i="4" s="1"/>
  <c r="J650" i="4"/>
  <c r="K650" i="4" s="1"/>
  <c r="J658" i="4"/>
  <c r="K658" i="4" s="1"/>
  <c r="J666" i="4"/>
  <c r="K666" i="4" s="1"/>
  <c r="J674" i="4"/>
  <c r="K674" i="4" s="1"/>
  <c r="J682" i="4"/>
  <c r="K682" i="4" s="1"/>
  <c r="J690" i="4"/>
  <c r="K690" i="4" s="1"/>
  <c r="J698" i="4"/>
  <c r="K698" i="4" s="1"/>
  <c r="J706" i="4"/>
  <c r="K706" i="4" s="1"/>
  <c r="J714" i="4"/>
  <c r="K714" i="4" s="1"/>
  <c r="J722" i="4"/>
  <c r="K722" i="4" s="1"/>
  <c r="J730" i="4"/>
  <c r="K730" i="4" s="1"/>
  <c r="J738" i="4"/>
  <c r="K738" i="4" s="1"/>
  <c r="J746" i="4"/>
  <c r="K746" i="4" s="1"/>
  <c r="J754" i="4"/>
  <c r="K754" i="4" s="1"/>
  <c r="J762" i="4"/>
  <c r="K762" i="4" s="1"/>
  <c r="J770" i="4"/>
  <c r="K770" i="4" s="1"/>
  <c r="J786" i="4"/>
  <c r="K786" i="4" s="1"/>
  <c r="J794" i="4"/>
  <c r="K794" i="4" s="1"/>
  <c r="J802" i="4"/>
  <c r="K802" i="4" s="1"/>
  <c r="J810" i="4"/>
  <c r="K810" i="4" s="1"/>
  <c r="J818" i="4"/>
  <c r="K818" i="4" s="1"/>
  <c r="J826" i="4"/>
  <c r="K826" i="4" s="1"/>
  <c r="J834" i="4"/>
  <c r="K834" i="4" s="1"/>
  <c r="J842" i="4"/>
  <c r="K842" i="4" s="1"/>
  <c r="J850" i="4"/>
  <c r="K850" i="4" s="1"/>
  <c r="J858" i="4"/>
  <c r="K858" i="4" s="1"/>
  <c r="J866" i="4"/>
  <c r="K866" i="4" s="1"/>
  <c r="J874" i="4"/>
  <c r="K874" i="4" s="1"/>
  <c r="J882" i="4"/>
  <c r="K882" i="4" s="1"/>
  <c r="J890" i="4"/>
  <c r="K890" i="4" s="1"/>
  <c r="J898" i="4"/>
  <c r="K898" i="4" s="1"/>
  <c r="J906" i="4"/>
  <c r="K906" i="4" s="1"/>
  <c r="J914" i="4"/>
  <c r="K914" i="4" s="1"/>
  <c r="J922" i="4"/>
  <c r="K922" i="4" s="1"/>
  <c r="J930" i="4"/>
  <c r="K930" i="4" s="1"/>
  <c r="J938" i="4"/>
  <c r="K938" i="4" s="1"/>
  <c r="J946" i="4"/>
  <c r="K946" i="4" s="1"/>
  <c r="J954" i="4"/>
  <c r="K954" i="4" s="1"/>
  <c r="J962" i="4"/>
  <c r="K962" i="4" s="1"/>
  <c r="J970" i="4"/>
  <c r="K970" i="4" s="1"/>
  <c r="J978" i="4"/>
  <c r="K978" i="4" s="1"/>
  <c r="J986" i="4"/>
  <c r="K986" i="4" s="1"/>
  <c r="J994" i="4"/>
  <c r="K994" i="4" s="1"/>
  <c r="J1002" i="4"/>
  <c r="K1002" i="4" s="1"/>
  <c r="J1010" i="4"/>
  <c r="K1010" i="4" s="1"/>
  <c r="J1018" i="4"/>
  <c r="K1018" i="4" s="1"/>
  <c r="J1026" i="4"/>
  <c r="K1026" i="4" s="1"/>
  <c r="J1034" i="4"/>
  <c r="K1034" i="4" s="1"/>
  <c r="J1042" i="4"/>
  <c r="K1042" i="4" s="1"/>
  <c r="J1050" i="4"/>
  <c r="K1050" i="4" s="1"/>
  <c r="J1058" i="4"/>
  <c r="K1058" i="4" s="1"/>
  <c r="J1066" i="4"/>
  <c r="K1066" i="4" s="1"/>
  <c r="J1074" i="4"/>
  <c r="K1074" i="4" s="1"/>
  <c r="J1082" i="4"/>
  <c r="K1082" i="4" s="1"/>
  <c r="J1090" i="4"/>
  <c r="K1090" i="4" s="1"/>
  <c r="J1098" i="4"/>
  <c r="K1098" i="4" s="1"/>
  <c r="J1106" i="4"/>
  <c r="K1106" i="4" s="1"/>
  <c r="J1114" i="4"/>
  <c r="K1114" i="4" s="1"/>
  <c r="J1122" i="4"/>
  <c r="K1122" i="4" s="1"/>
  <c r="J1130" i="4"/>
  <c r="K1130" i="4" s="1"/>
  <c r="J1138" i="4"/>
  <c r="K1138" i="4" s="1"/>
  <c r="J1146" i="4"/>
  <c r="K1146" i="4" s="1"/>
  <c r="J1154" i="4"/>
  <c r="K1154" i="4" s="1"/>
  <c r="J1162" i="4"/>
  <c r="K1162" i="4" s="1"/>
  <c r="J1170" i="4"/>
  <c r="K1170" i="4" s="1"/>
  <c r="J1178" i="4"/>
  <c r="K1178" i="4" s="1"/>
  <c r="J1186" i="4"/>
  <c r="K1186" i="4" s="1"/>
  <c r="J1194" i="4"/>
  <c r="K1194" i="4" s="1"/>
  <c r="J1202" i="4"/>
  <c r="K1202" i="4" s="1"/>
  <c r="J1210" i="4"/>
  <c r="K1210" i="4" s="1"/>
  <c r="J1218" i="4"/>
  <c r="K1218" i="4" s="1"/>
  <c r="J1226" i="4"/>
  <c r="K1226" i="4" s="1"/>
  <c r="J1234" i="4"/>
  <c r="K1234" i="4" s="1"/>
  <c r="J1242" i="4"/>
  <c r="K1242" i="4" s="1"/>
  <c r="J1250" i="4"/>
  <c r="K1250" i="4" s="1"/>
  <c r="J1258" i="4"/>
  <c r="K1258" i="4" s="1"/>
  <c r="J1266" i="4"/>
  <c r="K1266" i="4" s="1"/>
  <c r="J1274" i="4"/>
  <c r="K1274" i="4" s="1"/>
  <c r="J1282" i="4"/>
  <c r="K1282" i="4" s="1"/>
  <c r="J1290" i="4"/>
  <c r="K1290" i="4" s="1"/>
  <c r="J1298" i="4"/>
  <c r="K1298" i="4" s="1"/>
  <c r="J1306" i="4"/>
  <c r="K1306" i="4" s="1"/>
  <c r="J1314" i="4"/>
  <c r="K1314" i="4" s="1"/>
  <c r="J1322" i="4"/>
  <c r="K1322" i="4" s="1"/>
  <c r="J1330" i="4"/>
  <c r="K1330" i="4" s="1"/>
  <c r="J1338" i="4"/>
  <c r="K1338" i="4" s="1"/>
  <c r="J1346" i="4"/>
  <c r="K1346" i="4" s="1"/>
  <c r="J1354" i="4"/>
  <c r="K1354" i="4" s="1"/>
  <c r="J1362" i="4"/>
  <c r="K1362" i="4" s="1"/>
  <c r="J1370" i="4"/>
  <c r="K1370" i="4" s="1"/>
  <c r="J1378" i="4"/>
  <c r="K1378" i="4" s="1"/>
  <c r="J1386" i="4"/>
  <c r="K1386" i="4" s="1"/>
  <c r="J1394" i="4"/>
  <c r="K1394" i="4" s="1"/>
  <c r="J1402" i="4"/>
  <c r="K1402" i="4" s="1"/>
  <c r="J843" i="4"/>
  <c r="K843" i="4" s="1"/>
  <c r="J859" i="4"/>
  <c r="K859" i="4" s="1"/>
  <c r="J867" i="4"/>
  <c r="K867" i="4" s="1"/>
  <c r="J875" i="4"/>
  <c r="K875" i="4" s="1"/>
  <c r="J883" i="4"/>
  <c r="K883" i="4" s="1"/>
  <c r="J891" i="4"/>
  <c r="K891" i="4" s="1"/>
  <c r="J899" i="4"/>
  <c r="K899" i="4" s="1"/>
  <c r="J907" i="4"/>
  <c r="K907" i="4" s="1"/>
  <c r="J915" i="4"/>
  <c r="K915" i="4" s="1"/>
  <c r="J923" i="4"/>
  <c r="K923" i="4" s="1"/>
  <c r="J931" i="4"/>
  <c r="K931" i="4" s="1"/>
  <c r="J939" i="4"/>
  <c r="K939" i="4" s="1"/>
  <c r="J947" i="4"/>
  <c r="K947" i="4" s="1"/>
  <c r="J955" i="4"/>
  <c r="K955" i="4" s="1"/>
  <c r="J963" i="4"/>
  <c r="K963" i="4" s="1"/>
  <c r="J971" i="4"/>
  <c r="K971" i="4" s="1"/>
  <c r="J987" i="4"/>
  <c r="K987" i="4" s="1"/>
  <c r="J995" i="4"/>
  <c r="K995" i="4" s="1"/>
  <c r="J1003" i="4"/>
  <c r="K1003" i="4" s="1"/>
  <c r="J1011" i="4"/>
  <c r="K1011" i="4" s="1"/>
  <c r="J1019" i="4"/>
  <c r="K1019" i="4" s="1"/>
  <c r="J1027" i="4"/>
  <c r="K1027" i="4" s="1"/>
  <c r="J1035" i="4"/>
  <c r="K1035" i="4" s="1"/>
  <c r="J1051" i="4"/>
  <c r="K1051" i="4" s="1"/>
  <c r="J1059" i="4"/>
  <c r="K1059" i="4" s="1"/>
  <c r="J1067" i="4"/>
  <c r="K1067" i="4" s="1"/>
  <c r="J1091" i="4"/>
  <c r="K1091" i="4" s="1"/>
  <c r="J1099" i="4"/>
  <c r="K1099" i="4" s="1"/>
  <c r="J1107" i="4"/>
  <c r="K1107" i="4" s="1"/>
  <c r="J1115" i="4"/>
  <c r="K1115" i="4" s="1"/>
  <c r="J1123" i="4"/>
  <c r="K1123" i="4" s="1"/>
  <c r="J1131" i="4"/>
  <c r="K1131" i="4" s="1"/>
  <c r="J1147" i="4"/>
  <c r="K1147" i="4" s="1"/>
  <c r="J1155" i="4"/>
  <c r="K1155" i="4" s="1"/>
  <c r="J1163" i="4"/>
  <c r="K1163" i="4" s="1"/>
  <c r="J1171" i="4"/>
  <c r="K1171" i="4" s="1"/>
  <c r="J1179" i="4"/>
  <c r="K1179" i="4" s="1"/>
  <c r="J1187" i="4"/>
  <c r="K1187" i="4" s="1"/>
  <c r="J1195" i="4"/>
  <c r="K1195" i="4" s="1"/>
  <c r="J1211" i="4"/>
  <c r="K1211" i="4" s="1"/>
  <c r="J1219" i="4"/>
  <c r="K1219" i="4" s="1"/>
  <c r="J1227" i="4"/>
  <c r="K1227" i="4" s="1"/>
  <c r="J1235" i="4"/>
  <c r="K1235" i="4" s="1"/>
  <c r="J1243" i="4"/>
  <c r="K1243" i="4" s="1"/>
  <c r="J1251" i="4"/>
  <c r="K1251" i="4" s="1"/>
  <c r="J1259" i="4"/>
  <c r="K1259" i="4" s="1"/>
  <c r="J1267" i="4"/>
  <c r="K1267" i="4" s="1"/>
  <c r="J1275" i="4"/>
  <c r="K1275" i="4" s="1"/>
  <c r="J1283" i="4"/>
  <c r="K1283" i="4" s="1"/>
  <c r="J1291" i="4"/>
  <c r="K1291" i="4" s="1"/>
  <c r="J1299" i="4"/>
  <c r="K1299" i="4" s="1"/>
  <c r="J1307" i="4"/>
  <c r="K1307" i="4" s="1"/>
  <c r="J1315" i="4"/>
  <c r="K1315" i="4" s="1"/>
  <c r="J1323" i="4"/>
  <c r="K1323" i="4" s="1"/>
  <c r="J1331" i="4"/>
  <c r="K1331" i="4" s="1"/>
  <c r="J1339" i="4"/>
  <c r="K1339" i="4" s="1"/>
  <c r="J1347" i="4"/>
  <c r="K1347" i="4" s="1"/>
  <c r="J1355" i="4"/>
  <c r="K1355" i="4" s="1"/>
  <c r="J1363" i="4"/>
  <c r="K1363" i="4" s="1"/>
  <c r="J1371" i="4"/>
  <c r="K1371" i="4" s="1"/>
  <c r="J1379" i="4"/>
  <c r="K1379" i="4" s="1"/>
  <c r="J1387" i="4"/>
  <c r="K1387" i="4" s="1"/>
  <c r="J1395" i="4"/>
  <c r="K1395" i="4" s="1"/>
  <c r="J1397" i="4"/>
  <c r="K1397" i="4" s="1"/>
  <c r="P2" i="4" l="1"/>
  <c r="P1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<sst xmlns="http://schemas.openxmlformats.org/spreadsheetml/2006/main" count="12316" uniqueCount="6345">
  <si>
    <t>1 Ult.P*mp A L</t>
  </si>
  <si>
    <t>2 Ult.P*mp A R</t>
  </si>
  <si>
    <t>3 Ult.P*mp B L</t>
  </si>
  <si>
    <t>4 Ult.P*mp B R</t>
  </si>
  <si>
    <t>5 Ult.P*mp C L</t>
  </si>
  <si>
    <t>6 Ult.P*mp C R</t>
  </si>
  <si>
    <t>7 Ult.P* f A L</t>
  </si>
  <si>
    <t>8 Ult.P* f A R</t>
  </si>
  <si>
    <t>9 Ult.P* f B L</t>
  </si>
  <si>
    <t>10 Ult.P* f B R</t>
  </si>
  <si>
    <t>11 Ult.P* f C L</t>
  </si>
  <si>
    <t>12 Ult.P* f C R</t>
  </si>
  <si>
    <t>13 Ult.P*ff A L</t>
  </si>
  <si>
    <t>14 Ult.P*ff A R</t>
  </si>
  <si>
    <t>15 Ult.P*ff B L</t>
  </si>
  <si>
    <t>16 Ult.P*ff B R</t>
  </si>
  <si>
    <t>17 Ult.P*ff C L</t>
  </si>
  <si>
    <t>18 Ult.P*ff C R</t>
  </si>
  <si>
    <t>19 XPr.P*mp A L</t>
  </si>
  <si>
    <t>20 XPr.P*mp A R</t>
  </si>
  <si>
    <t>21 XPr.P*mp B L</t>
  </si>
  <si>
    <t>22 XPr.P*mp B R</t>
  </si>
  <si>
    <t>23 XPr.P*mp C L</t>
  </si>
  <si>
    <t>24 XPr.P*mp C R</t>
  </si>
  <si>
    <t>25 XPr.P* f A L</t>
  </si>
  <si>
    <t>26 XPr.P* f A R</t>
  </si>
  <si>
    <t>27 XPr.P* f B L</t>
  </si>
  <si>
    <t>28 XPr.P* f B R</t>
  </si>
  <si>
    <t>29 XPr.P* f C L</t>
  </si>
  <si>
    <t>30 XPr.P* f C R</t>
  </si>
  <si>
    <t>31 XPr.P*ff A L</t>
  </si>
  <si>
    <t>32 XPr.P*ff A R</t>
  </si>
  <si>
    <t>33 XPr.P*ff B L</t>
  </si>
  <si>
    <t>34 XPr.P*ff B R</t>
  </si>
  <si>
    <t>35 XPr.P*ff C L</t>
  </si>
  <si>
    <t>36 XPr.P*ff C R</t>
  </si>
  <si>
    <t>37 Ult.P mp A L</t>
  </si>
  <si>
    <t>38 Ult.P mp A R</t>
  </si>
  <si>
    <t>39 Ult.P mp B L</t>
  </si>
  <si>
    <t>40 Ult.P mp B R</t>
  </si>
  <si>
    <t>41 Ult.P mp C L</t>
  </si>
  <si>
    <t>42 Ult.P mp C R</t>
  </si>
  <si>
    <t>43 Ult.P f A L</t>
  </si>
  <si>
    <t>44 Ult.P f A R</t>
  </si>
  <si>
    <t>45 Ult.P f B L</t>
  </si>
  <si>
    <t>46 Ult.P f B R</t>
  </si>
  <si>
    <t>47 Ult.P f C L</t>
  </si>
  <si>
    <t>48 Ult.P f C R</t>
  </si>
  <si>
    <t>49 Ult.P ff A L</t>
  </si>
  <si>
    <t>50 Ult.P ff A R</t>
  </si>
  <si>
    <t>51 Ult.P ff B L</t>
  </si>
  <si>
    <t>52 Ult.P ff B R</t>
  </si>
  <si>
    <t>53 Ult.P ff C L</t>
  </si>
  <si>
    <t>54 Ult.P ff C R</t>
  </si>
  <si>
    <t>55 XPr.P mp A L</t>
  </si>
  <si>
    <t>56 XPr.P mp A R</t>
  </si>
  <si>
    <t>57 XPr.P mp B L</t>
  </si>
  <si>
    <t>58 XPr.P mp B R</t>
  </si>
  <si>
    <t>59 XPr.P mp C L</t>
  </si>
  <si>
    <t>60 XPr.P mp C R</t>
  </si>
  <si>
    <t>61 XPr.P f A L</t>
  </si>
  <si>
    <t>62 XPr.P f A R</t>
  </si>
  <si>
    <t>63 XPr.P f B L</t>
  </si>
  <si>
    <t>64 XPr.P f B R</t>
  </si>
  <si>
    <t>65 XPr.P f C L</t>
  </si>
  <si>
    <t>66 XPr.P f C R</t>
  </si>
  <si>
    <t>67 XPr.P ff A L</t>
  </si>
  <si>
    <t>68 XPr.P ff A R</t>
  </si>
  <si>
    <t>69 XPr.P ff B L</t>
  </si>
  <si>
    <t>70 XPr.P ff B R</t>
  </si>
  <si>
    <t>71 XPr.P ff C L</t>
  </si>
  <si>
    <t>72 XPr.P ff C R</t>
  </si>
  <si>
    <t>73 Ac.Pno p A L</t>
  </si>
  <si>
    <t>74 Ac.Pno p A R</t>
  </si>
  <si>
    <t>75 Ac.Pno p B L</t>
  </si>
  <si>
    <t>76 Ac.Pno p B R</t>
  </si>
  <si>
    <t>77 Ac.Pno p C L</t>
  </si>
  <si>
    <t>78 Ac.Pno p C R</t>
  </si>
  <si>
    <t>79 Ac.Pno f A L</t>
  </si>
  <si>
    <t>80 Ac.Pno f A R</t>
  </si>
  <si>
    <t>81 Ac.Pno f B L</t>
  </si>
  <si>
    <t>82 Ac.Pno f B R</t>
  </si>
  <si>
    <t>83 Ac.Pno f C L</t>
  </si>
  <si>
    <t>84 Ac.Pno f C R</t>
  </si>
  <si>
    <t>85 JD Piano A</t>
  </si>
  <si>
    <t>86 JD Piano B</t>
  </si>
  <si>
    <t>87 JD Piano C</t>
  </si>
  <si>
    <t>88 Piano Atk Nz</t>
  </si>
  <si>
    <t>89 MKS Piano A</t>
  </si>
  <si>
    <t>90 MKS Piano B</t>
  </si>
  <si>
    <t>91 MKS Piano C</t>
  </si>
  <si>
    <t>92 Vint.EP pp A</t>
  </si>
  <si>
    <t>93 Vint.EP pp B</t>
  </si>
  <si>
    <t>94 Vint.EP pp C</t>
  </si>
  <si>
    <t>95 Vint.EP mp A</t>
  </si>
  <si>
    <t>96 Vint.EP mp B</t>
  </si>
  <si>
    <t>97 Vint.EP mp C</t>
  </si>
  <si>
    <t>98 Vint.EP f A</t>
  </si>
  <si>
    <t>99 Vint.EP f B</t>
  </si>
  <si>
    <t>100 Vint.EP f C</t>
  </si>
  <si>
    <t>101 Vint.EP ff A</t>
  </si>
  <si>
    <t>102 Vint.EP ff B</t>
  </si>
  <si>
    <t>103 Vint.EP ff C</t>
  </si>
  <si>
    <t>104 Stage EP p A</t>
  </si>
  <si>
    <t>105 Stage EP p B</t>
  </si>
  <si>
    <t>106 Stage EP p C</t>
  </si>
  <si>
    <t>107 Stage EP f A</t>
  </si>
  <si>
    <t>108 Stage EP f B</t>
  </si>
  <si>
    <t>109 Stage EP f C</t>
  </si>
  <si>
    <t>110 Tine EP p A</t>
  </si>
  <si>
    <t>111 Tine EP p B</t>
  </si>
  <si>
    <t>112 Tine EP p C</t>
  </si>
  <si>
    <t>113 Tine EP mf A</t>
  </si>
  <si>
    <t>114 Tine EP mf B</t>
  </si>
  <si>
    <t>115 Tine EP mf C</t>
  </si>
  <si>
    <t>116 Tine EP ff A</t>
  </si>
  <si>
    <t>117 Tine EP ff B</t>
  </si>
  <si>
    <t>118 Tine EP ff C</t>
  </si>
  <si>
    <t>119 Dyno EP mp A</t>
  </si>
  <si>
    <t>120 Dyno EP mp B</t>
  </si>
  <si>
    <t>121 Dyno EP mp C</t>
  </si>
  <si>
    <t>122 Dyno EP mf A</t>
  </si>
  <si>
    <t>123 Dyno EP mf B</t>
  </si>
  <si>
    <t>124 Dyno EP mf C</t>
  </si>
  <si>
    <t>125 Dyno EP ff A</t>
  </si>
  <si>
    <t>126 Dyno EP ff B</t>
  </si>
  <si>
    <t>127 Dyno EP ff C</t>
  </si>
  <si>
    <t>128 Wurly DI p A</t>
  </si>
  <si>
    <t>129 Wurly DI p B</t>
  </si>
  <si>
    <t>130 Wurly DI p C</t>
  </si>
  <si>
    <t>131 Wurly DI f A</t>
  </si>
  <si>
    <t>132 Wurly DI f B</t>
  </si>
  <si>
    <t>133 Wurly DI f C</t>
  </si>
  <si>
    <t>134 Wurly DI ffA</t>
  </si>
  <si>
    <t>135 Wurly DI ffB</t>
  </si>
  <si>
    <t>136 Wurly DI ffC</t>
  </si>
  <si>
    <t>137 Wurly mp A</t>
  </si>
  <si>
    <t>138 Wurly mp B</t>
  </si>
  <si>
    <t>139 Wurly mp C</t>
  </si>
  <si>
    <t>140 Wurly mf A</t>
  </si>
  <si>
    <t>141 Wurly mf B</t>
  </si>
  <si>
    <t>142 Wurly mf C</t>
  </si>
  <si>
    <t>143 Wurly ff A</t>
  </si>
  <si>
    <t>144 Wurly ff B</t>
  </si>
  <si>
    <t>145 Wurly ff C</t>
  </si>
  <si>
    <t>146 Soft SA EP A</t>
  </si>
  <si>
    <t>147 Soft SA EP B</t>
  </si>
  <si>
    <t>148 Soft SA EP C</t>
  </si>
  <si>
    <t>149 Hard SA EP A</t>
  </si>
  <si>
    <t>150 Hard SA EP B</t>
  </si>
  <si>
    <t>151 Hard SA EP C</t>
  </si>
  <si>
    <t>152 SA E.Piano A</t>
  </si>
  <si>
    <t>153 SA E.Piano B</t>
  </si>
  <si>
    <t>154 SA E.Piano C</t>
  </si>
  <si>
    <t>155 80's E.Pno 1</t>
  </si>
  <si>
    <t>156 80's E.Pno 2</t>
  </si>
  <si>
    <t>157 80's E.Pno1f</t>
  </si>
  <si>
    <t>158 80's E.Pno2f</t>
  </si>
  <si>
    <t>159 Hard E.Pno</t>
  </si>
  <si>
    <t>160 Celesta</t>
  </si>
  <si>
    <t>161 Music Box</t>
  </si>
  <si>
    <t>162 ClavDB Brt A</t>
  </si>
  <si>
    <t>163 ClavDB Brt B</t>
  </si>
  <si>
    <t>164 ClavDB Brt C</t>
  </si>
  <si>
    <t>165 Reg.Clav A</t>
  </si>
  <si>
    <t>166 Reg.Clav B</t>
  </si>
  <si>
    <t>167 Reg.Clav C</t>
  </si>
  <si>
    <t>168 Retro Clav A</t>
  </si>
  <si>
    <t>169 Retro Clav B</t>
  </si>
  <si>
    <t>170 Retro Clav C</t>
  </si>
  <si>
    <t>171 Tight Clav A</t>
  </si>
  <si>
    <t>172 Tight Clav B</t>
  </si>
  <si>
    <t>173 Tight Clav C</t>
  </si>
  <si>
    <t>174 Hard Clav A</t>
  </si>
  <si>
    <t>175 Hard Clav B</t>
  </si>
  <si>
    <t>176 Hard Clav C</t>
  </si>
  <si>
    <t>177 ClvMtRs DB f</t>
  </si>
  <si>
    <t>178 Harpsi A</t>
  </si>
  <si>
    <t>179 Harpsi B</t>
  </si>
  <si>
    <t>180 Harpsi C</t>
  </si>
  <si>
    <t>181 JLOrg Slow L</t>
  </si>
  <si>
    <t>182 JLOrg Slow R</t>
  </si>
  <si>
    <t>183 JLOrg Fast L</t>
  </si>
  <si>
    <t>184 JLOrg Fast R</t>
  </si>
  <si>
    <t>185 JD Full Draw</t>
  </si>
  <si>
    <t>186 Org Basic 1</t>
  </si>
  <si>
    <t>187 Org Basic 2</t>
  </si>
  <si>
    <t>188 Ballad Org</t>
  </si>
  <si>
    <t>189 3rd Perc Org</t>
  </si>
  <si>
    <t>190 Perc Organ</t>
  </si>
  <si>
    <t>191 Rock Organ A</t>
  </si>
  <si>
    <t>192 Rock Organ B</t>
  </si>
  <si>
    <t>193 Rock Organ C</t>
  </si>
  <si>
    <t>194 RtryOrg1 A L</t>
  </si>
  <si>
    <t>195 RtryOrg1 A R</t>
  </si>
  <si>
    <t>196 RtryOrg1 B L</t>
  </si>
  <si>
    <t>197 RtryOrg1 B R</t>
  </si>
  <si>
    <t>198 RtryOrg1 C L</t>
  </si>
  <si>
    <t>199 RtryOrg1 C R</t>
  </si>
  <si>
    <t>200 RtryOrg2 A L</t>
  </si>
  <si>
    <t>201 RtryOrg2 A R</t>
  </si>
  <si>
    <t>202 RtryOrg2 B L</t>
  </si>
  <si>
    <t>203 RtryOrg2 B R</t>
  </si>
  <si>
    <t>204 RtryOrg2 C L</t>
  </si>
  <si>
    <t>205 RtryOrg2 C R</t>
  </si>
  <si>
    <t>206 LoFi RtryOrg</t>
  </si>
  <si>
    <t>207 Vint.Org 1</t>
  </si>
  <si>
    <t>208 Vint.Org 2</t>
  </si>
  <si>
    <t>209 Vint.Org 3</t>
  </si>
  <si>
    <t>210 Vint.Org 4</t>
  </si>
  <si>
    <t>211 Positive '8</t>
  </si>
  <si>
    <t>212 Pipe Organ</t>
  </si>
  <si>
    <t>213 Cathedrl Org</t>
  </si>
  <si>
    <t>214 BrtN.Gtr p A</t>
  </si>
  <si>
    <t>215 BrtN.Gtr p B</t>
  </si>
  <si>
    <t>216 BrtN.Gtr p C</t>
  </si>
  <si>
    <t>217 BrtN.Gtr mfA</t>
  </si>
  <si>
    <t>218 BrtN.Gtr mfB</t>
  </si>
  <si>
    <t>219 BrtN.Gtr mfC</t>
  </si>
  <si>
    <t>220 BrtN.Gtr ffA</t>
  </si>
  <si>
    <t>221 BrtN.Gtr ffB</t>
  </si>
  <si>
    <t>222 BrtN.Gtr ffC</t>
  </si>
  <si>
    <t>223 BrtN.GtrSldA</t>
  </si>
  <si>
    <t>224 BrtN.GtrSldB</t>
  </si>
  <si>
    <t>225 BrtN.GtrSldC</t>
  </si>
  <si>
    <t>226 Nylon Gtr1 A</t>
  </si>
  <si>
    <t>227 Nylon Gtr1 B</t>
  </si>
  <si>
    <t>228 Nylon Gtr1 C</t>
  </si>
  <si>
    <t>229 Nylon Gtr2 A</t>
  </si>
  <si>
    <t>230 Nylon Gtr2 B</t>
  </si>
  <si>
    <t>231 Nylon Gtr2 C</t>
  </si>
  <si>
    <t>232 Bright Gtr A</t>
  </si>
  <si>
    <t>233 Bright Gtr B</t>
  </si>
  <si>
    <t>234 Bright Gtr C</t>
  </si>
  <si>
    <t>235 Ac.Gtr mp A</t>
  </si>
  <si>
    <t>236 Ac.Gtr mp B</t>
  </si>
  <si>
    <t>237 Ac.Gtr mp C</t>
  </si>
  <si>
    <t>238 Ac.Gtr mf A</t>
  </si>
  <si>
    <t>239 Ac.Gtr mf B</t>
  </si>
  <si>
    <t>240 Ac.Gtr mf C</t>
  </si>
  <si>
    <t>241 Ac.Gtr ff A</t>
  </si>
  <si>
    <t>242 Ac.Gtr ff B</t>
  </si>
  <si>
    <t>243 Ac.Gtr ff C</t>
  </si>
  <si>
    <t>244 Ac.Gtr Sld A</t>
  </si>
  <si>
    <t>245 Ac.Gtr Sld B</t>
  </si>
  <si>
    <t>246 Ac.Gtr Sld C</t>
  </si>
  <si>
    <t>247 Ac.Gtr Hrm A</t>
  </si>
  <si>
    <t>248 Ac.Gtr Hrm B</t>
  </si>
  <si>
    <t>249 Ac.Gtr Hrm C</t>
  </si>
  <si>
    <t>250 Jazz Gtr A</t>
  </si>
  <si>
    <t>251 Jazz Gtr B</t>
  </si>
  <si>
    <t>252 Jazz Gtr C</t>
  </si>
  <si>
    <t>253 Clean Gtr A</t>
  </si>
  <si>
    <t>254 Clean Gtr B</t>
  </si>
  <si>
    <t>255 Clean Gtr C</t>
  </si>
  <si>
    <t>256 Clr Mt Gtr A</t>
  </si>
  <si>
    <t>257 Clr Mt Gtr B</t>
  </si>
  <si>
    <t>258 Clr Mt Gtr C</t>
  </si>
  <si>
    <t>259 E.Gtr Ld</t>
  </si>
  <si>
    <t>260 Brt Strat A</t>
  </si>
  <si>
    <t>261 Brt Strat B</t>
  </si>
  <si>
    <t>262 Brt Strat C</t>
  </si>
  <si>
    <t>263 FstPick70s A</t>
  </si>
  <si>
    <t>264 FstPick70s B</t>
  </si>
  <si>
    <t>265 FstPick70s C</t>
  </si>
  <si>
    <t>266 Funk Gtr A</t>
  </si>
  <si>
    <t>267 Funk Gtr B</t>
  </si>
  <si>
    <t>268 Funk Gtr C</t>
  </si>
  <si>
    <t>269 Funk MtGtr A</t>
  </si>
  <si>
    <t>270 Funk MtGtr B</t>
  </si>
  <si>
    <t>271 Funk MtGtr C</t>
  </si>
  <si>
    <t>272 Nasty Gtr</t>
  </si>
  <si>
    <t>273 Overdrive A</t>
  </si>
  <si>
    <t>274 Overdrive C</t>
  </si>
  <si>
    <t>275 Distortion A</t>
  </si>
  <si>
    <t>276 Distortion B</t>
  </si>
  <si>
    <t>277 Distortion C</t>
  </si>
  <si>
    <t>278 Dist Chord A</t>
  </si>
  <si>
    <t>279 Dist Chord B</t>
  </si>
  <si>
    <t>280 Dist Chord C</t>
  </si>
  <si>
    <t>281 E.Gtr Harm</t>
  </si>
  <si>
    <t>282 Harp A</t>
  </si>
  <si>
    <t>283 Harp B</t>
  </si>
  <si>
    <t>284 Harp C</t>
  </si>
  <si>
    <t>285 Banjo A</t>
  </si>
  <si>
    <t>286 Banjo B</t>
  </si>
  <si>
    <t>287 Banjo C</t>
  </si>
  <si>
    <t>288 Sitar A</t>
  </si>
  <si>
    <t>289 Sitar B</t>
  </si>
  <si>
    <t>290 Sitar C</t>
  </si>
  <si>
    <t>291 Sitar Drn A</t>
  </si>
  <si>
    <t>292 Sitar Drn B</t>
  </si>
  <si>
    <t>293 Sitar Drn C</t>
  </si>
  <si>
    <t>294 E.Sitar A</t>
  </si>
  <si>
    <t>295 E.Sitar B</t>
  </si>
  <si>
    <t>296 E.Sitar C</t>
  </si>
  <si>
    <t>297 Santur A</t>
  </si>
  <si>
    <t>298 Santur B</t>
  </si>
  <si>
    <t>299 Santur C</t>
  </si>
  <si>
    <t>300 Dulcimer A</t>
  </si>
  <si>
    <t>301 Dulcimer B</t>
  </si>
  <si>
    <t>302 Dulcimer C</t>
  </si>
  <si>
    <t>303 Shamisen A</t>
  </si>
  <si>
    <t>304 Shamisen B</t>
  </si>
  <si>
    <t>305 Shamisen C</t>
  </si>
  <si>
    <t>306 Koto A</t>
  </si>
  <si>
    <t>307 Koto B</t>
  </si>
  <si>
    <t>308 Koto C</t>
  </si>
  <si>
    <t>309 FatAc.Bs p A</t>
  </si>
  <si>
    <t>310 FatAc.Bs p B</t>
  </si>
  <si>
    <t>311 FatAc.Bs p C</t>
  </si>
  <si>
    <t>312 FatAc.Bs f A</t>
  </si>
  <si>
    <t>313 FatAc.Bs f B</t>
  </si>
  <si>
    <t>314 FatAc.Bs f C</t>
  </si>
  <si>
    <t>315 Ac.Bass A</t>
  </si>
  <si>
    <t>316 Ac.Bass B</t>
  </si>
  <si>
    <t>317 Ac.Bass C</t>
  </si>
  <si>
    <t>318 Fng.EB1 mf A</t>
  </si>
  <si>
    <t>319 Fng.EB1 mf B</t>
  </si>
  <si>
    <t>320 Fng.EB1 mf C</t>
  </si>
  <si>
    <t>321 Fng.EB1 ff A</t>
  </si>
  <si>
    <t>322 Fng.EB1 ff B</t>
  </si>
  <si>
    <t>323 Fng.EB1 ff C</t>
  </si>
  <si>
    <t>324 Fng.EB2 mf A</t>
  </si>
  <si>
    <t>325 Fng.EB2 mf B</t>
  </si>
  <si>
    <t>326 Fng.EB2 mf C</t>
  </si>
  <si>
    <t>327 Fng.EB2 f A</t>
  </si>
  <si>
    <t>328 Fng.EB2 f B</t>
  </si>
  <si>
    <t>329 Fng.EB2 f C</t>
  </si>
  <si>
    <t>330 FngrCmp Bs A</t>
  </si>
  <si>
    <t>331 FngrCmp Bs B</t>
  </si>
  <si>
    <t>332 FngrCmp Bs C</t>
  </si>
  <si>
    <t>333 Finger Bs A</t>
  </si>
  <si>
    <t>334 Finger Bs B</t>
  </si>
  <si>
    <t>335 Finger Bs C</t>
  </si>
  <si>
    <t>336 Precision Bs</t>
  </si>
  <si>
    <t>337 ThumbMtBs pA</t>
  </si>
  <si>
    <t>338 ThumbMtBs pB</t>
  </si>
  <si>
    <t>339 ThumbMtBs pC</t>
  </si>
  <si>
    <t>340 Fretlss Bs A</t>
  </si>
  <si>
    <t>341 Fretlss Bs B</t>
  </si>
  <si>
    <t>342 Fretlss Bs C</t>
  </si>
  <si>
    <t>343 Fretlss SftA</t>
  </si>
  <si>
    <t>344 Fretlss SftB</t>
  </si>
  <si>
    <t>345 Fretlss SftC</t>
  </si>
  <si>
    <t>346 Pick EB f A</t>
  </si>
  <si>
    <t>347 Pick EB f B</t>
  </si>
  <si>
    <t>348 Pick EB f C</t>
  </si>
  <si>
    <t>349 Pick Bass</t>
  </si>
  <si>
    <t>350 Slp.E.BassA</t>
  </si>
  <si>
    <t>351 Slp.E.BassB</t>
  </si>
  <si>
    <t>352 Slp.E.BassC</t>
  </si>
  <si>
    <t>353 Slp.EB HO A</t>
  </si>
  <si>
    <t>354 Slp.EB HO B</t>
  </si>
  <si>
    <t>355 Slp.EB HO C</t>
  </si>
  <si>
    <t>356 Pul.E.BassA</t>
  </si>
  <si>
    <t>357 Pul.E.BassB</t>
  </si>
  <si>
    <t>358 Pul.E.BassC</t>
  </si>
  <si>
    <t>359 Pul.EB HO A</t>
  </si>
  <si>
    <t>360 Pul.EB HO B</t>
  </si>
  <si>
    <t>361 Pul.EB HO C</t>
  </si>
  <si>
    <t>362 Slap Bass</t>
  </si>
  <si>
    <t>363 Slap +Pull 1</t>
  </si>
  <si>
    <t>364 Slap +Pull 2</t>
  </si>
  <si>
    <t>365 Slap +Pull 3</t>
  </si>
  <si>
    <t>366 Jz Slap Bass</t>
  </si>
  <si>
    <t>367 Jz Slp+Pull1</t>
  </si>
  <si>
    <t>368 Jz Slp+Pull2</t>
  </si>
  <si>
    <t>369 Jz Slp+Pull3</t>
  </si>
  <si>
    <t>370 Jungle Bass</t>
  </si>
  <si>
    <t>371 Garage Bass</t>
  </si>
  <si>
    <t>372 SH-101 Bs A</t>
  </si>
  <si>
    <t>373 SH-101 Bs B</t>
  </si>
  <si>
    <t>374 SH-101 Bs C</t>
  </si>
  <si>
    <t>375 Organ Bass</t>
  </si>
  <si>
    <t>376 MG Bass 1 A</t>
  </si>
  <si>
    <t>377 MG Bass 1 B</t>
  </si>
  <si>
    <t>378 MG Bass 1 C</t>
  </si>
  <si>
    <t>379 MG Bass 2</t>
  </si>
  <si>
    <t>380 MG Bass 3</t>
  </si>
  <si>
    <t>381 MC Bass A</t>
  </si>
  <si>
    <t>382 MC Bass B</t>
  </si>
  <si>
    <t>383 MC Bass C</t>
  </si>
  <si>
    <t>384 Atk Syn Bass</t>
  </si>
  <si>
    <t>385 Flute A</t>
  </si>
  <si>
    <t>386 Flute B</t>
  </si>
  <si>
    <t>387 Flute C</t>
  </si>
  <si>
    <t>388 Piccolo A</t>
  </si>
  <si>
    <t>389 Piccolo B</t>
  </si>
  <si>
    <t>390 Piccolo C</t>
  </si>
  <si>
    <t>391 Pan Flute</t>
  </si>
  <si>
    <t>392 Shakuhachi</t>
  </si>
  <si>
    <t>393 JD Fl Push</t>
  </si>
  <si>
    <t>394 Clarinet A</t>
  </si>
  <si>
    <t>395 Clarinet B</t>
  </si>
  <si>
    <t>396 Clarinet C</t>
  </si>
  <si>
    <t>397 Oboe Mezzo A</t>
  </si>
  <si>
    <t>398 Oboe Mezzo B</t>
  </si>
  <si>
    <t>399 Oboe Mezzo C</t>
  </si>
  <si>
    <t>400 Oboe Forte A</t>
  </si>
  <si>
    <t>401 Oboe Forte B</t>
  </si>
  <si>
    <t>402 Oboe Forte C</t>
  </si>
  <si>
    <t>403 E.Horn A</t>
  </si>
  <si>
    <t>404 E.Horn B</t>
  </si>
  <si>
    <t>405 E.Horn C</t>
  </si>
  <si>
    <t>406 Bassoon A</t>
  </si>
  <si>
    <t>407 Bassoon B</t>
  </si>
  <si>
    <t>408 Bassoon C</t>
  </si>
  <si>
    <t>409 Recorder A</t>
  </si>
  <si>
    <t>410 Recorder B</t>
  </si>
  <si>
    <t>411 Recorder C</t>
  </si>
  <si>
    <t>412 SopranoSax A</t>
  </si>
  <si>
    <t>413 SopranoSax B</t>
  </si>
  <si>
    <t>414 SopranoSax C</t>
  </si>
  <si>
    <t>415 Alto Sax Vib</t>
  </si>
  <si>
    <t>416 Soft Alto A</t>
  </si>
  <si>
    <t>417 Soft Alto B</t>
  </si>
  <si>
    <t>418 Soft Alto C</t>
  </si>
  <si>
    <t>419 Wide Sax A</t>
  </si>
  <si>
    <t>420 Wide Sax B</t>
  </si>
  <si>
    <t>421 Wide Sax C</t>
  </si>
  <si>
    <t>422 BreathySax A</t>
  </si>
  <si>
    <t>423 BreathySax B</t>
  </si>
  <si>
    <t>424 BreathySax C</t>
  </si>
  <si>
    <t>425 TenorBreathy</t>
  </si>
  <si>
    <t>426 Tenor Sax A</t>
  </si>
  <si>
    <t>427 Tenor Sax B</t>
  </si>
  <si>
    <t>428 Tenor Sax C</t>
  </si>
  <si>
    <t>429 Bari.Sax 1 A</t>
  </si>
  <si>
    <t>430 Bari.Sax 1 B</t>
  </si>
  <si>
    <t>431 Bari.Sax 1 C</t>
  </si>
  <si>
    <t>432 Bari.Sax 2 A</t>
  </si>
  <si>
    <t>433 Bari.Sax 2 B</t>
  </si>
  <si>
    <t>434 Bari.Sax 2 C</t>
  </si>
  <si>
    <t>435 Musette</t>
  </si>
  <si>
    <t>436 Accord 4' A</t>
  </si>
  <si>
    <t>437 Accord 4' B</t>
  </si>
  <si>
    <t>438 Accord 4' C</t>
  </si>
  <si>
    <t>439 Accord 8' A</t>
  </si>
  <si>
    <t>440 Accord 8' B</t>
  </si>
  <si>
    <t>441 Accord 8' C</t>
  </si>
  <si>
    <t>442 Accord PadNz</t>
  </si>
  <si>
    <t>443 Harmonica A</t>
  </si>
  <si>
    <t>444 Harmonica B</t>
  </si>
  <si>
    <t>445 Harmonica C</t>
  </si>
  <si>
    <t>446 Blues G-harp</t>
  </si>
  <si>
    <t>447 Flugel A</t>
  </si>
  <si>
    <t>448 Flugel B</t>
  </si>
  <si>
    <t>449 Flugel C</t>
  </si>
  <si>
    <t>450 Trumpet A</t>
  </si>
  <si>
    <t>451 Trumpet B</t>
  </si>
  <si>
    <t>452 Trumpet C</t>
  </si>
  <si>
    <t>453 Wide Tp A</t>
  </si>
  <si>
    <t>454 Wide Tp B</t>
  </si>
  <si>
    <t>455 Wide Tp C</t>
  </si>
  <si>
    <t>456 Mute Tp A</t>
  </si>
  <si>
    <t>457 Mute Tp B</t>
  </si>
  <si>
    <t>458 Mute Tp C</t>
  </si>
  <si>
    <t>459 Trombone A</t>
  </si>
  <si>
    <t>460 Trombone B</t>
  </si>
  <si>
    <t>461 Trombone C</t>
  </si>
  <si>
    <t>462 Tbn mf A</t>
  </si>
  <si>
    <t>463 Tbn mf B</t>
  </si>
  <si>
    <t>464 Tbn mf C</t>
  </si>
  <si>
    <t>465 Tuba A</t>
  </si>
  <si>
    <t>466 Tuba B</t>
  </si>
  <si>
    <t>467 Tuba C</t>
  </si>
  <si>
    <t>468 Sft F.Horn A</t>
  </si>
  <si>
    <t>469 Sft F.Horn B</t>
  </si>
  <si>
    <t>470 Sft F.Horn C</t>
  </si>
  <si>
    <t>471 French Hrn A</t>
  </si>
  <si>
    <t>472 French Hrn C</t>
  </si>
  <si>
    <t>473 XP Horn A</t>
  </si>
  <si>
    <t>474 XP Horn B</t>
  </si>
  <si>
    <t>475 F.HornSect A</t>
  </si>
  <si>
    <t>476 F.HornSect B</t>
  </si>
  <si>
    <t>477 F.HornSect C</t>
  </si>
  <si>
    <t>478 Tp Section A</t>
  </si>
  <si>
    <t>479 Tp Section B</t>
  </si>
  <si>
    <t>480 Tp Section C</t>
  </si>
  <si>
    <t>481 OctBrs p A L</t>
  </si>
  <si>
    <t>482 OctBrs p A R</t>
  </si>
  <si>
    <t>483 OctBrs p B L</t>
  </si>
  <si>
    <t>484 OctBrs p B R</t>
  </si>
  <si>
    <t>485 OctBrs p C L</t>
  </si>
  <si>
    <t>486 OctBrs p C R</t>
  </si>
  <si>
    <t>487 OctBrs f A L</t>
  </si>
  <si>
    <t>488 OctBrs f A R</t>
  </si>
  <si>
    <t>489 OctBrs f B L</t>
  </si>
  <si>
    <t>490 OctBrs f B R</t>
  </si>
  <si>
    <t>491 OctBrs f C L</t>
  </si>
  <si>
    <t>492 OctBrs f C R</t>
  </si>
  <si>
    <t>493 XP Brass</t>
  </si>
  <si>
    <t>494 OrchUnis A L</t>
  </si>
  <si>
    <t>495 OrchUnis A R</t>
  </si>
  <si>
    <t>496 OrchUnis B L</t>
  </si>
  <si>
    <t>497 OrchUnis B R</t>
  </si>
  <si>
    <t>498 OrchUnis C L</t>
  </si>
  <si>
    <t>499 OrchUnis C R</t>
  </si>
  <si>
    <t>500 Violin f A</t>
  </si>
  <si>
    <t>501 Violin f B</t>
  </si>
  <si>
    <t>502 Violin f C</t>
  </si>
  <si>
    <t>503 Violin Vib A</t>
  </si>
  <si>
    <t>504 Violin Vib B</t>
  </si>
  <si>
    <t>505 Violin Vib C</t>
  </si>
  <si>
    <t>506 Cello f A</t>
  </si>
  <si>
    <t>507 Cello f B</t>
  </si>
  <si>
    <t>508 Cello f C</t>
  </si>
  <si>
    <t>509 Cello Vib A</t>
  </si>
  <si>
    <t>510 Cello Vib B</t>
  </si>
  <si>
    <t>511 Cello Vib C</t>
  </si>
  <si>
    <t>512 Vl Sect. A L</t>
  </si>
  <si>
    <t>513 Vl Sect. A R</t>
  </si>
  <si>
    <t>514 Vl Sect. B L</t>
  </si>
  <si>
    <t>515 Vl Sect. B R</t>
  </si>
  <si>
    <t>516 Vl Sect. C L</t>
  </si>
  <si>
    <t>517 Vl Sect. C R</t>
  </si>
  <si>
    <t>518 Vc Sect. A L</t>
  </si>
  <si>
    <t>519 Vc Sect. A R</t>
  </si>
  <si>
    <t>520 Vc Sect. B L</t>
  </si>
  <si>
    <t>521 Vc Sect. B R</t>
  </si>
  <si>
    <t>522 Vc Sect. C L</t>
  </si>
  <si>
    <t>523 Vc Sect. C R</t>
  </si>
  <si>
    <t>524 Full Str A L</t>
  </si>
  <si>
    <t>525 Full Str A R</t>
  </si>
  <si>
    <t>526 Full Str B L</t>
  </si>
  <si>
    <t>527 Full Str B R</t>
  </si>
  <si>
    <t>528 Full Str C L</t>
  </si>
  <si>
    <t>529 Full Str C R</t>
  </si>
  <si>
    <t>530 JV Strings L</t>
  </si>
  <si>
    <t>531 JV Strings R</t>
  </si>
  <si>
    <t>532 JV Strings A</t>
  </si>
  <si>
    <t>533 JV Strings C</t>
  </si>
  <si>
    <t>534 F.Str mf A L</t>
  </si>
  <si>
    <t>535 F.Str mf A R</t>
  </si>
  <si>
    <t>536 F.Str mf B L</t>
  </si>
  <si>
    <t>537 F.Str mf B R</t>
  </si>
  <si>
    <t>538 F.Str mf C L</t>
  </si>
  <si>
    <t>539 F.Str mf C R</t>
  </si>
  <si>
    <t>540 F.Str mf lpL</t>
  </si>
  <si>
    <t>541 F.Str mf lpR</t>
  </si>
  <si>
    <t>542 F.Str ff A L</t>
  </si>
  <si>
    <t>543 F.Str ff A R</t>
  </si>
  <si>
    <t>544 F.Str ff B L</t>
  </si>
  <si>
    <t>545 F.Str ff B R</t>
  </si>
  <si>
    <t>546 F.Str ff C L</t>
  </si>
  <si>
    <t>547 F.Str ff C R</t>
  </si>
  <si>
    <t>548 F.Str ff lpL</t>
  </si>
  <si>
    <t>549 F.Str ff lpR</t>
  </si>
  <si>
    <t>550 F.StrStacA L</t>
  </si>
  <si>
    <t>551 F.StrStacA R</t>
  </si>
  <si>
    <t>552 F.StrStacB L</t>
  </si>
  <si>
    <t>553 F.StrStacB R</t>
  </si>
  <si>
    <t>554 F.StrStacC L</t>
  </si>
  <si>
    <t>555 F.StrStacC R</t>
  </si>
  <si>
    <t>556 ChmbrStrAtkA</t>
  </si>
  <si>
    <t>557 ChmbrStrAtkB</t>
  </si>
  <si>
    <t>558 ChmbrStrAtkC</t>
  </si>
  <si>
    <t>559 ChmbrStrRevA</t>
  </si>
  <si>
    <t>560 ChmbrStrRevB</t>
  </si>
  <si>
    <t>561 ChmbrStrRevC</t>
  </si>
  <si>
    <t>562 Vls Pizz A</t>
  </si>
  <si>
    <t>563 Vls Pizz B</t>
  </si>
  <si>
    <t>564 Vls Pizz C</t>
  </si>
  <si>
    <t>565 VlsPizzRev A</t>
  </si>
  <si>
    <t>566 VlsPizzRev B</t>
  </si>
  <si>
    <t>567 VlsPizzRev C</t>
  </si>
  <si>
    <t>568 Vcs Pizz A</t>
  </si>
  <si>
    <t>569 Vcs Pizz B</t>
  </si>
  <si>
    <t>570 Vcs Pizz C</t>
  </si>
  <si>
    <t>571 Unison Saw A</t>
  </si>
  <si>
    <t>572 Unison Saw B</t>
  </si>
  <si>
    <t>573 Unison Saw C</t>
  </si>
  <si>
    <t>574 Super Saw A</t>
  </si>
  <si>
    <t>575 Super Saw B</t>
  </si>
  <si>
    <t>576 Super Saw C</t>
  </si>
  <si>
    <t>577 Trance Saw A</t>
  </si>
  <si>
    <t>578 Trance Saw B</t>
  </si>
  <si>
    <t>579 Trance Saw C</t>
  </si>
  <si>
    <t>580 Warm Pad A</t>
  </si>
  <si>
    <t>581 Warm Pad B</t>
  </si>
  <si>
    <t>582 Warm Pad C</t>
  </si>
  <si>
    <t>583 OB2 Pad 1 A</t>
  </si>
  <si>
    <t>584 OB2 Pad 1 B</t>
  </si>
  <si>
    <t>585 OB2 Pad 1 C</t>
  </si>
  <si>
    <t>586 OB2 Pad 2 A</t>
  </si>
  <si>
    <t>587 OB2 Pad 2 B</t>
  </si>
  <si>
    <t>588 OB2 Pad 2 C</t>
  </si>
  <si>
    <t>589 D-50 HeavenA</t>
  </si>
  <si>
    <t>590 D-50 HeavenB</t>
  </si>
  <si>
    <t>591 D-50 HeavenC</t>
  </si>
  <si>
    <t>592 SBF Vox A</t>
  </si>
  <si>
    <t>593 SBF Vox B</t>
  </si>
  <si>
    <t>594 SBF Vox C</t>
  </si>
  <si>
    <t>595 Syn Vox 1 A</t>
  </si>
  <si>
    <t>596 Syn Vox 1 B</t>
  </si>
  <si>
    <t>597 Syn Vox 1 C</t>
  </si>
  <si>
    <t>598 Syn Vox 2 A</t>
  </si>
  <si>
    <t>599 Syn Vox 2 B</t>
  </si>
  <si>
    <t>600 Syn Vox 2 C</t>
  </si>
  <si>
    <t>601 Female Ahs A</t>
  </si>
  <si>
    <t>602 Female Ahs B</t>
  </si>
  <si>
    <t>603 Female Ahs C</t>
  </si>
  <si>
    <t>604 Female Oos A</t>
  </si>
  <si>
    <t>605 Female Oos B</t>
  </si>
  <si>
    <t>606 Female Oos C</t>
  </si>
  <si>
    <t>607 Male Aahs A</t>
  </si>
  <si>
    <t>608 Male Aahs B</t>
  </si>
  <si>
    <t>609 Male Aahs C</t>
  </si>
  <si>
    <t>610 Jazz Doos A</t>
  </si>
  <si>
    <t>611 Jazz Doos B</t>
  </si>
  <si>
    <t>612 Jazz Doos C</t>
  </si>
  <si>
    <t>613 Jz Doos Lp A</t>
  </si>
  <si>
    <t>614 Jz Doos Lp B</t>
  </si>
  <si>
    <t>615 Jz Doos Lp C</t>
  </si>
  <si>
    <t>616 Gospel Hum A</t>
  </si>
  <si>
    <t>617 Gospel Hum B</t>
  </si>
  <si>
    <t>618 Gospel Hum C</t>
  </si>
  <si>
    <t>619 Soprano Vox</t>
  </si>
  <si>
    <t>620 Kalimba</t>
  </si>
  <si>
    <t>621 JD Klmba Atk</t>
  </si>
  <si>
    <t>622 JD Wood Crak</t>
  </si>
  <si>
    <t>623 JD Gamelan 1</t>
  </si>
  <si>
    <t>624 JD Gamelan 2</t>
  </si>
  <si>
    <t>625 JD Log Drum</t>
  </si>
  <si>
    <t>626 JD Xylo</t>
  </si>
  <si>
    <t>627 Marimba</t>
  </si>
  <si>
    <t>628 Vibraphone</t>
  </si>
  <si>
    <t>629 Glocken</t>
  </si>
  <si>
    <t>630 Steel Drums</t>
  </si>
  <si>
    <t>631 D-50 Bell A</t>
  </si>
  <si>
    <t>632 D-50 Bell B</t>
  </si>
  <si>
    <t>633 D-50 Bell C</t>
  </si>
  <si>
    <t>634 D-50 Bell Lp</t>
  </si>
  <si>
    <t>635 Agogo Bell</t>
  </si>
  <si>
    <t>636 Agogo 2 Hi</t>
  </si>
  <si>
    <t>637 Agogo 2 Low</t>
  </si>
  <si>
    <t>638 Finger Bell</t>
  </si>
  <si>
    <t>639 JD Cowbell</t>
  </si>
  <si>
    <t>640 Tubular Bell</t>
  </si>
  <si>
    <t>641 Church Bell</t>
  </si>
  <si>
    <t>642 Mild CanWave</t>
  </si>
  <si>
    <t>643 JD Crystal</t>
  </si>
  <si>
    <t>644 Bell Organ</t>
  </si>
  <si>
    <t>645 Old DigiBell</t>
  </si>
  <si>
    <t>646 JD Bell Wave</t>
  </si>
  <si>
    <t>647 TinyBellWave</t>
  </si>
  <si>
    <t>648 Vib Wave</t>
  </si>
  <si>
    <t>649 JD Brt Digi</t>
  </si>
  <si>
    <t>650 Bagpipe</t>
  </si>
  <si>
    <t>651 Digital Vox</t>
  </si>
  <si>
    <t>652 JD WallyWave</t>
  </si>
  <si>
    <t>653 JD Brusky Lp</t>
  </si>
  <si>
    <t>654 Bright Form</t>
  </si>
  <si>
    <t>655 JD Nasty</t>
  </si>
  <si>
    <t>656 JD Spark Vox</t>
  </si>
  <si>
    <t>657 JD Cutters</t>
  </si>
  <si>
    <t>658 SBF Hrd Ld</t>
  </si>
  <si>
    <t>659 JD EML 5th</t>
  </si>
  <si>
    <t>660 Juno Saw HD</t>
  </si>
  <si>
    <t>661 TB303 Saw HD</t>
  </si>
  <si>
    <t>662 Custm Saw HD</t>
  </si>
  <si>
    <t>663 MG Saw HD</t>
  </si>
  <si>
    <t>664 DigitalSawHD</t>
  </si>
  <si>
    <t>665 P5 Saw HD</t>
  </si>
  <si>
    <t>666 Calc.Saw</t>
  </si>
  <si>
    <t>667 Calc.Saw inv</t>
  </si>
  <si>
    <t>668 Synth Saw</t>
  </si>
  <si>
    <t>669 JD Syn Saw</t>
  </si>
  <si>
    <t>670 JD Fat Saw</t>
  </si>
  <si>
    <t>671 JP-8 Saw</t>
  </si>
  <si>
    <t>672 D-50 Saw</t>
  </si>
  <si>
    <t>673 SH-1000 Saw</t>
  </si>
  <si>
    <t>674 SH-2 Saw</t>
  </si>
  <si>
    <t>675 LA-Saw</t>
  </si>
  <si>
    <t>676 Air Wave</t>
  </si>
  <si>
    <t>677 GR-300 Saw 1</t>
  </si>
  <si>
    <t>678 GR-300 Saw 2</t>
  </si>
  <si>
    <t>679 TB Dst Saw A</t>
  </si>
  <si>
    <t>680 TB Dst Saw B</t>
  </si>
  <si>
    <t>681 TB Dst Saw C</t>
  </si>
  <si>
    <t>682 Juno Sqr HD</t>
  </si>
  <si>
    <t>683 P5 Sqr HD</t>
  </si>
  <si>
    <t>684 Fat Square</t>
  </si>
  <si>
    <t>685 JP-8 Square</t>
  </si>
  <si>
    <t>686 SH-2 Square</t>
  </si>
  <si>
    <t>687 TB303 Sqr HD</t>
  </si>
  <si>
    <t>688 LA-Square</t>
  </si>
  <si>
    <t>689 TB DstSqr 1A</t>
  </si>
  <si>
    <t>690 TB DstSqr 1B</t>
  </si>
  <si>
    <t>691 TB DstSqr 1C</t>
  </si>
  <si>
    <t>692 Dist SquareA</t>
  </si>
  <si>
    <t>693 Dist SquareB</t>
  </si>
  <si>
    <t>694 Dist SquareC</t>
  </si>
  <si>
    <t>695 Juno Pls HD</t>
  </si>
  <si>
    <t>696 JP8 Pls 10HD</t>
  </si>
  <si>
    <t>697 JP8 Pls 15HD</t>
  </si>
  <si>
    <t>698 JP8 Pls 25HD</t>
  </si>
  <si>
    <t>699 JP8 Pls 30HD</t>
  </si>
  <si>
    <t>700 JP8 Pls 40HD</t>
  </si>
  <si>
    <t>701 JP8 Pls 45HD</t>
  </si>
  <si>
    <t>702 Syn Pulse 1</t>
  </si>
  <si>
    <t>703 Syn Pulse 2</t>
  </si>
  <si>
    <t>704 SH-1000 Puls</t>
  </si>
  <si>
    <t>705 700 Triangle</t>
  </si>
  <si>
    <t>706 Syn Triangle</t>
  </si>
  <si>
    <t>707 JD Triangle</t>
  </si>
  <si>
    <t>708 VS-Triangle</t>
  </si>
  <si>
    <t>709 Mild Form</t>
  </si>
  <si>
    <t>710 VS-Ramp</t>
  </si>
  <si>
    <t>711 Sync Sweep</t>
  </si>
  <si>
    <t>712 Sine</t>
  </si>
  <si>
    <t>713 JD Fine Wine</t>
  </si>
  <si>
    <t>714 Digi Loop</t>
  </si>
  <si>
    <t>715 JD MetalWind</t>
  </si>
  <si>
    <t>716 Atmosphere</t>
  </si>
  <si>
    <t>717 DigiSpectrum</t>
  </si>
  <si>
    <t>718 JD Vox Noise</t>
  </si>
  <si>
    <t>719 SynVox Noise</t>
  </si>
  <si>
    <t>720 Shaku Noise</t>
  </si>
  <si>
    <t>721 Digi Breath</t>
  </si>
  <si>
    <t>722 Agogo Noise</t>
  </si>
  <si>
    <t>723 Vinyl Noise</t>
  </si>
  <si>
    <t>724 White Noise</t>
  </si>
  <si>
    <t>725 Pink Noise</t>
  </si>
  <si>
    <t>726 Aah Formant</t>
  </si>
  <si>
    <t>727 Eeh Formant</t>
  </si>
  <si>
    <t>728 Iih Formant</t>
  </si>
  <si>
    <t>729 Ooh Formant</t>
  </si>
  <si>
    <t>730 Uuh Formant</t>
  </si>
  <si>
    <t>731 Metal Vox W1</t>
  </si>
  <si>
    <t>732 Metal Vox L1</t>
  </si>
  <si>
    <t>733 Metal Vox W2</t>
  </si>
  <si>
    <t>734 Metal Vox L2</t>
  </si>
  <si>
    <t>735 Metal Vox W3</t>
  </si>
  <si>
    <t>736 Metal Vox L3</t>
  </si>
  <si>
    <t>737 JD Rattles</t>
  </si>
  <si>
    <t>738 Xylo Seq.</t>
  </si>
  <si>
    <t>739 JD Anklungs</t>
  </si>
  <si>
    <t>740 JD Shami</t>
  </si>
  <si>
    <t>741 SynBassClick</t>
  </si>
  <si>
    <t>742 JD EP Atk</t>
  </si>
  <si>
    <t>743 Key On Click</t>
  </si>
  <si>
    <t>744 Org Click 1</t>
  </si>
  <si>
    <t>745 Org Click 2</t>
  </si>
  <si>
    <t>746 Org Click 3</t>
  </si>
  <si>
    <t>747 Org Click 4</t>
  </si>
  <si>
    <t>748 Org Click 5</t>
  </si>
  <si>
    <t>749 JD Sm Metal</t>
  </si>
  <si>
    <t>750 Ice Crash</t>
  </si>
  <si>
    <t>751 JD Switch</t>
  </si>
  <si>
    <t>752 JD Tuba Slap</t>
  </si>
  <si>
    <t>753 JD Plink</t>
  </si>
  <si>
    <t>754 JD Plunk</t>
  </si>
  <si>
    <t>755 TVF Trigger</t>
  </si>
  <si>
    <t>756 Hi Q</t>
  </si>
  <si>
    <t>757 Slap</t>
  </si>
  <si>
    <t>758 Stick</t>
  </si>
  <si>
    <t>759 Click</t>
  </si>
  <si>
    <t>760 Cutting Nz</t>
  </si>
  <si>
    <t>761 Ac.Bass Body</t>
  </si>
  <si>
    <t>762 Flute Pad Nz</t>
  </si>
  <si>
    <t>763 Applause</t>
  </si>
  <si>
    <t>764 River</t>
  </si>
  <si>
    <t>765 Thunder</t>
  </si>
  <si>
    <t>766 Monsoon</t>
  </si>
  <si>
    <t>767 Stream</t>
  </si>
  <si>
    <t>768 Bubble</t>
  </si>
  <si>
    <t>769 Bird Song</t>
  </si>
  <si>
    <t>770 Dog Bark</t>
  </si>
  <si>
    <t>771 Gallop</t>
  </si>
  <si>
    <t>772 Vint.Phone</t>
  </si>
  <si>
    <t>773 Office Phone</t>
  </si>
  <si>
    <t>774 Mobile Phone</t>
  </si>
  <si>
    <t>775 Door Creak</t>
  </si>
  <si>
    <t>776 Door Slam</t>
  </si>
  <si>
    <t>777 Car Engine</t>
  </si>
  <si>
    <t>778 Car Slip</t>
  </si>
  <si>
    <t>779 Car Pass</t>
  </si>
  <si>
    <t>780 Crash Seq.</t>
  </si>
  <si>
    <t>781 Gun Shot</t>
  </si>
  <si>
    <t>782 Siren</t>
  </si>
  <si>
    <t>783 Train Pass</t>
  </si>
  <si>
    <t>784 Airplane</t>
  </si>
  <si>
    <t>785 Helicopter</t>
  </si>
  <si>
    <t>786 Space Voyage</t>
  </si>
  <si>
    <t>787 Blow Loop</t>
  </si>
  <si>
    <t>788 Laugh</t>
  </si>
  <si>
    <t>789 Scream</t>
  </si>
  <si>
    <t>790 Punch</t>
  </si>
  <si>
    <t>791 Heartbeat</t>
  </si>
  <si>
    <t>792 Footsteps</t>
  </si>
  <si>
    <t>793 Machine Gun</t>
  </si>
  <si>
    <t>794 Laser</t>
  </si>
  <si>
    <t>795 Thunder Lp</t>
  </si>
  <si>
    <t>796 Ac.Bass Nz</t>
  </si>
  <si>
    <t>797 E.Bass Nz 1</t>
  </si>
  <si>
    <t>798 E.Bass Nz 2</t>
  </si>
  <si>
    <t>799 E.Bass Slide</t>
  </si>
  <si>
    <t>800 Fng.EB2 Sld</t>
  </si>
  <si>
    <t>801 DistGtr Nz 1</t>
  </si>
  <si>
    <t>802 DistGtr Nz 2</t>
  </si>
  <si>
    <t>803 DistGtr Nz 3</t>
  </si>
  <si>
    <t>804 Gtr Fret Nz1</t>
  </si>
  <si>
    <t>805 Gtr Fret Nz2</t>
  </si>
  <si>
    <t>806 ClassicHseHt</t>
  </si>
  <si>
    <t>807 Narrow Hit 1</t>
  </si>
  <si>
    <t>808 Narrow Hit 2</t>
  </si>
  <si>
    <t>809 Euro Hit</t>
  </si>
  <si>
    <t>810 Dist Hit</t>
  </si>
  <si>
    <t>811 Thin Beef</t>
  </si>
  <si>
    <t>812 Tao Hit</t>
  </si>
  <si>
    <t>813 Smear Hit 1</t>
  </si>
  <si>
    <t>814 Smear Hit 2</t>
  </si>
  <si>
    <t>815 LoFi Min Hit</t>
  </si>
  <si>
    <t>816 Orch. Hit</t>
  </si>
  <si>
    <t>817 Punch Hit</t>
  </si>
  <si>
    <t>818 O'Skool Hit</t>
  </si>
  <si>
    <t>819 Philly Hit</t>
  </si>
  <si>
    <t>820 Scratch 1</t>
  </si>
  <si>
    <t>821 Scratch 2</t>
  </si>
  <si>
    <t>822 Scratch 3</t>
  </si>
  <si>
    <t>823 Scratch 4</t>
  </si>
  <si>
    <t>824 Scratch 5</t>
  </si>
  <si>
    <t>825 Scratch 6</t>
  </si>
  <si>
    <t>826 Scratch 7</t>
  </si>
  <si>
    <t>827 Scratch 9</t>
  </si>
  <si>
    <t>828 Scratch 10</t>
  </si>
  <si>
    <t>829 Scratch Push</t>
  </si>
  <si>
    <t>830 Scratch Pull</t>
  </si>
  <si>
    <t>831 MG Zap 1</t>
  </si>
  <si>
    <t>832 MG Zap 2</t>
  </si>
  <si>
    <t>833 MG Zap 3</t>
  </si>
  <si>
    <t>834 MG Zap 4</t>
  </si>
  <si>
    <t>835 MG Zap 5</t>
  </si>
  <si>
    <t>836 MG Zap 6</t>
  </si>
  <si>
    <t>837 MG Zap 7</t>
  </si>
  <si>
    <t>838 MG Zap 8</t>
  </si>
  <si>
    <t>839 MG Zap 9</t>
  </si>
  <si>
    <t>840 MG Zap 10</t>
  </si>
  <si>
    <t>841 MG Zap 11</t>
  </si>
  <si>
    <t>842 MG Blip</t>
  </si>
  <si>
    <t>843 Beam HiQ</t>
  </si>
  <si>
    <t>844 MG Attack</t>
  </si>
  <si>
    <t>845 Syn Low Atk1</t>
  </si>
  <si>
    <t>846 Syn Low Atk2</t>
  </si>
  <si>
    <t>847 Syn Hrd Atk1</t>
  </si>
  <si>
    <t>848 Syn Hrd Atk2</t>
  </si>
  <si>
    <t>849 Syn Hrd Atk3</t>
  </si>
  <si>
    <t>850 Syn Hrd Atk4</t>
  </si>
  <si>
    <t>851 Syn Mtl Atk1</t>
  </si>
  <si>
    <t>852 Syn Mtl Atk2</t>
  </si>
  <si>
    <t>853 Syn Swt Atk1</t>
  </si>
  <si>
    <t>854 Syn Swt Atk2</t>
  </si>
  <si>
    <t>855 Syn Swt Atk3</t>
  </si>
  <si>
    <t>856 Syn Swt Atk4</t>
  </si>
  <si>
    <t>857 Syn Swt Atk5</t>
  </si>
  <si>
    <t>858 Syn Swt Atk6</t>
  </si>
  <si>
    <t>859 Syn Swt Atk7</t>
  </si>
  <si>
    <t>860 WD Kick mf L</t>
  </si>
  <si>
    <t>861 WD Kick mf R</t>
  </si>
  <si>
    <t>862 WD Kick f L</t>
  </si>
  <si>
    <t>863 WD Kick f R</t>
  </si>
  <si>
    <t>864 WD Kick ff L</t>
  </si>
  <si>
    <t>865 WD Kick ff R</t>
  </si>
  <si>
    <t>866 LD Kick mf L</t>
  </si>
  <si>
    <t>867 LD Kick mf R</t>
  </si>
  <si>
    <t>868 LD Kick f L</t>
  </si>
  <si>
    <t>869 LD Kick f R</t>
  </si>
  <si>
    <t>870 LD Kick ff L</t>
  </si>
  <si>
    <t>871 LD Kick ff R</t>
  </si>
  <si>
    <t>872 TY Kick mf L</t>
  </si>
  <si>
    <t>873 TY Kick mf R</t>
  </si>
  <si>
    <t>874 TY Kick f L</t>
  </si>
  <si>
    <t>875 TY Kick f R</t>
  </si>
  <si>
    <t>876 TY Kick ff L</t>
  </si>
  <si>
    <t>877 TY Kick ff R</t>
  </si>
  <si>
    <t>878 SF Kick 1 L</t>
  </si>
  <si>
    <t>879 SF Kick 1 R</t>
  </si>
  <si>
    <t>880 SF Kick 2 L</t>
  </si>
  <si>
    <t>881 SF Kick 2 R</t>
  </si>
  <si>
    <t>882 Reg.Kick p L</t>
  </si>
  <si>
    <t>883 Reg.Kick p R</t>
  </si>
  <si>
    <t>884 Reg.Kick f L</t>
  </si>
  <si>
    <t>885 Reg.Kick f R</t>
  </si>
  <si>
    <t>886 Reg.Kick ffL</t>
  </si>
  <si>
    <t>887 Reg.Kick ffR</t>
  </si>
  <si>
    <t>888 Rock Kick p</t>
  </si>
  <si>
    <t>889 Rock Kick f</t>
  </si>
  <si>
    <t>890 Jazz Kick p</t>
  </si>
  <si>
    <t>891 Jazz Kick mf</t>
  </si>
  <si>
    <t>892 Jazz Kick f</t>
  </si>
  <si>
    <t>893 Dry Kick 1</t>
  </si>
  <si>
    <t>894 Tight Kick</t>
  </si>
  <si>
    <t>895 Old Kick</t>
  </si>
  <si>
    <t>896 Jz Dry Kick</t>
  </si>
  <si>
    <t>897 Dry Kick 2</t>
  </si>
  <si>
    <t>898 Dry Kick 3</t>
  </si>
  <si>
    <t>899 Power Kick</t>
  </si>
  <si>
    <t>900 R&amp;B Kick L</t>
  </si>
  <si>
    <t>901 R&amp;B Kick R</t>
  </si>
  <si>
    <t>902 Rk CmpKick L</t>
  </si>
  <si>
    <t>903 Rk CmpKick R</t>
  </si>
  <si>
    <t>904 MaxLow Kick1</t>
  </si>
  <si>
    <t>905 MaxLow Kick2</t>
  </si>
  <si>
    <t>906 Dist Kick</t>
  </si>
  <si>
    <t>907 FB Kick</t>
  </si>
  <si>
    <t>908 Rough Kick1</t>
  </si>
  <si>
    <t>909 Rough Kick2</t>
  </si>
  <si>
    <t>910 Rough Kick3</t>
  </si>
  <si>
    <t>911 PlasticKick1</t>
  </si>
  <si>
    <t>912 70's Kick</t>
  </si>
  <si>
    <t>913 Dance Kick</t>
  </si>
  <si>
    <t>914 HipHop Kick1</t>
  </si>
  <si>
    <t>915 HipHop Kick2</t>
  </si>
  <si>
    <t>916 AnalogKick 1</t>
  </si>
  <si>
    <t>917 PlasticKick2</t>
  </si>
  <si>
    <t>918 PlasticKick3</t>
  </si>
  <si>
    <t>919 TR909 Kick 1</t>
  </si>
  <si>
    <t>920 TR909 Kick 2</t>
  </si>
  <si>
    <t>921 AnalogKick 2</t>
  </si>
  <si>
    <t>922 TR909 Kick 3</t>
  </si>
  <si>
    <t>923 AnalogKick 3</t>
  </si>
  <si>
    <t>924 AnalogKick 4</t>
  </si>
  <si>
    <t>925 AnalogKick 5</t>
  </si>
  <si>
    <t>926 AnalogKick 6</t>
  </si>
  <si>
    <t>927 TR606DstKick</t>
  </si>
  <si>
    <t>928 TR808 Kick</t>
  </si>
  <si>
    <t>929 TR909 Kick 4</t>
  </si>
  <si>
    <t>930 TR909 Kick 5</t>
  </si>
  <si>
    <t>931 SH32 Kick</t>
  </si>
  <si>
    <t>932 TR707 Kick</t>
  </si>
  <si>
    <t>933 TR909 Kick 6</t>
  </si>
  <si>
    <t>934 Mix Kick 1 L</t>
  </si>
  <si>
    <t>935 Mix Kick 1 R</t>
  </si>
  <si>
    <t>936 Mix Kick 2 L</t>
  </si>
  <si>
    <t>937 Mix Kick 2 R</t>
  </si>
  <si>
    <t>938 Mix Kick 3</t>
  </si>
  <si>
    <t>939 Mix Kick 4</t>
  </si>
  <si>
    <t>940 Mix Kick 5</t>
  </si>
  <si>
    <t>941 Dry Kick 4</t>
  </si>
  <si>
    <t>942 Small Kick</t>
  </si>
  <si>
    <t>943 Vint Kick</t>
  </si>
  <si>
    <t>944 Sweep Bass</t>
  </si>
  <si>
    <t>945 WD Snr p L</t>
  </si>
  <si>
    <t>946 WD Snr p R</t>
  </si>
  <si>
    <t>947 WD Snr mf L</t>
  </si>
  <si>
    <t>948 WD Snr mf R</t>
  </si>
  <si>
    <t>949 WD Snr f L</t>
  </si>
  <si>
    <t>950 WD Snr f R</t>
  </si>
  <si>
    <t>951 WD Snr ff L</t>
  </si>
  <si>
    <t>952 WD Snr ff R</t>
  </si>
  <si>
    <t>953 WD Rim p L</t>
  </si>
  <si>
    <t>954 WD Rim p R</t>
  </si>
  <si>
    <t>955 WD Rim mf L</t>
  </si>
  <si>
    <t>956 WD Rim mf R</t>
  </si>
  <si>
    <t>957 WD Rim f L</t>
  </si>
  <si>
    <t>958 WD Rim f R</t>
  </si>
  <si>
    <t>959 WD Rim ff L</t>
  </si>
  <si>
    <t>960 WD Rim ff R</t>
  </si>
  <si>
    <t>961 LD Snr p L</t>
  </si>
  <si>
    <t>962 LD Snr p R</t>
  </si>
  <si>
    <t>963 LD Snr mf L</t>
  </si>
  <si>
    <t>964 LD Snr mf R</t>
  </si>
  <si>
    <t>965 LD Snr f L</t>
  </si>
  <si>
    <t>966 LD Snr f R</t>
  </si>
  <si>
    <t>967 LD Snr ff L</t>
  </si>
  <si>
    <t>968 LD Snr ff R</t>
  </si>
  <si>
    <t>969 LD Rim mf L</t>
  </si>
  <si>
    <t>970 LD Rim mf R</t>
  </si>
  <si>
    <t>971 LD Rim f L</t>
  </si>
  <si>
    <t>972 LD Rim f R</t>
  </si>
  <si>
    <t>973 LD Rim ff L</t>
  </si>
  <si>
    <t>974 LD Rim ff R</t>
  </si>
  <si>
    <t>975 TY Snr p L</t>
  </si>
  <si>
    <t>976 TY Snr p R</t>
  </si>
  <si>
    <t>977 TY Snr mf L</t>
  </si>
  <si>
    <t>978 TY Snr mf R</t>
  </si>
  <si>
    <t>979 TY Snr f L</t>
  </si>
  <si>
    <t>980 TY Snr f R</t>
  </si>
  <si>
    <t>981 TY Snr ff L</t>
  </si>
  <si>
    <t>982 TY Snr ff R</t>
  </si>
  <si>
    <t>983 TY Rim p L</t>
  </si>
  <si>
    <t>984 TY Rim p R</t>
  </si>
  <si>
    <t>985 TY Rim mf L</t>
  </si>
  <si>
    <t>986 TY Rim mf R</t>
  </si>
  <si>
    <t>987 TY Rim f L</t>
  </si>
  <si>
    <t>988 TY Rim f R</t>
  </si>
  <si>
    <t>989 TY Rim ff L</t>
  </si>
  <si>
    <t>990 TY Rim ff R</t>
  </si>
  <si>
    <t>991 SF Snr p L</t>
  </si>
  <si>
    <t>992 SF Snr p R</t>
  </si>
  <si>
    <t>993 SF Snr mf L</t>
  </si>
  <si>
    <t>994 SF Snr mf R</t>
  </si>
  <si>
    <t>995 SF Snr f L</t>
  </si>
  <si>
    <t>996 SF Snr f R</t>
  </si>
  <si>
    <t>997 SF Snr ff L</t>
  </si>
  <si>
    <t>998 SF Snr ff R</t>
  </si>
  <si>
    <t>999 SF Rim p L</t>
  </si>
  <si>
    <t>1000 SF Rim p R</t>
  </si>
  <si>
    <t>1001 SF Rim mf L</t>
  </si>
  <si>
    <t>1002 SF Rim mf R</t>
  </si>
  <si>
    <t>1003 SF Rim f L</t>
  </si>
  <si>
    <t>1004 SF Rim f R</t>
  </si>
  <si>
    <t>1005 SF Rim ff L</t>
  </si>
  <si>
    <t>1006 SF Rim ff R</t>
  </si>
  <si>
    <t>1007 Reg.Snr1 p L</t>
  </si>
  <si>
    <t>1008 Reg.Snr1 p R</t>
  </si>
  <si>
    <t>1009 Reg.Snr1mf L</t>
  </si>
  <si>
    <t>1010 Reg.Snr1mf R</t>
  </si>
  <si>
    <t>1011 Reg.Snr1 f L</t>
  </si>
  <si>
    <t>1012 Reg.Snr1 f R</t>
  </si>
  <si>
    <t>1013 Reg.Snr1ff L</t>
  </si>
  <si>
    <t>1014 Reg.Snr1ff R</t>
  </si>
  <si>
    <t>1015 Reg.Snr2 p L</t>
  </si>
  <si>
    <t>1016 Reg.Snr2 p R</t>
  </si>
  <si>
    <t>1017 Reg.Snr2 f L</t>
  </si>
  <si>
    <t>1018 Reg.Snr2 f R</t>
  </si>
  <si>
    <t>1019 Reg.Snr2ff L</t>
  </si>
  <si>
    <t>1020 Reg.Snr2ff R</t>
  </si>
  <si>
    <t>1021 Amb.Snr1 p L</t>
  </si>
  <si>
    <t>1022 Amb.Snr1 p R</t>
  </si>
  <si>
    <t>1023 Amb.Snr1 f L</t>
  </si>
  <si>
    <t>1024 Amb.Snr1 f R</t>
  </si>
  <si>
    <t>1025 Amb.Snr2 p L</t>
  </si>
  <si>
    <t>1026 Amb.Snr2 p R</t>
  </si>
  <si>
    <t>1027 Amb.Snr2 f L</t>
  </si>
  <si>
    <t>1028 Amb.Snr2 f R</t>
  </si>
  <si>
    <t>1029 Piccolo Snr</t>
  </si>
  <si>
    <t>1030 Maple Snr</t>
  </si>
  <si>
    <t>1031 Light Snr ff</t>
  </si>
  <si>
    <t>1032 Click Snr p</t>
  </si>
  <si>
    <t>1033 Click Snr ff</t>
  </si>
  <si>
    <t>1034 SF SnrGst1 L</t>
  </si>
  <si>
    <t>1035 SF SnrGst1 R</t>
  </si>
  <si>
    <t>1036 SF SnrGst2 L</t>
  </si>
  <si>
    <t>1037 SF SnrGst2 R</t>
  </si>
  <si>
    <t>1038 Reg.SnrGst L</t>
  </si>
  <si>
    <t>1039 Reg.SnrGst R</t>
  </si>
  <si>
    <t>1040 Sft Snr Gst</t>
  </si>
  <si>
    <t>1041 Jazz Snr p</t>
  </si>
  <si>
    <t>1042 Jazz Snr mf</t>
  </si>
  <si>
    <t>1043 Jazz Snr f</t>
  </si>
  <si>
    <t>1044 Jazz Rim p</t>
  </si>
  <si>
    <t>1045 Jz Brsh Slap</t>
  </si>
  <si>
    <t>1046 Jz Brsh Swsh</t>
  </si>
  <si>
    <t>1047 Swish&amp;Turn p</t>
  </si>
  <si>
    <t>1048 Swish&amp;Turn f</t>
  </si>
  <si>
    <t>1049 Snr Roll Lp</t>
  </si>
  <si>
    <t>1050 BrushRoll Lp</t>
  </si>
  <si>
    <t>1051 Soft Jz Roll</t>
  </si>
  <si>
    <t>1052 Concert SD</t>
  </si>
  <si>
    <t>1053 GoodOld Snr1</t>
  </si>
  <si>
    <t>1054 GoodOld Snr2</t>
  </si>
  <si>
    <t>1055 GoodOld Snr3</t>
  </si>
  <si>
    <t>1056 GoodOld Snr4</t>
  </si>
  <si>
    <t>1057 GoodOld Snr5</t>
  </si>
  <si>
    <t>1058 GoodOld Snr6</t>
  </si>
  <si>
    <t>1059 Dirty Snr 1</t>
  </si>
  <si>
    <t>1060 Dirty Snr 2</t>
  </si>
  <si>
    <t>1061 Dirty Snr 3</t>
  </si>
  <si>
    <t>1062 Dirty Snr 4</t>
  </si>
  <si>
    <t>1063 Dirty Snr 5</t>
  </si>
  <si>
    <t>1064 Dirty Snr 6</t>
  </si>
  <si>
    <t>1065 Dirty Snr 7</t>
  </si>
  <si>
    <t>1066 Grit Snr 1</t>
  </si>
  <si>
    <t>1067 Grit Snr 2</t>
  </si>
  <si>
    <t>1068 Grit Snr 3</t>
  </si>
  <si>
    <t>1069 LoBit SnrFlm</t>
  </si>
  <si>
    <t>1070 Lo-Bit Snr 1</t>
  </si>
  <si>
    <t>1071 Lo-Bit Snr 2</t>
  </si>
  <si>
    <t>1072 MrchCmp Snr</t>
  </si>
  <si>
    <t>1073 Reggae Snr</t>
  </si>
  <si>
    <t>1074 DR660 Snr</t>
  </si>
  <si>
    <t>1075 Jngl pkt Snr</t>
  </si>
  <si>
    <t>1076 Pocket Snr</t>
  </si>
  <si>
    <t>1077 Flange Snr</t>
  </si>
  <si>
    <t>1078 Analog Snr 1</t>
  </si>
  <si>
    <t>1079 Analog Snr 2</t>
  </si>
  <si>
    <t>1080 Analog Snr 3</t>
  </si>
  <si>
    <t>1081 Tiny Snare</t>
  </si>
  <si>
    <t>1082 R&amp;B ShrtSnr1</t>
  </si>
  <si>
    <t>1083 TR909 Snr 1</t>
  </si>
  <si>
    <t>1084 TR909 Snr 2</t>
  </si>
  <si>
    <t>1085 TR909 Snr 3</t>
  </si>
  <si>
    <t>1086 TR909 Snr 4</t>
  </si>
  <si>
    <t>1087 TR909 Snr 5</t>
  </si>
  <si>
    <t>1088 TR909 Snr 6</t>
  </si>
  <si>
    <t>1089 TR808 Snr 1</t>
  </si>
  <si>
    <t>1090 TR808 Snr 2</t>
  </si>
  <si>
    <t>1091 TR808 Snr 3</t>
  </si>
  <si>
    <t>1092 TR808 Snr 4</t>
  </si>
  <si>
    <t>1093 Lite Snare</t>
  </si>
  <si>
    <t>1094 TR808 Snr 5</t>
  </si>
  <si>
    <t>1095 TR808 Snr 6</t>
  </si>
  <si>
    <t>1096 TR606 Snr 1</t>
  </si>
  <si>
    <t>1097 TR606 Snr 2</t>
  </si>
  <si>
    <t>1098 CR78 Snare</t>
  </si>
  <si>
    <t>1099 Urbn Sn Roll</t>
  </si>
  <si>
    <t>1100 Vint Snr 1</t>
  </si>
  <si>
    <t>1101 Vint Snr 2</t>
  </si>
  <si>
    <t>1102 Vint Snr 3</t>
  </si>
  <si>
    <t>1103 Vint Snr 4</t>
  </si>
  <si>
    <t>1104 Dist Snr</t>
  </si>
  <si>
    <t>1105 Short Snr1</t>
  </si>
  <si>
    <t>1106 Short Snr2</t>
  </si>
  <si>
    <t>1107 WD CStk mf L</t>
  </si>
  <si>
    <t>1108 WD CStk mf R</t>
  </si>
  <si>
    <t>1109 WD CStk f L</t>
  </si>
  <si>
    <t>1110 WD CStk f R</t>
  </si>
  <si>
    <t>1111 LD CStk mf L</t>
  </si>
  <si>
    <t>1112 LD CStk mf R</t>
  </si>
  <si>
    <t>1113 LD CStk f L</t>
  </si>
  <si>
    <t>1114 LD CStk f R</t>
  </si>
  <si>
    <t>1115 TY CStk mf L</t>
  </si>
  <si>
    <t>1116 TY CStk mf R</t>
  </si>
  <si>
    <t>1117 TY CStk f L</t>
  </si>
  <si>
    <t>1118 TY CStk f R</t>
  </si>
  <si>
    <t>1119 SF CStk p L</t>
  </si>
  <si>
    <t>1120 SF CStk p R</t>
  </si>
  <si>
    <t>1121 SF CStk f L</t>
  </si>
  <si>
    <t>1122 SF CStk f R</t>
  </si>
  <si>
    <t>1123 Reg.Stick L</t>
  </si>
  <si>
    <t>1124 Reg.Stick R</t>
  </si>
  <si>
    <t>1125 Soft Stick</t>
  </si>
  <si>
    <t>1126 Hard Stick</t>
  </si>
  <si>
    <t>1127 Wild Stick</t>
  </si>
  <si>
    <t>1128 Lo-Bit Stk 1</t>
  </si>
  <si>
    <t>1129 Lo-Bit Stk 2</t>
  </si>
  <si>
    <t>1130 Dry Stick 1</t>
  </si>
  <si>
    <t>1131 Dry Stick 2</t>
  </si>
  <si>
    <t>1132 Dry Stick 3</t>
  </si>
  <si>
    <t>1133 R8 Comp Rim</t>
  </si>
  <si>
    <t>1134 R&amp;B ShrtRim1</t>
  </si>
  <si>
    <t>1135 R&amp;B ShrtRim2</t>
  </si>
  <si>
    <t>1136 TR909 Rim</t>
  </si>
  <si>
    <t>1137 TR808 Rim</t>
  </si>
  <si>
    <t>1138 LD L.Tom mf</t>
  </si>
  <si>
    <t>1139 LD L.Tom f</t>
  </si>
  <si>
    <t>1140 LD L.Tom ff</t>
  </si>
  <si>
    <t>1141 LD M.Tom mf</t>
  </si>
  <si>
    <t>1142 LD M.Tom f</t>
  </si>
  <si>
    <t>1143 LD M.Tom ff</t>
  </si>
  <si>
    <t>1144 LD H.Tom mf</t>
  </si>
  <si>
    <t>1145 LD H.Tom f</t>
  </si>
  <si>
    <t>1146 LD H.Tom ff</t>
  </si>
  <si>
    <t>1147 TY L.Tom mf</t>
  </si>
  <si>
    <t>1148 TY L.Tom f</t>
  </si>
  <si>
    <t>1149 TY L.Tom ff</t>
  </si>
  <si>
    <t>1150 TY M.Tom mf</t>
  </si>
  <si>
    <t>1151 TY M.Tom f</t>
  </si>
  <si>
    <t>1152 TY M.Tom ff</t>
  </si>
  <si>
    <t>1153 TY H.Tom mf</t>
  </si>
  <si>
    <t>1154 TY H.Tom f</t>
  </si>
  <si>
    <t>1155 TY H.Tom ff</t>
  </si>
  <si>
    <t>1156 RR F.Tom mp</t>
  </si>
  <si>
    <t>1157 RR F.Tom f</t>
  </si>
  <si>
    <t>1158 RR F.Tom ff</t>
  </si>
  <si>
    <t>1159 SF L.Tom mf</t>
  </si>
  <si>
    <t>1160 SF L.Tom ff</t>
  </si>
  <si>
    <t>1161 SF M.Tom mf</t>
  </si>
  <si>
    <t>1162 SF M.Tom f</t>
  </si>
  <si>
    <t>1163 SF M.Tom ff</t>
  </si>
  <si>
    <t>1164 SF H.Tom mf</t>
  </si>
  <si>
    <t>1165 SF H.Tom f</t>
  </si>
  <si>
    <t>1166 SF H.Tom ff</t>
  </si>
  <si>
    <t>1167 RR FT Flm ff</t>
  </si>
  <si>
    <t>1168 SF LT Flm ff</t>
  </si>
  <si>
    <t>1169 SF MT Flm f</t>
  </si>
  <si>
    <t>1170 SF HT Flm p</t>
  </si>
  <si>
    <t>1171 SF HT Flm f</t>
  </si>
  <si>
    <t>1172 SF HT Flm ff</t>
  </si>
  <si>
    <t>1173 Reg.F.Tom p</t>
  </si>
  <si>
    <t>1174 Reg.F.Tom f</t>
  </si>
  <si>
    <t>1175 Reg.L.Tom p</t>
  </si>
  <si>
    <t>1176 Reg.L.Tom f</t>
  </si>
  <si>
    <t>1177 Reg.M.Tom p</t>
  </si>
  <si>
    <t>1178 Reg.M.Tom f</t>
  </si>
  <si>
    <t>1179 Reg.H.Tom p</t>
  </si>
  <si>
    <t>1180 Reg.H.Tom f</t>
  </si>
  <si>
    <t>1181 Reg.L.TomFlm</t>
  </si>
  <si>
    <t>1182 Reg.M.TomFlm</t>
  </si>
  <si>
    <t>1183 Reg.H.TomFlm</t>
  </si>
  <si>
    <t>1184 Jazz Lo Tom</t>
  </si>
  <si>
    <t>1185 Jazz Mid Tom</t>
  </si>
  <si>
    <t>1186 Jazz Hi Tom</t>
  </si>
  <si>
    <t>1187 Jazz Lo Flm</t>
  </si>
  <si>
    <t>1188 Jazz Mid Flm</t>
  </si>
  <si>
    <t>1189 Jazz Hi Flm</t>
  </si>
  <si>
    <t>1190 Sharp Lo Tom</t>
  </si>
  <si>
    <t>1191 Sharp Hi Tom</t>
  </si>
  <si>
    <t>1192 Dry Lo Tom</t>
  </si>
  <si>
    <t>1193 TR909 Tom</t>
  </si>
  <si>
    <t>1194 TR909 DstTom</t>
  </si>
  <si>
    <t>1195 TR808 Tom</t>
  </si>
  <si>
    <t>1196 TR606 Tom</t>
  </si>
  <si>
    <t>1197 Deep Tom</t>
  </si>
  <si>
    <t>1198 Reg.CHH 1 p</t>
  </si>
  <si>
    <t>1199 Reg.CHH 1 mf</t>
  </si>
  <si>
    <t>1200 Reg.CHH 1 f</t>
  </si>
  <si>
    <t>1201 Reg.CHH 1 ff</t>
  </si>
  <si>
    <t>1202 Reg.CHH 2 mf</t>
  </si>
  <si>
    <t>1203 Reg.CHH 2 f</t>
  </si>
  <si>
    <t>1204 Reg.CHH 2 ff</t>
  </si>
  <si>
    <t>1205 Reg.PHH mf</t>
  </si>
  <si>
    <t>1206 Reg.PHH f</t>
  </si>
  <si>
    <t>1207 Reg.OHH mf</t>
  </si>
  <si>
    <t>1208 Reg.OHH f</t>
  </si>
  <si>
    <t>1209 Reg.OHH ff</t>
  </si>
  <si>
    <t>1210 Rock CHH1 mf</t>
  </si>
  <si>
    <t>1211 Rock CHH1 f</t>
  </si>
  <si>
    <t>1212 Rock CHH2 mf</t>
  </si>
  <si>
    <t>1213 Rock CHH2 f</t>
  </si>
  <si>
    <t>1214 Rock OHH</t>
  </si>
  <si>
    <t>1215 Lo-Bit CHH 1</t>
  </si>
  <si>
    <t>1216 Lo-Bit CHH 2</t>
  </si>
  <si>
    <t>1217 Lo-Bit CHH 3</t>
  </si>
  <si>
    <t>1218 Lo-Bit CHH 4</t>
  </si>
  <si>
    <t>1219 Lo-Bit CHH 5</t>
  </si>
  <si>
    <t>1220 HipHop CHH</t>
  </si>
  <si>
    <t>1221 TR909 CHH 1</t>
  </si>
  <si>
    <t>1222 TR909 CHH 2</t>
  </si>
  <si>
    <t>1223 TR808 CHH 1</t>
  </si>
  <si>
    <t>1224 TR808 CHH 2</t>
  </si>
  <si>
    <t>1225 TR606 CHH 1</t>
  </si>
  <si>
    <t>1226 TR606 CHH 2</t>
  </si>
  <si>
    <t>1227 TR606 DstCHH</t>
  </si>
  <si>
    <t>1228 Lite CHH</t>
  </si>
  <si>
    <t>1229 CR78 CHH</t>
  </si>
  <si>
    <t>1230 Dance CHH</t>
  </si>
  <si>
    <t>1231 Noise CHH</t>
  </si>
  <si>
    <t>1232 Hip PHH</t>
  </si>
  <si>
    <t>1233 TR909 PHH 1</t>
  </si>
  <si>
    <t>1234 TR909 PHH 2</t>
  </si>
  <si>
    <t>1235 TR808 PHH</t>
  </si>
  <si>
    <t>1236 TR606 PHH 1</t>
  </si>
  <si>
    <t>1237 TR606 PHH 2</t>
  </si>
  <si>
    <t>1238 Lo-Bit PHH</t>
  </si>
  <si>
    <t>1239 Lo-Bit OHH 1</t>
  </si>
  <si>
    <t>1240 Lo-Bit OHH 2</t>
  </si>
  <si>
    <t>1241 Lo-Bit OHH 3</t>
  </si>
  <si>
    <t>1242 HipHop OHH</t>
  </si>
  <si>
    <t>1243 TR909 OHH 1</t>
  </si>
  <si>
    <t>1244 TR909 OHH 2</t>
  </si>
  <si>
    <t>1245 TR808 OHH 1</t>
  </si>
  <si>
    <t>1246 TR808 OHH 2</t>
  </si>
  <si>
    <t>1247 TR606 OHH</t>
  </si>
  <si>
    <t>1248 Lite OHH</t>
  </si>
  <si>
    <t>1249 CR78 OHH</t>
  </si>
  <si>
    <t>1250 Noise OHH</t>
  </si>
  <si>
    <t>1251 Noise OHH 2</t>
  </si>
  <si>
    <t>1252 Crash Cym1 p</t>
  </si>
  <si>
    <t>1253 Crash Cym1 f</t>
  </si>
  <si>
    <t>1254 Crash Cym 2</t>
  </si>
  <si>
    <t>1255 Rock Crash 1</t>
  </si>
  <si>
    <t>1256 Rock Crash 2</t>
  </si>
  <si>
    <t>1257 Splash Cym</t>
  </si>
  <si>
    <t>1258 Jazz Crash</t>
  </si>
  <si>
    <t>1259 TR909 Crash</t>
  </si>
  <si>
    <t>1260 TR909 Crash2</t>
  </si>
  <si>
    <t>1261 TR808 Cym</t>
  </si>
  <si>
    <t>1262 TR606 Cym 2</t>
  </si>
  <si>
    <t>1263 Ride Cymbal</t>
  </si>
  <si>
    <t>1264 Ride Bell</t>
  </si>
  <si>
    <t>1265 Rock Rd Cup</t>
  </si>
  <si>
    <t>1266 Rock Rd Edge</t>
  </si>
  <si>
    <t>1267 Jazz Ride p</t>
  </si>
  <si>
    <t>1268 Jazz Ride mf</t>
  </si>
  <si>
    <t>1269 TR909 Ride</t>
  </si>
  <si>
    <t>1270 China Cymbal</t>
  </si>
  <si>
    <t>1271 Concert Cym</t>
  </si>
  <si>
    <t>1272 Concert Cym2</t>
  </si>
  <si>
    <t>1273 Hand Clap</t>
  </si>
  <si>
    <t>1274 Club Clap</t>
  </si>
  <si>
    <t>1275 Real Clap</t>
  </si>
  <si>
    <t>1276 Bright Clap</t>
  </si>
  <si>
    <t>1277 R8 Clap</t>
  </si>
  <si>
    <t>1278 Gospel Clap</t>
  </si>
  <si>
    <t>1279 Amb Clap</t>
  </si>
  <si>
    <t>1280 Hip Clap</t>
  </si>
  <si>
    <t>1281 Funk Clap</t>
  </si>
  <si>
    <t>1282 Claptail</t>
  </si>
  <si>
    <t>1283 TR808 Clap 1</t>
  </si>
  <si>
    <t>1284 Disc Clap</t>
  </si>
  <si>
    <t>1285 Dist Clap</t>
  </si>
  <si>
    <t>1286 Dist Clap 2</t>
  </si>
  <si>
    <t>1287 Old Clap</t>
  </si>
  <si>
    <t>1288 TR909 Clap 1</t>
  </si>
  <si>
    <t>1289 TR909 Clap 2</t>
  </si>
  <si>
    <t>1290 TR808 Clap 2</t>
  </si>
  <si>
    <t>1291 TR707 Clap</t>
  </si>
  <si>
    <t>1292 Cheap Clap</t>
  </si>
  <si>
    <t>1293 Mix Clap 1 L</t>
  </si>
  <si>
    <t>1294 Mix Clap 1 R</t>
  </si>
  <si>
    <t>1295 Mix Clap 2 L</t>
  </si>
  <si>
    <t>1296 Mix Clap 2 R</t>
  </si>
  <si>
    <t>1297 Mix Clap 3</t>
  </si>
  <si>
    <t>1298 Mix Clap 4</t>
  </si>
  <si>
    <t>1299 Finger Snap</t>
  </si>
  <si>
    <t>1300 Club FinSnap</t>
  </si>
  <si>
    <t>1301 Snap</t>
  </si>
  <si>
    <t>1302 Group Snap</t>
  </si>
  <si>
    <t>1303 Cowbell</t>
  </si>
  <si>
    <t>1304 Cowbell Mute</t>
  </si>
  <si>
    <t>1305 Cowbell2 Lng</t>
  </si>
  <si>
    <t>1306 Cowbell2 Edg</t>
  </si>
  <si>
    <t>1307 Cowbell3 mf</t>
  </si>
  <si>
    <t>1308 Cowbell3 f</t>
  </si>
  <si>
    <t>1309 TR808Cowbell</t>
  </si>
  <si>
    <t>1310 Wood Block</t>
  </si>
  <si>
    <t>1311 Wood Block2H</t>
  </si>
  <si>
    <t>1312 Wood Block2L</t>
  </si>
  <si>
    <t>1313 Claves</t>
  </si>
  <si>
    <t>1314 Claves 2</t>
  </si>
  <si>
    <t>1315 TR808 Claves</t>
  </si>
  <si>
    <t>1316 CR78 Beat</t>
  </si>
  <si>
    <t>1317 Castanet</t>
  </si>
  <si>
    <t>1318 Whistle</t>
  </si>
  <si>
    <t>1319 Whistle Long</t>
  </si>
  <si>
    <t>1320 Whistle Shrt</t>
  </si>
  <si>
    <t>1321 Bongo Hi Mt</t>
  </si>
  <si>
    <t>1322 Bongo Hi Slp</t>
  </si>
  <si>
    <t>1323 Bongo Hi Op</t>
  </si>
  <si>
    <t>1324 Bongo Lo Op</t>
  </si>
  <si>
    <t>1325 Bongo Lo Slp</t>
  </si>
  <si>
    <t>1326 Conga Hi Mt</t>
  </si>
  <si>
    <t>1327 Conga Lo Mt</t>
  </si>
  <si>
    <t>1328 Conga Hi Slp</t>
  </si>
  <si>
    <t>1329 Conga Lo Slp</t>
  </si>
  <si>
    <t>1330 Conga Hi Op</t>
  </si>
  <si>
    <t>1331 Conga Lo Op</t>
  </si>
  <si>
    <t>1332 Conga Slp Op</t>
  </si>
  <si>
    <t>1333 Conga Efx</t>
  </si>
  <si>
    <t>1334 Conga Thumb</t>
  </si>
  <si>
    <t>1335 Conga 2H Op</t>
  </si>
  <si>
    <t>1336 Conga 2H Mt</t>
  </si>
  <si>
    <t>1337 Conga 2H Slp</t>
  </si>
  <si>
    <t>1338 Conga 2L Op</t>
  </si>
  <si>
    <t>1339 Conga 2L Mt</t>
  </si>
  <si>
    <t>1340 TR808 Conga1</t>
  </si>
  <si>
    <t>1341 TR808 Conga2</t>
  </si>
  <si>
    <t>1342 Timbale 1</t>
  </si>
  <si>
    <t>1343 Timbale 2</t>
  </si>
  <si>
    <t>1344 Timbare 3</t>
  </si>
  <si>
    <t>1345 Timbare 4</t>
  </si>
  <si>
    <t>1346 Cabasa Up</t>
  </si>
  <si>
    <t>1347 Cabasa Down</t>
  </si>
  <si>
    <t>1348 Cabasa Cut</t>
  </si>
  <si>
    <t>1349 Cabasa 2</t>
  </si>
  <si>
    <t>1350 Cabasa 2 Cut</t>
  </si>
  <si>
    <t>1351 Maracas</t>
  </si>
  <si>
    <t>1352 808 Maracas</t>
  </si>
  <si>
    <t>1353 R8 Shaker</t>
  </si>
  <si>
    <t>1354 Shaker 1</t>
  </si>
  <si>
    <t>1355 Shaker 2</t>
  </si>
  <si>
    <t>1356 Shaker 3</t>
  </si>
  <si>
    <t>1357 Guiro 1</t>
  </si>
  <si>
    <t>1358 Guiro 2</t>
  </si>
  <si>
    <t>1359 Guiro Long</t>
  </si>
  <si>
    <t>1360 Guiro 2 Up</t>
  </si>
  <si>
    <t>1361 Guiro 2 Down</t>
  </si>
  <si>
    <t>1362 Guiro 2 Fast</t>
  </si>
  <si>
    <t>1363 Vibraslap</t>
  </si>
  <si>
    <t>1364 Tamborine 1</t>
  </si>
  <si>
    <t>1365 Tamborine 2</t>
  </si>
  <si>
    <t>1366 Tamborine 3</t>
  </si>
  <si>
    <t>1367 Tamborine4 p</t>
  </si>
  <si>
    <t>1368 Tamborine4 f</t>
  </si>
  <si>
    <t>1369 CR78 Tamb</t>
  </si>
  <si>
    <t>1370 Cajon 1</t>
  </si>
  <si>
    <t>1371 Cajon 2</t>
  </si>
  <si>
    <t>1372 Cajon 3</t>
  </si>
  <si>
    <t>1373 Cajon 4</t>
  </si>
  <si>
    <t>1374 SprgDrm Hit</t>
  </si>
  <si>
    <t>1375 Cuica</t>
  </si>
  <si>
    <t>1376 Cuica 2 Hi</t>
  </si>
  <si>
    <t>1377 Cuica 2 Low</t>
  </si>
  <si>
    <t>1378 Timpani p</t>
  </si>
  <si>
    <t>1379 Timpani f</t>
  </si>
  <si>
    <t>1380 Timpani Roll</t>
  </si>
  <si>
    <t>1381 Timpani Lp</t>
  </si>
  <si>
    <t>1382 ConcertBD p</t>
  </si>
  <si>
    <t>1383 ConcertBD f</t>
  </si>
  <si>
    <t>1384 ConcertBD ff</t>
  </si>
  <si>
    <t>1385 ConcertBD Lp</t>
  </si>
  <si>
    <t>1386 Triangle 1</t>
  </si>
  <si>
    <t>1387 Triangle 2</t>
  </si>
  <si>
    <t>1388 Tibet Cymbal</t>
  </si>
  <si>
    <t>1389 Slight Bell</t>
  </si>
  <si>
    <t>1390 Wind Chime</t>
  </si>
  <si>
    <t>1391 Crotale</t>
  </si>
  <si>
    <t>1392 R8 Click</t>
  </si>
  <si>
    <t>1393 Metro Bell</t>
  </si>
  <si>
    <t>1394 Metro Click</t>
  </si>
  <si>
    <t>1395 MC500 Beep 1</t>
  </si>
  <si>
    <t>1396 MC500 Beep 2</t>
  </si>
  <si>
    <t>1397 DR202 Beep</t>
  </si>
  <si>
    <t>1398 Low Square</t>
  </si>
  <si>
    <t>1399 Low Sine</t>
  </si>
  <si>
    <t>1400 DC</t>
  </si>
  <si>
    <t>1401 Reverse Cym</t>
  </si>
  <si>
    <t>0001 Ac.Pno p A L</t>
  </si>
  <si>
    <t>0002 Ac.Pno p A R</t>
  </si>
  <si>
    <t>0003 Ac.Pno p B L</t>
  </si>
  <si>
    <t>0004 Ac.Pno p B R</t>
  </si>
  <si>
    <t>0005 Ac.Pno p C L</t>
  </si>
  <si>
    <t>0006 Ac.Pno p C R</t>
  </si>
  <si>
    <t>0007 Ac.Pno f A L</t>
  </si>
  <si>
    <t>0008 Ac.Pno f A R</t>
  </si>
  <si>
    <t>0009 Ac.Pno f B L</t>
  </si>
  <si>
    <t>0010 Ac.Pno f B R</t>
  </si>
  <si>
    <t>0011 Ac.Pno f C L</t>
  </si>
  <si>
    <t>0012 Ac.Pno f C R</t>
  </si>
  <si>
    <t>0013 JD Piano A</t>
  </si>
  <si>
    <t>0014 JD Piano B</t>
  </si>
  <si>
    <t>0015 JD Piano C</t>
  </si>
  <si>
    <t>0016 Piano Atk Nz</t>
  </si>
  <si>
    <t>0017 MKS Piano A</t>
  </si>
  <si>
    <t>0018 MKS Piano B</t>
  </si>
  <si>
    <t>0019 MKS Piano C</t>
  </si>
  <si>
    <t>0020 StageRhd p A</t>
  </si>
  <si>
    <t>0021 StageRhd p B</t>
  </si>
  <si>
    <t>0022 StageRhd p C</t>
  </si>
  <si>
    <t>0023 StageRhd f A</t>
  </si>
  <si>
    <t>0024 StageRhd f B</t>
  </si>
  <si>
    <t>0025 StageRhd f C</t>
  </si>
  <si>
    <t>0026 Tine Rhd p A</t>
  </si>
  <si>
    <t>0027 Tine Rhd p B</t>
  </si>
  <si>
    <t>0028 Tine Rhd p C</t>
  </si>
  <si>
    <t>0029 Tine Rhd mfA</t>
  </si>
  <si>
    <t>0030 Tine Rhd mfB</t>
  </si>
  <si>
    <t>0031 Tine Rhd mfC</t>
  </si>
  <si>
    <t>0032 Tine Rhd ffA</t>
  </si>
  <si>
    <t>0033 Tine Rhd ffB</t>
  </si>
  <si>
    <t>0034 Tine Rhd ffC</t>
  </si>
  <si>
    <t>0035 Dyno Rhd mpA</t>
  </si>
  <si>
    <t>0036 Dyno Rhd mpB</t>
  </si>
  <si>
    <t>0037 Dyno Rhd mpC</t>
  </si>
  <si>
    <t>0038 Dyno Rhd mfA</t>
  </si>
  <si>
    <t>0039 Dyno Rhd mfB</t>
  </si>
  <si>
    <t>0040 Dyno Rhd mfC</t>
  </si>
  <si>
    <t>0041 Dyno Rhd ffA</t>
  </si>
  <si>
    <t>0042 Dyno Rhd ffB</t>
  </si>
  <si>
    <t>0043 Dyno Rhd ffC</t>
  </si>
  <si>
    <t>0044 Wurly mp A</t>
  </si>
  <si>
    <t>0045 Wurly mp B</t>
  </si>
  <si>
    <t>0046 Wurly mp C</t>
  </si>
  <si>
    <t>0047 Wurly mf A</t>
  </si>
  <si>
    <t>0048 Wurly mf B</t>
  </si>
  <si>
    <t>0049 Wurly mf C</t>
  </si>
  <si>
    <t>0050 Wurly ff A</t>
  </si>
  <si>
    <t>0051 Wurly ff B</t>
  </si>
  <si>
    <t>0052 Wurly ff C</t>
  </si>
  <si>
    <t>0053 Lo-Fi Wurly</t>
  </si>
  <si>
    <t>0054 Sft SA Rhd A</t>
  </si>
  <si>
    <t>0055 Sft SA Rhd B</t>
  </si>
  <si>
    <t>0056 Sft SA Rhd C</t>
  </si>
  <si>
    <t>0057 Hrd SA Rhd A</t>
  </si>
  <si>
    <t>0058 Hrd SA Rhd B</t>
  </si>
  <si>
    <t>0059 Hrd SA Rhd C</t>
  </si>
  <si>
    <t>0060 SA Rhd Ens A</t>
  </si>
  <si>
    <t>0061 SA Rhd Ens B</t>
  </si>
  <si>
    <t>0062 SA Rhd Ens C</t>
  </si>
  <si>
    <t>0063 SA E.Piano A</t>
  </si>
  <si>
    <t>0064 SA E.Piano B</t>
  </si>
  <si>
    <t>0065 SA E.Piano C</t>
  </si>
  <si>
    <t>0066 80's E.Pno 1</t>
  </si>
  <si>
    <t>0067 80's E.Pno 2</t>
  </si>
  <si>
    <t>0068 Hard E.Pno</t>
  </si>
  <si>
    <t>0069 Celesta</t>
  </si>
  <si>
    <t>0070 Music Box</t>
  </si>
  <si>
    <t>0071 Reg.Clav A</t>
  </si>
  <si>
    <t>0072 Reg.Clav B</t>
  </si>
  <si>
    <t>0073 Reg.Clav C</t>
  </si>
  <si>
    <t>0074 Retro Clav A</t>
  </si>
  <si>
    <t>0075 Retro Clav B</t>
  </si>
  <si>
    <t>0076 Retro Clav C</t>
  </si>
  <si>
    <t>0077 Tight Clav A</t>
  </si>
  <si>
    <t>0078 Tight Clav B</t>
  </si>
  <si>
    <t>0079 Tight Clav C</t>
  </si>
  <si>
    <t>0080 Hard Clav A</t>
  </si>
  <si>
    <t>0081 Hard Clav B</t>
  </si>
  <si>
    <t>0082 Hard Clav C</t>
  </si>
  <si>
    <t>0083 JD Clav</t>
  </si>
  <si>
    <t>0084 Harpsi A</t>
  </si>
  <si>
    <t>0085 Harpsi B</t>
  </si>
  <si>
    <t>0086 Harpsi C</t>
  </si>
  <si>
    <t>0087 JD Full Draw</t>
  </si>
  <si>
    <t>0088 Org Basic 1</t>
  </si>
  <si>
    <t>0089 Org Basic 2</t>
  </si>
  <si>
    <t>0090 Ballad Org</t>
  </si>
  <si>
    <t>0091 3rd Perc Org</t>
  </si>
  <si>
    <t>0092 Lo-Fi Organ</t>
  </si>
  <si>
    <t>0093 Perc Organ 1</t>
  </si>
  <si>
    <t>0094 Perc Organ 2</t>
  </si>
  <si>
    <t>0095 Rock Organ A</t>
  </si>
  <si>
    <t>0096 Rock Organ B</t>
  </si>
  <si>
    <t>0097 Rock Organ C</t>
  </si>
  <si>
    <t>0098 RtryOrg1 A L</t>
  </si>
  <si>
    <t>0099 RtryOrg1 A R</t>
  </si>
  <si>
    <t>0100 RtryOrg1 B L</t>
  </si>
  <si>
    <t>0101 RtryOrg1 B R</t>
  </si>
  <si>
    <t>0102 RtryOrg1 C L</t>
  </si>
  <si>
    <t>0103 RtryOrg1 C R</t>
  </si>
  <si>
    <t>0104 RtryOrg2 A L</t>
  </si>
  <si>
    <t>0105 RtryOrg2 A R</t>
  </si>
  <si>
    <t>0106 RtryOrg2 B L</t>
  </si>
  <si>
    <t>0107 RtryOrg2 B R</t>
  </si>
  <si>
    <t>0108 RtryOrg2 C L</t>
  </si>
  <si>
    <t>0109 RtryOrg2 C R</t>
  </si>
  <si>
    <t>0110 LoFi RtryOrg</t>
  </si>
  <si>
    <t>0111 Vint.Org 1</t>
  </si>
  <si>
    <t>0112 Vint.Org 2</t>
  </si>
  <si>
    <t>0113 Vint.Org 3</t>
  </si>
  <si>
    <t>0114 Vint.Org 4</t>
  </si>
  <si>
    <t>0115 Lite Dst Org</t>
  </si>
  <si>
    <t>0116 Positive '8</t>
  </si>
  <si>
    <t>0117 Pipe Organ</t>
  </si>
  <si>
    <t>0118 Cathedrl Org</t>
  </si>
  <si>
    <t>0119 Nylon Gtr1 A</t>
  </si>
  <si>
    <t>0120 Nylon Gtr1 B</t>
  </si>
  <si>
    <t>0121 Nylon Gtr1 C</t>
  </si>
  <si>
    <t>0122 Nylon Gtr2 A</t>
  </si>
  <si>
    <t>0123 Nylon Gtr2 B</t>
  </si>
  <si>
    <t>0124 Nylon Gtr2 C</t>
  </si>
  <si>
    <t>0125 Bright Gtr A</t>
  </si>
  <si>
    <t>0126 Bright Gtr B</t>
  </si>
  <si>
    <t>0127 Bright Gtr C</t>
  </si>
  <si>
    <t>0128 Ac.Gtr mp A</t>
  </si>
  <si>
    <t>0129 Ac.Gtr mp B</t>
  </si>
  <si>
    <t>0130 Ac.Gtr mp C</t>
  </si>
  <si>
    <t>0131 Ac.Gtr mf A</t>
  </si>
  <si>
    <t>0132 Ac.Gtr mf B</t>
  </si>
  <si>
    <t>0133 Ac.Gtr mf C</t>
  </si>
  <si>
    <t>0134 Ac.Gtr ff A</t>
  </si>
  <si>
    <t>0135 Ac.Gtr ff B</t>
  </si>
  <si>
    <t>0136 Ac.Gtr ff C</t>
  </si>
  <si>
    <t>0137 Ac.Gtr Sld A</t>
  </si>
  <si>
    <t>0138 Ac.Gtr Sld B</t>
  </si>
  <si>
    <t>0139 Ac.Gtr Sld C</t>
  </si>
  <si>
    <t>0140 Ac.Gtr Hrm A</t>
  </si>
  <si>
    <t>0141 Ac.Gtr Hrm B</t>
  </si>
  <si>
    <t>0142 Ac.Gtr Hrm C</t>
  </si>
  <si>
    <t>0143 Jazz Gtr A</t>
  </si>
  <si>
    <t>0144 Jazz Gtr B</t>
  </si>
  <si>
    <t>0145 Jazz Gtr C</t>
  </si>
  <si>
    <t>0146 Clean Gtr A</t>
  </si>
  <si>
    <t>0147 Clean Gtr B</t>
  </si>
  <si>
    <t>0148 Clean Gtr C</t>
  </si>
  <si>
    <t>0149 Clr Mt Gtr A</t>
  </si>
  <si>
    <t>0150 Clr Mt Gtr B</t>
  </si>
  <si>
    <t>0151 Clr Mt Gtr C</t>
  </si>
  <si>
    <t>0152 E.Gtr Ld 1</t>
  </si>
  <si>
    <t>0153 E.Gtr Ld 2</t>
  </si>
  <si>
    <t>0154 Brt Strat A</t>
  </si>
  <si>
    <t>0155 Brt Strat B</t>
  </si>
  <si>
    <t>0156 Brt Strat C</t>
  </si>
  <si>
    <t>0157 SlwPick70s A</t>
  </si>
  <si>
    <t>0158 SlwPick70s B</t>
  </si>
  <si>
    <t>0159 SlwPick70s C</t>
  </si>
  <si>
    <t>0160 FstPick70s A</t>
  </si>
  <si>
    <t>0161 FstPick70s B</t>
  </si>
  <si>
    <t>0162 FstPick70s C</t>
  </si>
  <si>
    <t>0163 Plk Strat A</t>
  </si>
  <si>
    <t>0164 Plk Strat B</t>
  </si>
  <si>
    <t>0165 Plk Strat C</t>
  </si>
  <si>
    <t>0166 Strat Mute A</t>
  </si>
  <si>
    <t>0167 Strat Mute B</t>
  </si>
  <si>
    <t>0168 Strat Mute C</t>
  </si>
  <si>
    <t>0169 Funk Gtr A</t>
  </si>
  <si>
    <t>0170 Funk Gtr B</t>
  </si>
  <si>
    <t>0171 Funk Gtr C</t>
  </si>
  <si>
    <t>0172 Funk MtGtr A</t>
  </si>
  <si>
    <t>0173 Funk MtGtr B</t>
  </si>
  <si>
    <t>0174 Funk MtGtr C</t>
  </si>
  <si>
    <t>0175 Easy Gtr A</t>
  </si>
  <si>
    <t>0176 Easy Gtr B</t>
  </si>
  <si>
    <t>0177 Easy Gtr C</t>
  </si>
  <si>
    <t>0178 Nasty Gtr</t>
  </si>
  <si>
    <t>0179 Clean TC A</t>
  </si>
  <si>
    <t>0180 Clean TC B</t>
  </si>
  <si>
    <t>0181 Clean TC C</t>
  </si>
  <si>
    <t>0182 Overdrive A</t>
  </si>
  <si>
    <t>0183 Overdrive C</t>
  </si>
  <si>
    <t>0184 Distortion A</t>
  </si>
  <si>
    <t>0185 Distortion B</t>
  </si>
  <si>
    <t>0186 Distortion C</t>
  </si>
  <si>
    <t>0187 Dist Mute A</t>
  </si>
  <si>
    <t>0188 Dist Mute B</t>
  </si>
  <si>
    <t>0189 Dist Mute C</t>
  </si>
  <si>
    <t>0190 Dist Chord A</t>
  </si>
  <si>
    <t>0191 Dist Chord B</t>
  </si>
  <si>
    <t>0192 Dist Chord C</t>
  </si>
  <si>
    <t>0193 Dst Gtr Riff</t>
  </si>
  <si>
    <t>0194 Gtr Trill</t>
  </si>
  <si>
    <t>0195 Cln Gtr Cut</t>
  </si>
  <si>
    <t>0196 Gtr Cut 1</t>
  </si>
  <si>
    <t>0197 Gtr Cut 2</t>
  </si>
  <si>
    <t>0198 Gtr Cut 3</t>
  </si>
  <si>
    <t>0199 Gtr Cut 4</t>
  </si>
  <si>
    <t>0200 Wah Gtr Riff</t>
  </si>
  <si>
    <t>0201 E.Gtr Harm</t>
  </si>
  <si>
    <t>0202 JD ScrapeGut</t>
  </si>
  <si>
    <t>0203 Harp A</t>
  </si>
  <si>
    <t>0204 Harp B</t>
  </si>
  <si>
    <t>0205 Harp C</t>
  </si>
  <si>
    <t>0206 Banjo A</t>
  </si>
  <si>
    <t>0207 Banjo B</t>
  </si>
  <si>
    <t>0208 Banjo C</t>
  </si>
  <si>
    <t>0209 Sitar A</t>
  </si>
  <si>
    <t>0210 Sitar B</t>
  </si>
  <si>
    <t>0211 Sitar C</t>
  </si>
  <si>
    <t>0212 Sitar Drn A</t>
  </si>
  <si>
    <t>0213 Sitar Drn B</t>
  </si>
  <si>
    <t>0214 Sitar Drn C</t>
  </si>
  <si>
    <t>0215 E.Sitar A</t>
  </si>
  <si>
    <t>0216 E.Sitar B</t>
  </si>
  <si>
    <t>0217 E.Sitar C</t>
  </si>
  <si>
    <t>0218 Santur A</t>
  </si>
  <si>
    <t>0219 Santur B</t>
  </si>
  <si>
    <t>0220 Santur C</t>
  </si>
  <si>
    <t>0221 Dulcimer A</t>
  </si>
  <si>
    <t>0222 Dulcimer B</t>
  </si>
  <si>
    <t>0223 Dulcimer C</t>
  </si>
  <si>
    <t>0224 Shamisen A</t>
  </si>
  <si>
    <t>0225 Shamisen B</t>
  </si>
  <si>
    <t>0226 Shamisen C</t>
  </si>
  <si>
    <t>0227 Koto A</t>
  </si>
  <si>
    <t>0228 Koto B</t>
  </si>
  <si>
    <t>0229 Koto C</t>
  </si>
  <si>
    <t>0230 Ac.Bass A</t>
  </si>
  <si>
    <t>0231 Ac.Bass B</t>
  </si>
  <si>
    <t>0232 Ac.Bass C</t>
  </si>
  <si>
    <t>0233 FngrCmp Bs A</t>
  </si>
  <si>
    <t>0234 FngrCmp Bs B</t>
  </si>
  <si>
    <t>0235 FngrCmp Bs C</t>
  </si>
  <si>
    <t>0236 Finger Bs A</t>
  </si>
  <si>
    <t>0237 Finger Bs B</t>
  </si>
  <si>
    <t>0238 Finger Bs C</t>
  </si>
  <si>
    <t>0239 Precision Bs</t>
  </si>
  <si>
    <t>0240 Jz Bs Soft A</t>
  </si>
  <si>
    <t>0241 Jz Bs Soft B</t>
  </si>
  <si>
    <t>0242 Jz Bs Soft C</t>
  </si>
  <si>
    <t>0243 6-FngBsSft A</t>
  </si>
  <si>
    <t>0244 6-FngBsSft B</t>
  </si>
  <si>
    <t>0245 6-FngBsSft C</t>
  </si>
  <si>
    <t>0246 ThumbMtBs pA</t>
  </si>
  <si>
    <t>0247 ThumbMtBs pB</t>
  </si>
  <si>
    <t>0248 ThumbMtBs pC</t>
  </si>
  <si>
    <t>0249 ThumbMtBs fA</t>
  </si>
  <si>
    <t>0250 ThumbMtBs fB</t>
  </si>
  <si>
    <t>0251 ThumbMtBs fC</t>
  </si>
  <si>
    <t>0252 Fretlss Bs A</t>
  </si>
  <si>
    <t>0253 Fretlss Bs B</t>
  </si>
  <si>
    <t>0254 Fretlss Bs C</t>
  </si>
  <si>
    <t>0255 Fretlss SftA</t>
  </si>
  <si>
    <t>0256 Fretlss SftB</t>
  </si>
  <si>
    <t>0257 Fretlss SftC</t>
  </si>
  <si>
    <t>0258 Pick Bass 1A</t>
  </si>
  <si>
    <t>0259 Pick Bass 1B</t>
  </si>
  <si>
    <t>0260 Pick Bass 1C</t>
  </si>
  <si>
    <t>0261 Pick Bass 2</t>
  </si>
  <si>
    <t>0262 Slap Bass</t>
  </si>
  <si>
    <t>0263 Slap +Pull 1</t>
  </si>
  <si>
    <t>0264 Slap +Pull 2</t>
  </si>
  <si>
    <t>0265 Slap +Pull 3</t>
  </si>
  <si>
    <t>0266 Jz Slap Bass</t>
  </si>
  <si>
    <t>0267 Jz Slp+Pull1</t>
  </si>
  <si>
    <t>0268 Jz Slp+Pull2</t>
  </si>
  <si>
    <t>0269 Jz Slp+Pull3</t>
  </si>
  <si>
    <t>0270 MG Bass 1 A</t>
  </si>
  <si>
    <t>0271 MG Bass 1 B</t>
  </si>
  <si>
    <t>0272 MG Bass 1 C</t>
  </si>
  <si>
    <t>0273 DistTB Sqr</t>
  </si>
  <si>
    <t>0274 DistTBSqr Lp</t>
  </si>
  <si>
    <t>0275 Solid Bass</t>
  </si>
  <si>
    <t>0276 MG Big Bass</t>
  </si>
  <si>
    <t>0277 Jungle Bass</t>
  </si>
  <si>
    <t>0278 Garage Bass</t>
  </si>
  <si>
    <t>0279 SH-101 Bs A</t>
  </si>
  <si>
    <t>0280 SH-101 Bs B</t>
  </si>
  <si>
    <t>0281 SH-101 Bs C</t>
  </si>
  <si>
    <t>0282 TB Natural</t>
  </si>
  <si>
    <t>0283 Poly Bass</t>
  </si>
  <si>
    <t>0284 Organ Bass</t>
  </si>
  <si>
    <t>0285 Voco Bass</t>
  </si>
  <si>
    <t>0286 MG Bass 2 A</t>
  </si>
  <si>
    <t>0287 MG Bass 2 B</t>
  </si>
  <si>
    <t>0288 MG Bass 2 C</t>
  </si>
  <si>
    <t>0289 MG Bass 3</t>
  </si>
  <si>
    <t>0290 MG Bass 4</t>
  </si>
  <si>
    <t>0291 MC Bass A</t>
  </si>
  <si>
    <t>0292 MC Bass B</t>
  </si>
  <si>
    <t>0293 MC Bass C</t>
  </si>
  <si>
    <t>0294 Atk Syn Bass</t>
  </si>
  <si>
    <t>0295 Atk Flute A</t>
  </si>
  <si>
    <t>0296 Atk Flute B</t>
  </si>
  <si>
    <t>0297 Atk Flute C</t>
  </si>
  <si>
    <t>0298 Flute A</t>
  </si>
  <si>
    <t>0299 Flute B</t>
  </si>
  <si>
    <t>0300 Flute C</t>
  </si>
  <si>
    <t>0301 Piccolo A</t>
  </si>
  <si>
    <t>0302 Piccolo B</t>
  </si>
  <si>
    <t>0303 Piccolo C</t>
  </si>
  <si>
    <t>0304 Pan Flute</t>
  </si>
  <si>
    <t>0305 JD Rad Hose</t>
  </si>
  <si>
    <t>0306 Shakuhachi</t>
  </si>
  <si>
    <t>0307 JD Fl Push</t>
  </si>
  <si>
    <t>0308 Clarinet A</t>
  </si>
  <si>
    <t>0309 Clarinet B</t>
  </si>
  <si>
    <t>0310 Clarinet C</t>
  </si>
  <si>
    <t>0311 Oboe Mezzo A</t>
  </si>
  <si>
    <t>0312 Oboe Mezzo B</t>
  </si>
  <si>
    <t>0313 Oboe Mezzo C</t>
  </si>
  <si>
    <t>0314 Oboe Forte A</t>
  </si>
  <si>
    <t>0315 Oboe Forte B</t>
  </si>
  <si>
    <t>0316 Oboe Forte C</t>
  </si>
  <si>
    <t>0317 E.Horn A</t>
  </si>
  <si>
    <t>0318 E.Horn B</t>
  </si>
  <si>
    <t>0319 E.Horn C</t>
  </si>
  <si>
    <t>0320 Bassoon A</t>
  </si>
  <si>
    <t>0321 Bassoon B</t>
  </si>
  <si>
    <t>0322 Bassoon C</t>
  </si>
  <si>
    <t>0323 Recorder A</t>
  </si>
  <si>
    <t>0324 Recorder B</t>
  </si>
  <si>
    <t>0325 Recorder C</t>
  </si>
  <si>
    <t>0326 SopranoSax A</t>
  </si>
  <si>
    <t>0327 SopranoSax B</t>
  </si>
  <si>
    <t>0328 SopranoSax C</t>
  </si>
  <si>
    <t>0329 Alto Sax Vib</t>
  </si>
  <si>
    <t>0330 Soft Alto A</t>
  </si>
  <si>
    <t>0331 Soft Alto B</t>
  </si>
  <si>
    <t>0332 Soft Alto C</t>
  </si>
  <si>
    <t>0333 Wide Sax A</t>
  </si>
  <si>
    <t>0334 Wide Sax B</t>
  </si>
  <si>
    <t>0335 Wide Sax C</t>
  </si>
  <si>
    <t>0336 BreathySax A</t>
  </si>
  <si>
    <t>0337 BreathySax B</t>
  </si>
  <si>
    <t>0338 BreathySax C</t>
  </si>
  <si>
    <t>0339 Tenor Sax A</t>
  </si>
  <si>
    <t>0340 Tenor Sax B</t>
  </si>
  <si>
    <t>0341 Tenor Sax C</t>
  </si>
  <si>
    <t>0342 Bari.Sax 1 A</t>
  </si>
  <si>
    <t>0343 Bari.Sax 1 B</t>
  </si>
  <si>
    <t>0344 Bari.Sax 1 C</t>
  </si>
  <si>
    <t>0345 Bari.Sax 2 A</t>
  </si>
  <si>
    <t>0346 Bari.Sax 2 B</t>
  </si>
  <si>
    <t>0347 Bari.Sax 2 C</t>
  </si>
  <si>
    <t>0348 Musette</t>
  </si>
  <si>
    <t>0349 Harmonica A</t>
  </si>
  <si>
    <t>0350 Harmonica B</t>
  </si>
  <si>
    <t>0351 Harmonica C</t>
  </si>
  <si>
    <t>0352 Blues G-harp</t>
  </si>
  <si>
    <t>0353 Flugel A</t>
  </si>
  <si>
    <t>0354 Flugel B</t>
  </si>
  <si>
    <t>0355 Flugel C</t>
  </si>
  <si>
    <t>0356 Trumpet A</t>
  </si>
  <si>
    <t>0357 Trumpet B</t>
  </si>
  <si>
    <t>0358 Trumpet C</t>
  </si>
  <si>
    <t>0359 Wide Tp A</t>
  </si>
  <si>
    <t>0360 Wide Tp B</t>
  </si>
  <si>
    <t>0361 Wide Tp C</t>
  </si>
  <si>
    <t>0362 Mute Tp A</t>
  </si>
  <si>
    <t>0363 Mute Tp B</t>
  </si>
  <si>
    <t>0364 Mute Tp C</t>
  </si>
  <si>
    <t>0365 Trombone A</t>
  </si>
  <si>
    <t>0366 Trombone B</t>
  </si>
  <si>
    <t>0367 Trombone C</t>
  </si>
  <si>
    <t>0368 Tbn mf A</t>
  </si>
  <si>
    <t>0369 Tbn mf B</t>
  </si>
  <si>
    <t>0370 Tbn mf C</t>
  </si>
  <si>
    <t>0371 Tuba A</t>
  </si>
  <si>
    <t>0372 Tuba B</t>
  </si>
  <si>
    <t>0373 Tuba C</t>
  </si>
  <si>
    <t>0374 Sft F.Horn A</t>
  </si>
  <si>
    <t>0375 Sft F.Horn B</t>
  </si>
  <si>
    <t>0376 Sft F.Horn C</t>
  </si>
  <si>
    <t>0377 French Hrn A</t>
  </si>
  <si>
    <t>0378 French Hrn C</t>
  </si>
  <si>
    <t>0379 F.HornSect A</t>
  </si>
  <si>
    <t>0380 F.HornSect B</t>
  </si>
  <si>
    <t>0381 F.HornSect C</t>
  </si>
  <si>
    <t>0382 Tp Section A</t>
  </si>
  <si>
    <t>0383 Tp Section B</t>
  </si>
  <si>
    <t>0384 Tp Section C</t>
  </si>
  <si>
    <t>0385 OctBrs p A L</t>
  </si>
  <si>
    <t>0386 OctBrs p A R</t>
  </si>
  <si>
    <t>0387 OctBrs p B L</t>
  </si>
  <si>
    <t>0388 OctBrs p B R</t>
  </si>
  <si>
    <t>0389 OctBrs p C L</t>
  </si>
  <si>
    <t>0390 OctBrs p C R</t>
  </si>
  <si>
    <t>0391 OctBrs f A L</t>
  </si>
  <si>
    <t>0392 OctBrs f A R</t>
  </si>
  <si>
    <t>0393 OctBrs f B L</t>
  </si>
  <si>
    <t>0394 OctBrs f B R</t>
  </si>
  <si>
    <t>0395 OctBrs f C L</t>
  </si>
  <si>
    <t>0396 OctBrs f C R</t>
  </si>
  <si>
    <t>0397 Brs Fall 1 L</t>
  </si>
  <si>
    <t>0398 Brs Fall 1 R</t>
  </si>
  <si>
    <t>0399 Brs Fall 2 L</t>
  </si>
  <si>
    <t>0400 Brs Fall 2 R</t>
  </si>
  <si>
    <t>0401 OrchUnis A L</t>
  </si>
  <si>
    <t>0402 OrchUnis A R</t>
  </si>
  <si>
    <t>0403 OrchUnis B L</t>
  </si>
  <si>
    <t>0404 OrchUnis B R</t>
  </si>
  <si>
    <t>0405 OrchUnis C L</t>
  </si>
  <si>
    <t>0406 OrchUnis C R</t>
  </si>
  <si>
    <t>0407 Violin Vib A</t>
  </si>
  <si>
    <t>0408 Violin Vib B</t>
  </si>
  <si>
    <t>0409 Violin Vib C</t>
  </si>
  <si>
    <t>0410 Violin A</t>
  </si>
  <si>
    <t>0411 Violin B</t>
  </si>
  <si>
    <t>0412 Violin C</t>
  </si>
  <si>
    <t>0413 Cello Vib A</t>
  </si>
  <si>
    <t>0414 Cello Vib B</t>
  </si>
  <si>
    <t>0415 Cello Vib C</t>
  </si>
  <si>
    <t>0416 Cello A</t>
  </si>
  <si>
    <t>0417 Cello B</t>
  </si>
  <si>
    <t>0418 Cello C</t>
  </si>
  <si>
    <t>0419 Vl Sect. A L</t>
  </si>
  <si>
    <t>0420 Vl Sect. A R</t>
  </si>
  <si>
    <t>0421 Vl Sect. B L</t>
  </si>
  <si>
    <t>0422 Vl Sect. B R</t>
  </si>
  <si>
    <t>0423 Vl Sect. C L</t>
  </si>
  <si>
    <t>0424 Vl Sect. C R</t>
  </si>
  <si>
    <t>0425 Vc Sect. A L</t>
  </si>
  <si>
    <t>0426 Vc Sect. A R</t>
  </si>
  <si>
    <t>0427 Vc Sect. B L</t>
  </si>
  <si>
    <t>0428 Vc Sect. B R</t>
  </si>
  <si>
    <t>0429 Vc Sect. C L</t>
  </si>
  <si>
    <t>0430 Vc Sect. C R</t>
  </si>
  <si>
    <t>0431 Full Str A L</t>
  </si>
  <si>
    <t>0432 Full Str A R</t>
  </si>
  <si>
    <t>0433 Full Str B L</t>
  </si>
  <si>
    <t>0434 Full Str B R</t>
  </si>
  <si>
    <t>0435 Full Str C L</t>
  </si>
  <si>
    <t>0436 Full Str C R</t>
  </si>
  <si>
    <t>0437 ChmbrStrAtkA</t>
  </si>
  <si>
    <t>0438 ChmbrStrAtkB</t>
  </si>
  <si>
    <t>0439 ChmbrStrAtkC</t>
  </si>
  <si>
    <t>0440 ChmbrStrRevA</t>
  </si>
  <si>
    <t>0441 ChmbrStrRevB</t>
  </si>
  <si>
    <t>0442 ChmbrStrRevC</t>
  </si>
  <si>
    <t>0443 Vls Pizz A</t>
  </si>
  <si>
    <t>0444 Vls Pizz B</t>
  </si>
  <si>
    <t>0445 Vls Pizz C</t>
  </si>
  <si>
    <t>0446 VlsPizzRev A</t>
  </si>
  <si>
    <t>0447 VlsPizzRev B</t>
  </si>
  <si>
    <t>0448 VlsPizzRev C</t>
  </si>
  <si>
    <t>0449 Vcs Pizz A</t>
  </si>
  <si>
    <t>0450 Vcs Pizz B</t>
  </si>
  <si>
    <t>0451 Vcs Pizz C</t>
  </si>
  <si>
    <t>0452 VcsPizzRev A</t>
  </si>
  <si>
    <t>0453 VcsPizzRev B</t>
  </si>
  <si>
    <t>0454 VcsPizzRev C</t>
  </si>
  <si>
    <t>0455 Unison Saw A</t>
  </si>
  <si>
    <t>0456 Unison Saw B</t>
  </si>
  <si>
    <t>0457 Unison Saw C</t>
  </si>
  <si>
    <t>0458 Super Saw A</t>
  </si>
  <si>
    <t>0459 Super Saw B</t>
  </si>
  <si>
    <t>0460 Super Saw C</t>
  </si>
  <si>
    <t>0461 Trance Saw A</t>
  </si>
  <si>
    <t>0462 Trance Saw B</t>
  </si>
  <si>
    <t>0463 Trance Saw C</t>
  </si>
  <si>
    <t>0464 Alpha Rave</t>
  </si>
  <si>
    <t>0465 Saw Sync A</t>
  </si>
  <si>
    <t>0466 Saw Sync B</t>
  </si>
  <si>
    <t>0467 Saw Sync C</t>
  </si>
  <si>
    <t>0468 Warm Pad A</t>
  </si>
  <si>
    <t>0469 Warm Pad B</t>
  </si>
  <si>
    <t>0470 Warm Pad C</t>
  </si>
  <si>
    <t>0471 OB2 Pad 1 A</t>
  </si>
  <si>
    <t>0472 OB2 Pad 1 B</t>
  </si>
  <si>
    <t>0473 OB2 Pad 1 C</t>
  </si>
  <si>
    <t>0474 OB2 Pad 2 A</t>
  </si>
  <si>
    <t>0475 OB2 Pad 2 B</t>
  </si>
  <si>
    <t>0476 OB2 Pad 2 C</t>
  </si>
  <si>
    <t>0477 SBF Vox A</t>
  </si>
  <si>
    <t>0478 SBF Vox B</t>
  </si>
  <si>
    <t>0479 SBF Vox C</t>
  </si>
  <si>
    <t>0480 Female Ahs A</t>
  </si>
  <si>
    <t>0481 Female Ahs B</t>
  </si>
  <si>
    <t>0482 Female Ahs C</t>
  </si>
  <si>
    <t>0483 Female Oos A</t>
  </si>
  <si>
    <t>0484 Female Oos B</t>
  </si>
  <si>
    <t>0485 Female Oos C</t>
  </si>
  <si>
    <t>0486 Male Aahs A</t>
  </si>
  <si>
    <t>0487 Male Aahs B</t>
  </si>
  <si>
    <t>0488 Male Aahs C</t>
  </si>
  <si>
    <t>0489 Jazz Doos A</t>
  </si>
  <si>
    <t>0490 Jazz Doos B</t>
  </si>
  <si>
    <t>0491 Jazz Doos C</t>
  </si>
  <si>
    <t>0492 Jz Doos Lp A</t>
  </si>
  <si>
    <t>0493 Jz Doos Lp B</t>
  </si>
  <si>
    <t>0494 Jz Doos Lp C</t>
  </si>
  <si>
    <t>0495 Gospel Hum A</t>
  </si>
  <si>
    <t>0496 Gospel Hum B</t>
  </si>
  <si>
    <t>0497 Gospel Hum C</t>
  </si>
  <si>
    <t>0498 Soprano Vox</t>
  </si>
  <si>
    <t>0499 Kalimba</t>
  </si>
  <si>
    <t>0500 JD Klmba Atk</t>
  </si>
  <si>
    <t>0501 JD Wood Crak</t>
  </si>
  <si>
    <t>0502 JD Gamelan 1</t>
  </si>
  <si>
    <t>0503 JD Gamelan 2</t>
  </si>
  <si>
    <t>0504 JD Gamelan 3</t>
  </si>
  <si>
    <t>0505 JD Log Drum</t>
  </si>
  <si>
    <t>0506 JD Hooky</t>
  </si>
  <si>
    <t>0507 JD Tabla</t>
  </si>
  <si>
    <t>0508 JD Xylo</t>
  </si>
  <si>
    <t>0509 Marimba</t>
  </si>
  <si>
    <t>0510 Vibraphone</t>
  </si>
  <si>
    <t>0511 Glocken</t>
  </si>
  <si>
    <t>0512 Steel Drums</t>
  </si>
  <si>
    <t>0513 JD Pole Lp</t>
  </si>
  <si>
    <t>0514 JD BottleHit</t>
  </si>
  <si>
    <t>0515 D-50 Bell A</t>
  </si>
  <si>
    <t>0516 D-50 Bell B</t>
  </si>
  <si>
    <t>0517 D-50 Bell C</t>
  </si>
  <si>
    <t>0518 D-50 Bell Lp</t>
  </si>
  <si>
    <t>0519 Agogo Bell</t>
  </si>
  <si>
    <t>0520 Finger Bell</t>
  </si>
  <si>
    <t>0521 JD Cowbell</t>
  </si>
  <si>
    <t>0522 Tubular Bell</t>
  </si>
  <si>
    <t>0523 Church Bell</t>
  </si>
  <si>
    <t>0524 Mild CanWave</t>
  </si>
  <si>
    <t>0525 JD Crystal</t>
  </si>
  <si>
    <t>0526 Bell Organ</t>
  </si>
  <si>
    <t>0527 Old DigiBell</t>
  </si>
  <si>
    <t>0528 JD Bell Wave</t>
  </si>
  <si>
    <t>0529 TinyBellWave</t>
  </si>
  <si>
    <t>0530 Vib Wave</t>
  </si>
  <si>
    <t>0531 JD Brt Digi</t>
  </si>
  <si>
    <t>0532 Med Digi</t>
  </si>
  <si>
    <t>0533 Bagpipe</t>
  </si>
  <si>
    <t>0534 Digital Vox</t>
  </si>
  <si>
    <t>0535 JD WallyWave</t>
  </si>
  <si>
    <t>0536 JD Brusky Lp</t>
  </si>
  <si>
    <t>0537 Bright Form</t>
  </si>
  <si>
    <t>0538 Mild Form</t>
  </si>
  <si>
    <t>0539 JD Nasty</t>
  </si>
  <si>
    <t>0540 Fat SparkVox</t>
  </si>
  <si>
    <t>0541 JD Spark Vox</t>
  </si>
  <si>
    <t>0542 JD Cutters</t>
  </si>
  <si>
    <t>0543 SBF Hrd Ld 1</t>
  </si>
  <si>
    <t>0544 SBF Hrd Ld 2</t>
  </si>
  <si>
    <t>0545 JD EML 5th</t>
  </si>
  <si>
    <t>0546 TB303 Saw HD</t>
  </si>
  <si>
    <t>0547 Custm Saw HD</t>
  </si>
  <si>
    <t>0548 MG Saw HD</t>
  </si>
  <si>
    <t>0549 OB2 Saw HD</t>
  </si>
  <si>
    <t>0550 DigitalSawHD</t>
  </si>
  <si>
    <t>0551 Calc.Saw</t>
  </si>
  <si>
    <t>0552 Calc.Saw inv</t>
  </si>
  <si>
    <t>0553 Synth Saw</t>
  </si>
  <si>
    <t>0554 JD Syn Saw</t>
  </si>
  <si>
    <t>0555 JD Fat Saw</t>
  </si>
  <si>
    <t>0556 JP-8 Saw</t>
  </si>
  <si>
    <t>0557 P5 Saw HD</t>
  </si>
  <si>
    <t>0558 D-50 Saw</t>
  </si>
  <si>
    <t>0559 Air Wave</t>
  </si>
  <si>
    <t>0560 MG Sqr HD</t>
  </si>
  <si>
    <t>0561 P5 Sqr HD</t>
  </si>
  <si>
    <t>0562 OB2 Sqr HD</t>
  </si>
  <si>
    <t>0563 Custm Sqr HD</t>
  </si>
  <si>
    <t>0564 106SubOsc HD</t>
  </si>
  <si>
    <t>0565 TB303 Sqr HD</t>
  </si>
  <si>
    <t>0566 Fat Square</t>
  </si>
  <si>
    <t>0567 JP-8 Square</t>
  </si>
  <si>
    <t>0568 JP8 Pls 1 HD</t>
  </si>
  <si>
    <t>0569 JP8 Pls 2 HD</t>
  </si>
  <si>
    <t>0570 JP8 Pls 3 HD</t>
  </si>
  <si>
    <t>0571 JP8 Pls 4 HD</t>
  </si>
  <si>
    <t>0572 Syn Pulse 1</t>
  </si>
  <si>
    <t>0573 Syn Pulse 2</t>
  </si>
  <si>
    <t>0574 MG Tri HD</t>
  </si>
  <si>
    <t>0575 700 Triangle</t>
  </si>
  <si>
    <t>0576 Syn Triangle</t>
  </si>
  <si>
    <t>0577 JD Triangle</t>
  </si>
  <si>
    <t>0578 ARP Sine HD</t>
  </si>
  <si>
    <t>0579 Sine</t>
  </si>
  <si>
    <t>0580 Digi Attack</t>
  </si>
  <si>
    <t>0581 JD Fine Wine</t>
  </si>
  <si>
    <t>0582 Digi Loop 1</t>
  </si>
  <si>
    <t>0583 Digi Loop 2</t>
  </si>
  <si>
    <t>0584 JD MetalWind</t>
  </si>
  <si>
    <t>0585 Atmosphere</t>
  </si>
  <si>
    <t>0586 DigiSpectrum</t>
  </si>
  <si>
    <t>0587 JD Vox Noise</t>
  </si>
  <si>
    <t>0588 SynVox Noise</t>
  </si>
  <si>
    <t>0589 Shaku Noise</t>
  </si>
  <si>
    <t>0590 Digi Breath</t>
  </si>
  <si>
    <t>0591 Agogo Noise</t>
  </si>
  <si>
    <t>0592 Polishing Nz</t>
  </si>
  <si>
    <t>0593 Dentist Nz</t>
  </si>
  <si>
    <t>0594 Vinyl Noise</t>
  </si>
  <si>
    <t>0595 White Noise</t>
  </si>
  <si>
    <t>0596 Pink Noise</t>
  </si>
  <si>
    <t>0597 SBF Cym Lp</t>
  </si>
  <si>
    <t>0598 SBF Bell Lp</t>
  </si>
  <si>
    <t>0599 SBF Nz Lp</t>
  </si>
  <si>
    <t>0600 SBF Vox Lp</t>
  </si>
  <si>
    <t>0601 Aah Formant</t>
  </si>
  <si>
    <t>0602 Eeh Formant</t>
  </si>
  <si>
    <t>0603 Iih Formant</t>
  </si>
  <si>
    <t>0604 Ooh Formant</t>
  </si>
  <si>
    <t>0605 Uuh Formant</t>
  </si>
  <si>
    <t>0606 Metal Vox W1</t>
  </si>
  <si>
    <t>0607 Metal Vox L1</t>
  </si>
  <si>
    <t>0608 Metal Vox W2</t>
  </si>
  <si>
    <t>0609 Metal Vox L2</t>
  </si>
  <si>
    <t>0610 Metal Vox W3</t>
  </si>
  <si>
    <t>0611 Metal Vox L3</t>
  </si>
  <si>
    <t>0612 JD Rattles</t>
  </si>
  <si>
    <t>0613 Xylo Seq.</t>
  </si>
  <si>
    <t>0614 JD Tin Wave</t>
  </si>
  <si>
    <t>0615 JD Anklungs</t>
  </si>
  <si>
    <t>0616 JD Shami</t>
  </si>
  <si>
    <t>0617 SynBassClick</t>
  </si>
  <si>
    <t>0618 JD EP Atk</t>
  </si>
  <si>
    <t>0619 EP Release</t>
  </si>
  <si>
    <t>0620 Org Click 1</t>
  </si>
  <si>
    <t>0621 Org Click 2</t>
  </si>
  <si>
    <t>0622 Org Click 3</t>
  </si>
  <si>
    <t>0623 Org Click 4</t>
  </si>
  <si>
    <t>0624 Org Click 5</t>
  </si>
  <si>
    <t>0625 Org Leakage</t>
  </si>
  <si>
    <t>0626 MG Noise Fx</t>
  </si>
  <si>
    <t>0627 JD Sm Metal</t>
  </si>
  <si>
    <t>0628 JDStrikePole</t>
  </si>
  <si>
    <t>0629 Ice Crash</t>
  </si>
  <si>
    <t>0630 JD Switch</t>
  </si>
  <si>
    <t>0631 JD Tuba Slap</t>
  </si>
  <si>
    <t>0632 JD Plink</t>
  </si>
  <si>
    <t>0633 JD Plunk</t>
  </si>
  <si>
    <t>0634 TVF Trigger</t>
  </si>
  <si>
    <t>0635 Cutting Nz</t>
  </si>
  <si>
    <t>0636 Ac.Bass Body</t>
  </si>
  <si>
    <t>0637 Flute Pad Nz</t>
  </si>
  <si>
    <t>0638 Applause</t>
  </si>
  <si>
    <t>0639 River</t>
  </si>
  <si>
    <t>0640 Thunder</t>
  </si>
  <si>
    <t>0641 Monsoon</t>
  </si>
  <si>
    <t>0642 Stream</t>
  </si>
  <si>
    <t>0643 Bubble</t>
  </si>
  <si>
    <t>0644 Bird Song</t>
  </si>
  <si>
    <t>0645 Dog Bark</t>
  </si>
  <si>
    <t>0646 Gallop</t>
  </si>
  <si>
    <t>0647 Vint.Phone</t>
  </si>
  <si>
    <t>0648 Office Phone</t>
  </si>
  <si>
    <t>0649 Mobile Phone</t>
  </si>
  <si>
    <t>0650 Door Creak</t>
  </si>
  <si>
    <t>0651 Door Slam</t>
  </si>
  <si>
    <t>0652 Car Engine</t>
  </si>
  <si>
    <t>0653 Car Slip</t>
  </si>
  <si>
    <t>0654 Car Pass</t>
  </si>
  <si>
    <t>0655 Crash Seq.</t>
  </si>
  <si>
    <t>0656 Gun Shot</t>
  </si>
  <si>
    <t>0657 Siren</t>
  </si>
  <si>
    <t>0658 Train Pass</t>
  </si>
  <si>
    <t>0659 Airplane</t>
  </si>
  <si>
    <t>0660 Space Voyage</t>
  </si>
  <si>
    <t>0661 Blow Loop</t>
  </si>
  <si>
    <t>0662 Laugh</t>
  </si>
  <si>
    <t>0663 Scream</t>
  </si>
  <si>
    <t>0664 Punch</t>
  </si>
  <si>
    <t>0665 Heartbeat</t>
  </si>
  <si>
    <t>0666 Footsteps</t>
  </si>
  <si>
    <t>0667 Machine Gun</t>
  </si>
  <si>
    <t>0668 Laser</t>
  </si>
  <si>
    <t>0669 Thunder Lp</t>
  </si>
  <si>
    <t>0670 Ac.Bass Nz 1</t>
  </si>
  <si>
    <t>0671 Ac.Bass Nz 2</t>
  </si>
  <si>
    <t>0672 E.Bass Nz 1</t>
  </si>
  <si>
    <t>0673 E.Bass Nz 2</t>
  </si>
  <si>
    <t>0674 E.Bass Slide</t>
  </si>
  <si>
    <t>0675 DistGtr Nz 1</t>
  </si>
  <si>
    <t>0676 DistGtr Nz 2</t>
  </si>
  <si>
    <t>0677 DistGtr Nz 3</t>
  </si>
  <si>
    <t>0678 GtrStroke Nz</t>
  </si>
  <si>
    <t>0679 Gtr Fret Nz1</t>
  </si>
  <si>
    <t>0680 Gtr Fret Nz2</t>
  </si>
  <si>
    <t>0681 Gtr Fret Nz3</t>
  </si>
  <si>
    <t>0682 ClassicHseHt</t>
  </si>
  <si>
    <t>0683 OrangeHit 1</t>
  </si>
  <si>
    <t>0684 OrangeHit 2</t>
  </si>
  <si>
    <t>0685 OrangeHit 3</t>
  </si>
  <si>
    <t>0686 7th Hit</t>
  </si>
  <si>
    <t>0687 Brassy Hit</t>
  </si>
  <si>
    <t>0688 Drive Hit</t>
  </si>
  <si>
    <t>0689 Filtered Hit</t>
  </si>
  <si>
    <t>0690 Mild Hit</t>
  </si>
  <si>
    <t>0691 Narrow Hit 1</t>
  </si>
  <si>
    <t>0692 Narrow Hit 2</t>
  </si>
  <si>
    <t>0693 Euro Hit</t>
  </si>
  <si>
    <t>0694 Dist Hit</t>
  </si>
  <si>
    <t>0695 Thin Beef</t>
  </si>
  <si>
    <t>0696 Tao Hit</t>
  </si>
  <si>
    <t>0697 Smear Hit 1</t>
  </si>
  <si>
    <t>0698 Smear Hit 2</t>
  </si>
  <si>
    <t>0699 LoFi Min Hit</t>
  </si>
  <si>
    <t>0700 Orch. Hit</t>
  </si>
  <si>
    <t>0701 Punch Hit</t>
  </si>
  <si>
    <t>0702 O'Skool Hit</t>
  </si>
  <si>
    <t>0703 Philly Hit</t>
  </si>
  <si>
    <t>0704 Scratch 1</t>
  </si>
  <si>
    <t>0705 Scratch 2</t>
  </si>
  <si>
    <t>0706 Scratch 3</t>
  </si>
  <si>
    <t>0707 Scratch 4</t>
  </si>
  <si>
    <t>0708 Scratch 5</t>
  </si>
  <si>
    <t>0709 Scratch 6</t>
  </si>
  <si>
    <t>0710 Scratch 7</t>
  </si>
  <si>
    <t>0711 Scratch 8</t>
  </si>
  <si>
    <t>0712 Scratch 9</t>
  </si>
  <si>
    <t>0713 Scratch 10</t>
  </si>
  <si>
    <t>0714 MG Zap 1</t>
  </si>
  <si>
    <t>0715 MG Zap 2</t>
  </si>
  <si>
    <t>0716 MG Zap 3</t>
  </si>
  <si>
    <t>0717 MG Zap 4</t>
  </si>
  <si>
    <t>0718 MG Zap 5</t>
  </si>
  <si>
    <t>0719 MG Zap 6</t>
  </si>
  <si>
    <t>0720 MG Zap 7</t>
  </si>
  <si>
    <t>0721 MG Zap 8</t>
  </si>
  <si>
    <t>0722 MG Zap 9</t>
  </si>
  <si>
    <t>0723 MG Zap 10</t>
  </si>
  <si>
    <t>0724 MG Zap 11</t>
  </si>
  <si>
    <t>0725 MG Blip</t>
  </si>
  <si>
    <t>0726 Beam HiQ</t>
  </si>
  <si>
    <t>0727 MG Attack</t>
  </si>
  <si>
    <t>0728 Syn Low Atk1</t>
  </si>
  <si>
    <t>0729 Syn Low Atk2</t>
  </si>
  <si>
    <t>0730 Syn Hrd Atk1</t>
  </si>
  <si>
    <t>0731 Syn Hrd Atk2</t>
  </si>
  <si>
    <t>0732 Syn Hrd Atk3</t>
  </si>
  <si>
    <t>0733 Syn Hrd Atk4</t>
  </si>
  <si>
    <t>0734 Syn Mtl Atk1</t>
  </si>
  <si>
    <t>0735 Syn Mtl Atk2</t>
  </si>
  <si>
    <t>0736 Syn Swt Atk1</t>
  </si>
  <si>
    <t>0737 Syn Swt Atk2</t>
  </si>
  <si>
    <t>0738 Syn Swt Atk3</t>
  </si>
  <si>
    <t>0739 Syn Swt Atk4</t>
  </si>
  <si>
    <t>0740 Syn Swt Atk5</t>
  </si>
  <si>
    <t>0741 Syn Swt Atk6</t>
  </si>
  <si>
    <t>0742 Syn Swt Atk7</t>
  </si>
  <si>
    <t>0743 Reg.Kick p L</t>
  </si>
  <si>
    <t>0744 Reg.Kick p R</t>
  </si>
  <si>
    <t>0745 Reg.Kick f L</t>
  </si>
  <si>
    <t>0746 Reg.Kick f R</t>
  </si>
  <si>
    <t>0747 Reg.Kick ffL</t>
  </si>
  <si>
    <t>0748 Reg.Kick ffR</t>
  </si>
  <si>
    <t>0749 Rock Kick p</t>
  </si>
  <si>
    <t>0750 Rock Kick f</t>
  </si>
  <si>
    <t>0751 Jazz Kick p</t>
  </si>
  <si>
    <t>0752 Jazz Kick mf</t>
  </si>
  <si>
    <t>0753 Jazz Kick f</t>
  </si>
  <si>
    <t>0754 Dry Kick 1</t>
  </si>
  <si>
    <t>0755 Tight Kick 1</t>
  </si>
  <si>
    <t>0756 Tight Kick 2</t>
  </si>
  <si>
    <t>0757 Old Kick</t>
  </si>
  <si>
    <t>0758 Jz Dry Kick</t>
  </si>
  <si>
    <t>0759 Bright Kick</t>
  </si>
  <si>
    <t>0760 Dry Kick 2</t>
  </si>
  <si>
    <t>0761 Dry Kick 3</t>
  </si>
  <si>
    <t>0762 Power Kick</t>
  </si>
  <si>
    <t>0763 R&amp;B Kick L</t>
  </si>
  <si>
    <t>0764 R&amp;B Kick R</t>
  </si>
  <si>
    <t>0765 Rk CmpKick L</t>
  </si>
  <si>
    <t>0766 Rk CmpKick R</t>
  </si>
  <si>
    <t>0767 MaxLow Kick1</t>
  </si>
  <si>
    <t>0768 MaxLow Kick2</t>
  </si>
  <si>
    <t>0769 MaxLow Kick3</t>
  </si>
  <si>
    <t>0770 Dist Kick</t>
  </si>
  <si>
    <t>0771 FB Kick</t>
  </si>
  <si>
    <t>0772 Rough Kick1</t>
  </si>
  <si>
    <t>0773 Rough Kick2</t>
  </si>
  <si>
    <t>0774 Rough Kick3</t>
  </si>
  <si>
    <t>0775 Click Kick</t>
  </si>
  <si>
    <t>0776 Pick Kick</t>
  </si>
  <si>
    <t>0777 Back Kick</t>
  </si>
  <si>
    <t>0778 Vinyl Kick</t>
  </si>
  <si>
    <t>0779 Low Kick 1</t>
  </si>
  <si>
    <t>0780 Boys Kick</t>
  </si>
  <si>
    <t>0781 Hippie Kick</t>
  </si>
  <si>
    <t>0782 Frenzy Kick</t>
  </si>
  <si>
    <t>0783 PlasticKick1</t>
  </si>
  <si>
    <t>0784 Swallow Kick</t>
  </si>
  <si>
    <t>0785 Neck Kick</t>
  </si>
  <si>
    <t>0786 70's Kick</t>
  </si>
  <si>
    <t>0787 Skool Kick</t>
  </si>
  <si>
    <t>0788 Dance Kick</t>
  </si>
  <si>
    <t>0789 HipHop Kick1</t>
  </si>
  <si>
    <t>0790 HipHop Kick2</t>
  </si>
  <si>
    <t>0791 Pin Kick</t>
  </si>
  <si>
    <t>0792 Low Kick 2</t>
  </si>
  <si>
    <t>0793 Low Kick 3</t>
  </si>
  <si>
    <t>0794 AnalogKick 1</t>
  </si>
  <si>
    <t>0795 PlasticKick2</t>
  </si>
  <si>
    <t>0796 PlasticKick3</t>
  </si>
  <si>
    <t>0797 TR909 Kick 1</t>
  </si>
  <si>
    <t>0798 TR909 Kick 2</t>
  </si>
  <si>
    <t>0799 AnalogKick 2</t>
  </si>
  <si>
    <t>0800 TR909 Kick 3</t>
  </si>
  <si>
    <t>0801 AnalogKick 3</t>
  </si>
  <si>
    <t>0802 AnalogKick 4</t>
  </si>
  <si>
    <t>0803 AnalogKick 5</t>
  </si>
  <si>
    <t>0804 AnalogKick 6</t>
  </si>
  <si>
    <t>0805 TR606DstKick</t>
  </si>
  <si>
    <t>0806 TR808 Kick</t>
  </si>
  <si>
    <t>0807 TR909 Kick 4</t>
  </si>
  <si>
    <t>0808 TR909 Kick 5</t>
  </si>
  <si>
    <t>0809 SH32 Kick</t>
  </si>
  <si>
    <t>0810 TR707 Kick</t>
  </si>
  <si>
    <t>0811 TR909 Kick 6</t>
  </si>
  <si>
    <t>0812 Roll Kick</t>
  </si>
  <si>
    <t>0813 Reg.Snr1 p L</t>
  </si>
  <si>
    <t>0814 Reg.Snr1 p R</t>
  </si>
  <si>
    <t>0815 Reg.Snr1mf L</t>
  </si>
  <si>
    <t>0816 Reg.Snr1mf R</t>
  </si>
  <si>
    <t>0817 Reg.Snr1 f L</t>
  </si>
  <si>
    <t>0818 Reg.Snr1 f R</t>
  </si>
  <si>
    <t>0819 Reg.Snr1ff L</t>
  </si>
  <si>
    <t>0820 Reg.Snr1ff R</t>
  </si>
  <si>
    <t>0821 Reg.Snr2 p L</t>
  </si>
  <si>
    <t>0822 Reg.Snr2 p R</t>
  </si>
  <si>
    <t>0823 Reg.Snr2 f L</t>
  </si>
  <si>
    <t>0824 Reg.Snr2 f R</t>
  </si>
  <si>
    <t>0825 Reg.Snr2ff L</t>
  </si>
  <si>
    <t>0826 Reg.Snr2ff R</t>
  </si>
  <si>
    <t>0827 Reg.SnrFlm L</t>
  </si>
  <si>
    <t>0828 Reg.SnrFlm R</t>
  </si>
  <si>
    <t>0829 Amb.Snr1 p L</t>
  </si>
  <si>
    <t>0830 Amb.Snr1 p R</t>
  </si>
  <si>
    <t>0831 Amb.Snr1 f L</t>
  </si>
  <si>
    <t>0832 Amb.Snr1 f R</t>
  </si>
  <si>
    <t>0833 Amb.Snr2 p L</t>
  </si>
  <si>
    <t>0834 Amb.Snr2 p R</t>
  </si>
  <si>
    <t>0835 Amb.Snr2 f L</t>
  </si>
  <si>
    <t>0836 Amb.Snr2 f R</t>
  </si>
  <si>
    <t>0837 Piccolo Snr</t>
  </si>
  <si>
    <t>0838 Maple Snr</t>
  </si>
  <si>
    <t>0839 Natural Snr1</t>
  </si>
  <si>
    <t>0840 Natural Snr2</t>
  </si>
  <si>
    <t>0841 Dry Snr p</t>
  </si>
  <si>
    <t>0842 Dry Snr f</t>
  </si>
  <si>
    <t>0843 Ballad Snr</t>
  </si>
  <si>
    <t>0844 Light Snr p</t>
  </si>
  <si>
    <t>0845 Light Snr f</t>
  </si>
  <si>
    <t>0846 Light Snr ff</t>
  </si>
  <si>
    <t>0847 Light SnrRim</t>
  </si>
  <si>
    <t>0848 Click Snr p</t>
  </si>
  <si>
    <t>0849 Click Snr f</t>
  </si>
  <si>
    <t>0850 Click Snr ff</t>
  </si>
  <si>
    <t>0851 Rock Snr p</t>
  </si>
  <si>
    <t>0852 Rock Snr mf</t>
  </si>
  <si>
    <t>0853 Rock Snr f</t>
  </si>
  <si>
    <t>0854 Rock Rim p</t>
  </si>
  <si>
    <t>0855 Rock Rim mf</t>
  </si>
  <si>
    <t>0856 Rock Rim f</t>
  </si>
  <si>
    <t>0857 Reg.SnrGst L</t>
  </si>
  <si>
    <t>0858 Reg.SnrGst R</t>
  </si>
  <si>
    <t>0859 Rock Snr Gst</t>
  </si>
  <si>
    <t>0860 Sft Snr Gst</t>
  </si>
  <si>
    <t>0861 Jazz Snr p</t>
  </si>
  <si>
    <t>0862 Jazz Snr mf</t>
  </si>
  <si>
    <t>0863 Jazz Snr f</t>
  </si>
  <si>
    <t>0864 Jazz Snr ff</t>
  </si>
  <si>
    <t>0865 Jazz Rim p</t>
  </si>
  <si>
    <t>0866 Jazz Rim mf</t>
  </si>
  <si>
    <t>0867 Jazz Rim f</t>
  </si>
  <si>
    <t>0868 Jazz Rim ff</t>
  </si>
  <si>
    <t>0869 Jz Brsh Slap</t>
  </si>
  <si>
    <t>0870 Jz Brsh Swsh</t>
  </si>
  <si>
    <t>0871 Swish&amp;Turn p</t>
  </si>
  <si>
    <t>0872 Swish&amp;Turn f</t>
  </si>
  <si>
    <t>0873 Snr Roll</t>
  </si>
  <si>
    <t>0874 Snr Roll Lp</t>
  </si>
  <si>
    <t>0875 Soft Jz Roll</t>
  </si>
  <si>
    <t>0876 BrushRoll Lp</t>
  </si>
  <si>
    <t>0877 GoodOld Snr1</t>
  </si>
  <si>
    <t>0878 GoodOld Snr2</t>
  </si>
  <si>
    <t>0879 GoodOld Snr3</t>
  </si>
  <si>
    <t>0880 GoodOld Snr4</t>
  </si>
  <si>
    <t>0881 GoodOld Snr5</t>
  </si>
  <si>
    <t>0882 GoodOld Snr6</t>
  </si>
  <si>
    <t>0883 Dirty Snr 1</t>
  </si>
  <si>
    <t>0884 Dirty Snr 2</t>
  </si>
  <si>
    <t>0885 Dirty Snr 3</t>
  </si>
  <si>
    <t>0886 Dirty Snr 4</t>
  </si>
  <si>
    <t>0887 Dirty Snr 5</t>
  </si>
  <si>
    <t>0888 Dirty Snr 6</t>
  </si>
  <si>
    <t>0889 Dirty Snr 7</t>
  </si>
  <si>
    <t>0890 Dirty Snr 8</t>
  </si>
  <si>
    <t>0891 Dirty Snr 9</t>
  </si>
  <si>
    <t>0892 Dirty Snr 10</t>
  </si>
  <si>
    <t>0893 Grit Snr 1</t>
  </si>
  <si>
    <t>0894 Grit Snr 2</t>
  </si>
  <si>
    <t>0895 Grit Snr 3</t>
  </si>
  <si>
    <t>0896 Grit Snr 4</t>
  </si>
  <si>
    <t>0897 LoBit SnrFlm</t>
  </si>
  <si>
    <t>0898 Lo-Bit Snr 1</t>
  </si>
  <si>
    <t>0899 Lo-Bit Snr 2</t>
  </si>
  <si>
    <t>0900 Lo-Bit Snr 3</t>
  </si>
  <si>
    <t>0901 BmbCmp Snr</t>
  </si>
  <si>
    <t>0902 MrchCmp Snr</t>
  </si>
  <si>
    <t>0903 Frenzy Snr 1</t>
  </si>
  <si>
    <t>0904 Frenzy Snr 2</t>
  </si>
  <si>
    <t>0905 Slap Snr 1</t>
  </si>
  <si>
    <t>0906 Keen Snr 1</t>
  </si>
  <si>
    <t>0907 Reggae Snr</t>
  </si>
  <si>
    <t>0908 DR660 Snr</t>
  </si>
  <si>
    <t>0909 Pop Snr p</t>
  </si>
  <si>
    <t>0910 Pop Snr f</t>
  </si>
  <si>
    <t>0911 Pop Snr Rim</t>
  </si>
  <si>
    <t>0912 Med Snare</t>
  </si>
  <si>
    <t>0913 Jngl pkt Snr</t>
  </si>
  <si>
    <t>0914 Pocket Snr</t>
  </si>
  <si>
    <t>0915 Flange Snr</t>
  </si>
  <si>
    <t>0916 Slap Snr 2</t>
  </si>
  <si>
    <t>0917 Analog Snr 1</t>
  </si>
  <si>
    <t>0918 Analog Snr 2</t>
  </si>
  <si>
    <t>0919 Analog Snr 3</t>
  </si>
  <si>
    <t>0920 Jam Snr</t>
  </si>
  <si>
    <t>0921 Back Snr</t>
  </si>
  <si>
    <t>0922 Keen Snr 2</t>
  </si>
  <si>
    <t>0923 Boys Snr 1</t>
  </si>
  <si>
    <t>0924 Slap Snr 3</t>
  </si>
  <si>
    <t>0925 Neck Snr</t>
  </si>
  <si>
    <t>0926 Artful Snr</t>
  </si>
  <si>
    <t>0927 Pin Snr</t>
  </si>
  <si>
    <t>0928 Chemical Snr</t>
  </si>
  <si>
    <t>0929 Sizzle Snr</t>
  </si>
  <si>
    <t>0930 Tiny Snare</t>
  </si>
  <si>
    <t>0931 R&amp;B Snare 1</t>
  </si>
  <si>
    <t>0932 R&amp;B Snare 2</t>
  </si>
  <si>
    <t>0933 Cross Snr</t>
  </si>
  <si>
    <t>0934 Grave Snr</t>
  </si>
  <si>
    <t>0935 Boys Snr 2</t>
  </si>
  <si>
    <t>0936 Boys Snr 3</t>
  </si>
  <si>
    <t>0937 Low Down Snr</t>
  </si>
  <si>
    <t>0938 TR909 Snr 1</t>
  </si>
  <si>
    <t>0939 TR909 Snr 2</t>
  </si>
  <si>
    <t>0940 TR909 Snr 3</t>
  </si>
  <si>
    <t>0941 TR909 Snr 4</t>
  </si>
  <si>
    <t>0942 TR909 Snr 5</t>
  </si>
  <si>
    <t>0943 TR909 Snr 6</t>
  </si>
  <si>
    <t>0944 TR808 Snr 1</t>
  </si>
  <si>
    <t>0945 TR808 Snr 2</t>
  </si>
  <si>
    <t>0946 TR808 Snr 3</t>
  </si>
  <si>
    <t>0947 TR808 Snr 4</t>
  </si>
  <si>
    <t>0948 Lite Snare</t>
  </si>
  <si>
    <t>0949 TR808 Snr 5</t>
  </si>
  <si>
    <t>0950 TR808 Snr 6</t>
  </si>
  <si>
    <t>0951 TR808 Snr 7</t>
  </si>
  <si>
    <t>0952 TR606 Snr 1</t>
  </si>
  <si>
    <t>0953 TR606 Snr 2</t>
  </si>
  <si>
    <t>0954 CR78 Snare</t>
  </si>
  <si>
    <t>0955 Urbn Sn Roll</t>
  </si>
  <si>
    <t>0956 Jngl SnrRoll</t>
  </si>
  <si>
    <t>0957 Reg.Stick L</t>
  </si>
  <si>
    <t>0958 Reg.Stick R</t>
  </si>
  <si>
    <t>0959 Soft Stick</t>
  </si>
  <si>
    <t>0960 Hard Stick</t>
  </si>
  <si>
    <t>0961 Wild Stick</t>
  </si>
  <si>
    <t>0962 Rock Stick</t>
  </si>
  <si>
    <t>0963 Lo-Bit Stk 1</t>
  </si>
  <si>
    <t>0964 Lo-Bit Stk 2</t>
  </si>
  <si>
    <t>0965 Lo-Bit Stk 3</t>
  </si>
  <si>
    <t>0966 Lo-Bit Stk 4</t>
  </si>
  <si>
    <t>0967 Dry Stick 1</t>
  </si>
  <si>
    <t>0968 Dry Stick 2</t>
  </si>
  <si>
    <t>0969 Dry Stick 3</t>
  </si>
  <si>
    <t>0970 Dry Stick 4</t>
  </si>
  <si>
    <t>0971 Dry Stick 5</t>
  </si>
  <si>
    <t>0972 R8 Comp Rim</t>
  </si>
  <si>
    <t>0973 R&amp;B Rim 1</t>
  </si>
  <si>
    <t>0974 R&amp;B Rim 2</t>
  </si>
  <si>
    <t>0975 R&amp;B Rim 3</t>
  </si>
  <si>
    <t>0976 Neck Rim</t>
  </si>
  <si>
    <t>0977 Swag Rim</t>
  </si>
  <si>
    <t>0978 Step Rim</t>
  </si>
  <si>
    <t>0979 R&amp;B Rim 4</t>
  </si>
  <si>
    <t>0980 Street Rim</t>
  </si>
  <si>
    <t>0981 Regular Rim</t>
  </si>
  <si>
    <t>0982 TR909 Rim</t>
  </si>
  <si>
    <t>0983 TR808 Rim</t>
  </si>
  <si>
    <t>0984 Reg.F.Tom p</t>
  </si>
  <si>
    <t>0985 Reg.F.Tom f</t>
  </si>
  <si>
    <t>0986 Reg.L.Tom p</t>
  </si>
  <si>
    <t>0987 Reg.L.Tom f</t>
  </si>
  <si>
    <t>0988 Reg.M.Tom p</t>
  </si>
  <si>
    <t>0989 Reg.M.Tom f</t>
  </si>
  <si>
    <t>0990 Reg.H.Tom p</t>
  </si>
  <si>
    <t>0991 Reg.H.Tom f</t>
  </si>
  <si>
    <t>0992 Reg.L.TomFlm</t>
  </si>
  <si>
    <t>0993 Reg.M.TomFlm</t>
  </si>
  <si>
    <t>0994 Reg.H.TomFlm</t>
  </si>
  <si>
    <t>0995 Jazz Lo Tom</t>
  </si>
  <si>
    <t>0996 Jazz Mid Tom</t>
  </si>
  <si>
    <t>0997 Jazz Hi Tom</t>
  </si>
  <si>
    <t>0998 Jazz Lo Flm</t>
  </si>
  <si>
    <t>0999 Jazz Mid Flm</t>
  </si>
  <si>
    <t>1000 Jazz Hi Flm</t>
  </si>
  <si>
    <t>1001 Sharp Lo Tom</t>
  </si>
  <si>
    <t>1002 Sharp Hi Tom</t>
  </si>
  <si>
    <t>1003 Dry Lo Tom</t>
  </si>
  <si>
    <t>1004 Dry Hi Tom</t>
  </si>
  <si>
    <t>1005 TR909 Tom</t>
  </si>
  <si>
    <t>1006 TR909 DstTom</t>
  </si>
  <si>
    <t>1007 TR808 Tom</t>
  </si>
  <si>
    <t>1008 TR606 Tom</t>
  </si>
  <si>
    <t>1009 Deep Tom</t>
  </si>
  <si>
    <t>1010 Reg.CHH 1 p</t>
  </si>
  <si>
    <t>1011 Reg.CHH 1 mf</t>
  </si>
  <si>
    <t>1012 Reg.CHH 1 f</t>
  </si>
  <si>
    <t>1013 Reg.CHH 1 ff</t>
  </si>
  <si>
    <t>1014 Reg.CHH 2 mf</t>
  </si>
  <si>
    <t>1015 Reg.CHH 2 f</t>
  </si>
  <si>
    <t>1016 Reg.CHH 2 ff</t>
  </si>
  <si>
    <t>1017 Reg.PHH mf</t>
  </si>
  <si>
    <t>1018 Reg.PHH f</t>
  </si>
  <si>
    <t>1019 Reg.OHH mf</t>
  </si>
  <si>
    <t>1020 Reg.OHH f</t>
  </si>
  <si>
    <t>1021 Reg.OHH ff</t>
  </si>
  <si>
    <t>1022 Rock CHH1 mf</t>
  </si>
  <si>
    <t>1023 Rock CHH1 f</t>
  </si>
  <si>
    <t>1024 Rock CHH2 mf</t>
  </si>
  <si>
    <t>1025 Rock CHH2 f</t>
  </si>
  <si>
    <t>1026 Rock PHH</t>
  </si>
  <si>
    <t>1027 Rock OHH</t>
  </si>
  <si>
    <t>1028 Lo-Bit CHH 1</t>
  </si>
  <si>
    <t>1029 Lo-Bit CHH 2</t>
  </si>
  <si>
    <t>1030 Lo-Bit CHH 3</t>
  </si>
  <si>
    <t>1031 Lo-Bit CHH 4</t>
  </si>
  <si>
    <t>1032 Lo-Bit CHH 5</t>
  </si>
  <si>
    <t>1033 Modern CHH</t>
  </si>
  <si>
    <t>1034 HipHop CHH 1</t>
  </si>
  <si>
    <t>1035 Urban CHH</t>
  </si>
  <si>
    <t>1036 Bang CHH</t>
  </si>
  <si>
    <t>1037 LowDwn CHH</t>
  </si>
  <si>
    <t>1038 Disc CHH</t>
  </si>
  <si>
    <t>1039 Club CHH 1</t>
  </si>
  <si>
    <t>1040 HipHop CHH 2</t>
  </si>
  <si>
    <t>1041 TR909 CHH 1</t>
  </si>
  <si>
    <t>1042 TR909 CHH 2</t>
  </si>
  <si>
    <t>1043 Shaky CHH</t>
  </si>
  <si>
    <t>1044 Club CHH 2</t>
  </si>
  <si>
    <t>1045 TR808 CHH 1</t>
  </si>
  <si>
    <t>1046 TR808 CHH 2</t>
  </si>
  <si>
    <t>1047 TR606 CHH 1</t>
  </si>
  <si>
    <t>1048 TR606 CHH 2</t>
  </si>
  <si>
    <t>1049 TR606 DstCHH</t>
  </si>
  <si>
    <t>1050 Lite CHH</t>
  </si>
  <si>
    <t>1051 CR78 CHH</t>
  </si>
  <si>
    <t>1052 DR55 CHH</t>
  </si>
  <si>
    <t>1053 Neck CHH</t>
  </si>
  <si>
    <t>1054 Dance CHH</t>
  </si>
  <si>
    <t>1055 Street PHH</t>
  </si>
  <si>
    <t>1056 Swallow PHH</t>
  </si>
  <si>
    <t>1057 Hip PHH</t>
  </si>
  <si>
    <t>1058 TR909 PHH 1</t>
  </si>
  <si>
    <t>1059 TR909 PHH 2</t>
  </si>
  <si>
    <t>1060 TR808 PHH</t>
  </si>
  <si>
    <t>1061 TR606 PHH 1</t>
  </si>
  <si>
    <t>1062 TR606 PHH 2</t>
  </si>
  <si>
    <t>1063 Lo-Bit PHH</t>
  </si>
  <si>
    <t>1064 Lo-Bit OHH 1</t>
  </si>
  <si>
    <t>1065 Lo-Bit OHH 2</t>
  </si>
  <si>
    <t>1066 Lo-Bit OHH 3</t>
  </si>
  <si>
    <t>1067 Neck OHH</t>
  </si>
  <si>
    <t>1068 Bang OHH</t>
  </si>
  <si>
    <t>1069 HipHop OHH</t>
  </si>
  <si>
    <t>1070 TR909 OHH 1</t>
  </si>
  <si>
    <t>1071 TR909 OHH 2</t>
  </si>
  <si>
    <t>1072 TR808 OHH 1</t>
  </si>
  <si>
    <t>1073 TR808 OHH 2</t>
  </si>
  <si>
    <t>1074 TR606 OHH</t>
  </si>
  <si>
    <t>1075 Lite OHH</t>
  </si>
  <si>
    <t>1076 CR78 OHH</t>
  </si>
  <si>
    <t>1077 Crash Cym1 p</t>
  </si>
  <si>
    <t>1078 Crash Cym1 f</t>
  </si>
  <si>
    <t>1079 Crash Cym 2</t>
  </si>
  <si>
    <t>1080 Rock Crash 1</t>
  </si>
  <si>
    <t>1081 Rock Crash 2</t>
  </si>
  <si>
    <t>1082 Splash Cym</t>
  </si>
  <si>
    <t>1083 Jazz Crash</t>
  </si>
  <si>
    <t>1084 TR909 Crash</t>
  </si>
  <si>
    <t>1085 TR606 Cym</t>
  </si>
  <si>
    <t>1086 Ride Cymbal</t>
  </si>
  <si>
    <t>1087 Ride Bell</t>
  </si>
  <si>
    <t>1088 Rock Rd Cup</t>
  </si>
  <si>
    <t>1089 Rock Rd Edge</t>
  </si>
  <si>
    <t>1090 Jazz Ride p</t>
  </si>
  <si>
    <t>1091 Jazz Ride mf</t>
  </si>
  <si>
    <t>1092 TR909 Ride</t>
  </si>
  <si>
    <t>1093 TR707 Ride</t>
  </si>
  <si>
    <t>1094 China Cymbal</t>
  </si>
  <si>
    <t>1095 Concert Cym</t>
  </si>
  <si>
    <t>1096 Hand Clap</t>
  </si>
  <si>
    <t>1097 Club Clap</t>
  </si>
  <si>
    <t>1098 Short Clap</t>
  </si>
  <si>
    <t>1099 Real Clap</t>
  </si>
  <si>
    <t>1100 Bright Clap</t>
  </si>
  <si>
    <t>1101 R8 Clap</t>
  </si>
  <si>
    <t>1102 Gospel Clap</t>
  </si>
  <si>
    <t>1103 Amb Clap</t>
  </si>
  <si>
    <t>1104 Hip Clap</t>
  </si>
  <si>
    <t>1105 Funk Clap</t>
  </si>
  <si>
    <t>1106 Group Clap</t>
  </si>
  <si>
    <t>1107 Claptail</t>
  </si>
  <si>
    <t>1108 Planet Clap</t>
  </si>
  <si>
    <t>1109 Royal Clap</t>
  </si>
  <si>
    <t>1110 Happy Clap</t>
  </si>
  <si>
    <t>1111 TR808 Clap 1</t>
  </si>
  <si>
    <t>1112 Disc Clap</t>
  </si>
  <si>
    <t>1113 Dist Clap</t>
  </si>
  <si>
    <t>1114 Old Clap</t>
  </si>
  <si>
    <t>1115 TR909 Clap 1</t>
  </si>
  <si>
    <t>1116 TR909 Clap 2</t>
  </si>
  <si>
    <t>1117 TR808 Clap 2</t>
  </si>
  <si>
    <t>1118 TR707 Clap</t>
  </si>
  <si>
    <t>1119 Cheap Clap</t>
  </si>
  <si>
    <t>1120 Finger Snap</t>
  </si>
  <si>
    <t>1121 Club FinSnap</t>
  </si>
  <si>
    <t>1122 Single Snap</t>
  </si>
  <si>
    <t>1123 Snap</t>
  </si>
  <si>
    <t>1124 Group Snap</t>
  </si>
  <si>
    <t>1125 Vox Kick 1</t>
  </si>
  <si>
    <t>1126 Vox Kick 2</t>
  </si>
  <si>
    <t>1127 VoxKickSweep</t>
  </si>
  <si>
    <t>1128 Vox Snare 1</t>
  </si>
  <si>
    <t>1129 Vox Snare 2</t>
  </si>
  <si>
    <t>1130 Vox Hihat 1</t>
  </si>
  <si>
    <t>1131 Vox Hihat 2</t>
  </si>
  <si>
    <t>1132 Vox Hihat 3</t>
  </si>
  <si>
    <t>1133 Vox Cymbal</t>
  </si>
  <si>
    <t>1134 Pa!</t>
  </si>
  <si>
    <t>1135 Chiki!</t>
  </si>
  <si>
    <t>1136 Cowbell</t>
  </si>
  <si>
    <t>1137 Cowbell Mute</t>
  </si>
  <si>
    <t>1138 Wood Block</t>
  </si>
  <si>
    <t>1139 Claves</t>
  </si>
  <si>
    <t>1140 TR808 Claves</t>
  </si>
  <si>
    <t>1141 CR78 Beat</t>
  </si>
  <si>
    <t>1142 Castanet</t>
  </si>
  <si>
    <t>1143 Whistle</t>
  </si>
  <si>
    <t>1144 Bongo Hi Mt</t>
  </si>
  <si>
    <t>1145 Bongo Hi Slp</t>
  </si>
  <si>
    <t>1146 Bongo Lo Slp</t>
  </si>
  <si>
    <t>1147 Bongo Hi Op</t>
  </si>
  <si>
    <t>1148 Bongo Lo Op</t>
  </si>
  <si>
    <t>1149 Conga Hi Mt</t>
  </si>
  <si>
    <t>1150 Conga Lo Mt</t>
  </si>
  <si>
    <t>1151 Conga Hi Slp</t>
  </si>
  <si>
    <t>1152 Conga Lo Slp</t>
  </si>
  <si>
    <t>1153 Conga Hi Op</t>
  </si>
  <si>
    <t>1154 Conga Lo Op</t>
  </si>
  <si>
    <t>1155 Conga Slp Op</t>
  </si>
  <si>
    <t>1156 Conga Efx</t>
  </si>
  <si>
    <t>1157 Conga Thumb</t>
  </si>
  <si>
    <t>1158 Timbale 1</t>
  </si>
  <si>
    <t>1159 Timbale 2</t>
  </si>
  <si>
    <t>1160 Cabasa Up</t>
  </si>
  <si>
    <t>1161 Cabasa Down</t>
  </si>
  <si>
    <t>1162 Cabasa Cut</t>
  </si>
  <si>
    <t>1163 Maracas</t>
  </si>
  <si>
    <t>1164 808 Maracas</t>
  </si>
  <si>
    <t>1165 R8 Shaker 1</t>
  </si>
  <si>
    <t>1166 R8 Shaker 2</t>
  </si>
  <si>
    <t>1167 Shaker 1</t>
  </si>
  <si>
    <t>1168 Shaker 2</t>
  </si>
  <si>
    <t>1169 Bone Shake</t>
  </si>
  <si>
    <t>1170 CR78 Guiro</t>
  </si>
  <si>
    <t>1171 Guiro 1</t>
  </si>
  <si>
    <t>1172 Guiro 2</t>
  </si>
  <si>
    <t>1173 Guiro Long</t>
  </si>
  <si>
    <t>1174 TR727Quijada</t>
  </si>
  <si>
    <t>1175 Vibraslap</t>
  </si>
  <si>
    <t>1176 Tamborine 1</t>
  </si>
  <si>
    <t>1177 Tamborine 2</t>
  </si>
  <si>
    <t>1178 Tamborine 3</t>
  </si>
  <si>
    <t>1179 CR78 Tamb</t>
  </si>
  <si>
    <t>1180 TablaBayam 1</t>
  </si>
  <si>
    <t>1181 TablaBayam 2</t>
  </si>
  <si>
    <t>1182 TablaBayam 3</t>
  </si>
  <si>
    <t>1183 TablaBayam 4</t>
  </si>
  <si>
    <t>1184 TablaBayam 5</t>
  </si>
  <si>
    <t>1185 TablaBayam 6</t>
  </si>
  <si>
    <t>1186 TablaBayam 7</t>
  </si>
  <si>
    <t>1187 Cajon 1</t>
  </si>
  <si>
    <t>1188 Cajon 2</t>
  </si>
  <si>
    <t>1189 Cajon 3</t>
  </si>
  <si>
    <t>1190 Udo</t>
  </si>
  <si>
    <t>1191 Udu Pot Hi</t>
  </si>
  <si>
    <t>1192 Udu Pot Slp</t>
  </si>
  <si>
    <t>1193 SprgDrm Hit</t>
  </si>
  <si>
    <t>1194 Op Pandeiro</t>
  </si>
  <si>
    <t>1195 Mt Pandeiro</t>
  </si>
  <si>
    <t>1196 Cuica</t>
  </si>
  <si>
    <t>1197 Timpani p</t>
  </si>
  <si>
    <t>1198 Timpani f</t>
  </si>
  <si>
    <t>1199 Timpani Roll</t>
  </si>
  <si>
    <t>1200 Timpani Lp</t>
  </si>
  <si>
    <t>1201 ConcertBD p</t>
  </si>
  <si>
    <t>1202 ConcertBD f</t>
  </si>
  <si>
    <t>1203 ConcertBD ff</t>
  </si>
  <si>
    <t>1204 ConcertBD Lp</t>
  </si>
  <si>
    <t>1205 Triangle 1</t>
  </si>
  <si>
    <t>1206 Triangle 2</t>
  </si>
  <si>
    <t>1207 Tibet Cymbal</t>
  </si>
  <si>
    <t>1208 Slight Bell</t>
  </si>
  <si>
    <t>1209 Wind Chime</t>
  </si>
  <si>
    <t>1210 Crotale</t>
  </si>
  <si>
    <t>1211 R8 Click</t>
  </si>
  <si>
    <t>1212 Metro Bell</t>
  </si>
  <si>
    <t>1213 Metro Click</t>
  </si>
  <si>
    <t>1214 MC500 Beep 1</t>
  </si>
  <si>
    <t>1215 MC500 Beep 2</t>
  </si>
  <si>
    <t>1216 DR202 Beep</t>
  </si>
  <si>
    <t>1217 Low Saw1</t>
  </si>
  <si>
    <t>1218 Low Saw1 inv</t>
  </si>
  <si>
    <t>1219 Low Saw2</t>
  </si>
  <si>
    <t>1220 Low Pulse 1</t>
  </si>
  <si>
    <t>1221 Low Pulse 2</t>
  </si>
  <si>
    <t>1222 Low Square</t>
  </si>
  <si>
    <t>1223 Low Sine</t>
  </si>
  <si>
    <t>1224 Low Triangle</t>
  </si>
  <si>
    <t>1225 Low White Nz</t>
  </si>
  <si>
    <t>1226 Low Pink Nz</t>
  </si>
  <si>
    <t>1227 DC</t>
  </si>
  <si>
    <t>1228 Reverse Cym</t>
  </si>
  <si>
    <t>1 StGrand pA L</t>
  </si>
  <si>
    <t>2 StGrand pA R</t>
  </si>
  <si>
    <t>3 StGrand pB L</t>
  </si>
  <si>
    <t>4 StGrand pB R</t>
  </si>
  <si>
    <t>5 StGrand pC L</t>
  </si>
  <si>
    <t>6 StGrand pC R</t>
  </si>
  <si>
    <t>7 StGrand fA L</t>
  </si>
  <si>
    <t>8 StGrand fA R</t>
  </si>
  <si>
    <t>9 StGrand fB L</t>
  </si>
  <si>
    <t>10 StGrand fB R</t>
  </si>
  <si>
    <t>11 StGrand fC L</t>
  </si>
  <si>
    <t>12 StGrand fC R</t>
  </si>
  <si>
    <t>13 Ac Piano2 pA</t>
  </si>
  <si>
    <t>14 Ac Piano2 pB</t>
  </si>
  <si>
    <t>15 Ac Piano2 pC</t>
  </si>
  <si>
    <t>16 Ac Piano2 fA</t>
  </si>
  <si>
    <t>17 Ac Piano2 fB</t>
  </si>
  <si>
    <t>18 Ac Piano2 fC</t>
  </si>
  <si>
    <t>19 Ac Piano1 A</t>
  </si>
  <si>
    <t>20 Ac Piano1 B</t>
  </si>
  <si>
    <t>21 Ac Piano1 C</t>
  </si>
  <si>
    <t>22 Piano Thump</t>
  </si>
  <si>
    <t>23 Piano Up TH</t>
  </si>
  <si>
    <t>24 Piano Atk</t>
  </si>
  <si>
    <t>25 MKS-20 P3 A</t>
  </si>
  <si>
    <t>26 MKS-20 P3 B</t>
  </si>
  <si>
    <t>27 MKS-20 P3 C</t>
  </si>
  <si>
    <t>28 SA Rhodes 1A</t>
  </si>
  <si>
    <t>29 SA Rhodes 1B</t>
  </si>
  <si>
    <t>30 SA Rhodes 1C</t>
  </si>
  <si>
    <t>31 SA Rhodes 2A</t>
  </si>
  <si>
    <t>32 SA Rhodes 2B</t>
  </si>
  <si>
    <t>33 SA Rhodes 2C</t>
  </si>
  <si>
    <t>34 Dyn Rhd mp A</t>
  </si>
  <si>
    <t>35 Dyn Rhd mp B</t>
  </si>
  <si>
    <t>36 Dyn Rhd mp C</t>
  </si>
  <si>
    <t>37 Dyn Rhd mf A</t>
  </si>
  <si>
    <t>38 Dyn Rhd mf B</t>
  </si>
  <si>
    <t>39 Dyn Rhd mf C</t>
  </si>
  <si>
    <t>40 Dyn Rhd ff A</t>
  </si>
  <si>
    <t>41 Dyn Rhd ff B</t>
  </si>
  <si>
    <t>42 Dyn Rhd ff C</t>
  </si>
  <si>
    <t>43 Wurly soft A</t>
  </si>
  <si>
    <t>44 Wurly soft B</t>
  </si>
  <si>
    <t>45 Wurly soft C</t>
  </si>
  <si>
    <t>46 Wurly hard A</t>
  </si>
  <si>
    <t>47 Wurly hard B</t>
  </si>
  <si>
    <t>48 Wurly hard C</t>
  </si>
  <si>
    <t>49 E.Piano 1A</t>
  </si>
  <si>
    <t>50 E.Piano 1B</t>
  </si>
  <si>
    <t>51 E.Piano 1C</t>
  </si>
  <si>
    <t>52 E.Piano 2A</t>
  </si>
  <si>
    <t>53 E.Piano 2B</t>
  </si>
  <si>
    <t>54 E.Piano 2C</t>
  </si>
  <si>
    <t>55 E.Piano 3A</t>
  </si>
  <si>
    <t>56 E.Piano 3B</t>
  </si>
  <si>
    <t>57 E.Piano 3C</t>
  </si>
  <si>
    <t>58 MK-80 EP A</t>
  </si>
  <si>
    <t>59 MK-80 EP B</t>
  </si>
  <si>
    <t>60 MK-80 EP C</t>
  </si>
  <si>
    <t>61 EP Hard</t>
  </si>
  <si>
    <t>62 EP Distone</t>
  </si>
  <si>
    <t>63 Clear Keys</t>
  </si>
  <si>
    <t>64 D-50 EP A</t>
  </si>
  <si>
    <t>65 D-50 EP B</t>
  </si>
  <si>
    <t>66 D-50 EP C</t>
  </si>
  <si>
    <t>67 Celesta</t>
  </si>
  <si>
    <t>68 Music Box</t>
  </si>
  <si>
    <t>69 Music Box 2</t>
  </si>
  <si>
    <t>70 Clav 1A</t>
  </si>
  <si>
    <t>71 Clav 1B</t>
  </si>
  <si>
    <t>72 Clav 1C</t>
  </si>
  <si>
    <t>73 Clav 2A</t>
  </si>
  <si>
    <t>74 Clav 2B</t>
  </si>
  <si>
    <t>75 Clav 2C</t>
  </si>
  <si>
    <t>76 Clav 3A</t>
  </si>
  <si>
    <t>77 Clav 3B</t>
  </si>
  <si>
    <t>78 Clav 3C</t>
  </si>
  <si>
    <t>79 Clav 4A</t>
  </si>
  <si>
    <t>80 Clav 4B</t>
  </si>
  <si>
    <t>81 Clav 4C</t>
  </si>
  <si>
    <t>82 Clav Wave</t>
  </si>
  <si>
    <t>83 MIDI Clav</t>
  </si>
  <si>
    <t>84 HarpsiWave A</t>
  </si>
  <si>
    <t>85 HarpsiWave B</t>
  </si>
  <si>
    <t>86 HarpsiWave C</t>
  </si>
  <si>
    <t>87 Jazz Organ 1</t>
  </si>
  <si>
    <t>88 Jazz Organ 2</t>
  </si>
  <si>
    <t>89 Organ 1</t>
  </si>
  <si>
    <t>90 Organ 2</t>
  </si>
  <si>
    <t>91 Organ 3</t>
  </si>
  <si>
    <t>92 Organ 4</t>
  </si>
  <si>
    <t>93 60's Organ1</t>
  </si>
  <si>
    <t>94 60's Organ2</t>
  </si>
  <si>
    <t>95 60's Organ3</t>
  </si>
  <si>
    <t>96 60's Organ4</t>
  </si>
  <si>
    <t>97 Full Organ</t>
  </si>
  <si>
    <t>98 Full Draw</t>
  </si>
  <si>
    <t>99 Rock Organ</t>
  </si>
  <si>
    <t>100 RockOrg1 A L</t>
  </si>
  <si>
    <t>101 RockOrg1 A R</t>
  </si>
  <si>
    <t>102 RockOrg1 B L</t>
  </si>
  <si>
    <t>103 RockOrg1 B R</t>
  </si>
  <si>
    <t>104 RockOrg1 C L</t>
  </si>
  <si>
    <t>105 RockOrg1 C R</t>
  </si>
  <si>
    <t>106 RockOrg2 A L</t>
  </si>
  <si>
    <t>107 RockOrg2 A R</t>
  </si>
  <si>
    <t>108 RockOrg2 B L</t>
  </si>
  <si>
    <t>109 RockOrg2 B R</t>
  </si>
  <si>
    <t>110 RockOrg2 C L</t>
  </si>
  <si>
    <t>111 RockOrg2 C R</t>
  </si>
  <si>
    <t>112 RockOrg3 A L</t>
  </si>
  <si>
    <t>113 RockOrg3 A R</t>
  </si>
  <si>
    <t>114 RockOrg3 B L</t>
  </si>
  <si>
    <t>115 RockOrg3 B R</t>
  </si>
  <si>
    <t>116 RockOrg3 C L</t>
  </si>
  <si>
    <t>117 RockOrg3 C R</t>
  </si>
  <si>
    <t>118 Dist. Organ</t>
  </si>
  <si>
    <t>119 Rot.Org Slw</t>
  </si>
  <si>
    <t>120 Rot.Org Fst</t>
  </si>
  <si>
    <t>121 Pipe Organ</t>
  </si>
  <si>
    <t>122 Soft Nylon A</t>
  </si>
  <si>
    <t>123 Soft Nylon B</t>
  </si>
  <si>
    <t>124 Soft Nylon C</t>
  </si>
  <si>
    <t>125 Nylon Gtr A</t>
  </si>
  <si>
    <t>126 Nylon Gtr B</t>
  </si>
  <si>
    <t>127 Nylon Gtr C</t>
  </si>
  <si>
    <t>128 Nylon Str</t>
  </si>
  <si>
    <t>129 6-Str Gtr A</t>
  </si>
  <si>
    <t>130 6-Str Gtr B</t>
  </si>
  <si>
    <t>131 6-Str Gtr C</t>
  </si>
  <si>
    <t>132 StlGtr mp A</t>
  </si>
  <si>
    <t>133 StlGtr mp B</t>
  </si>
  <si>
    <t>134 StlGtr mp C</t>
  </si>
  <si>
    <t>135 StlGtr mf A</t>
  </si>
  <si>
    <t>136 StlGtr mf B</t>
  </si>
  <si>
    <t>137 StlGtr mf C</t>
  </si>
  <si>
    <t>138 StlGtr ff A</t>
  </si>
  <si>
    <t>139 StlGtr ff B</t>
  </si>
  <si>
    <t>140 StlGtr ff C</t>
  </si>
  <si>
    <t>141 StlGtr sld A</t>
  </si>
  <si>
    <t>142 StlGtr sld B</t>
  </si>
  <si>
    <t>143 StlGtr sld C</t>
  </si>
  <si>
    <t>144 StlGtr Hrm A</t>
  </si>
  <si>
    <t>145 StlGtr Hrm B</t>
  </si>
  <si>
    <t>146 StlGtr Hrm C</t>
  </si>
  <si>
    <t>147 Gtr Harm A</t>
  </si>
  <si>
    <t>148 Gtr Harm B</t>
  </si>
  <si>
    <t>149 Gtr Harm C</t>
  </si>
  <si>
    <t>150 Jazz Gtr A</t>
  </si>
  <si>
    <t>151 Jazz Gtr B</t>
  </si>
  <si>
    <t>152 Jazz Gtr C</t>
  </si>
  <si>
    <t>153 LP Rear A</t>
  </si>
  <si>
    <t>154 LP Rear B</t>
  </si>
  <si>
    <t>155 LP Rear C</t>
  </si>
  <si>
    <t>156 Rock lead 1</t>
  </si>
  <si>
    <t>157 Rock lead 2</t>
  </si>
  <si>
    <t>158 Comp Gtr A</t>
  </si>
  <si>
    <t>159 Comp Gtr B</t>
  </si>
  <si>
    <t>160 Comp Gtr C</t>
  </si>
  <si>
    <t>161 Comp Gtr A+</t>
  </si>
  <si>
    <t>162 Mute Gtr 1</t>
  </si>
  <si>
    <t>163 Mute Gtr 2A</t>
  </si>
  <si>
    <t>164 Mute Gtr 2B</t>
  </si>
  <si>
    <t>165 Mute Gtr 2C</t>
  </si>
  <si>
    <t>166 Muters</t>
  </si>
  <si>
    <t>167 Pop Strat A</t>
  </si>
  <si>
    <t>168 Pop Strat B</t>
  </si>
  <si>
    <t>169 Pop Strat C</t>
  </si>
  <si>
    <t>170 JC Strat A</t>
  </si>
  <si>
    <t>171 JC Strat B</t>
  </si>
  <si>
    <t>172 JC Strat C</t>
  </si>
  <si>
    <t>173 JC Strat A+</t>
  </si>
  <si>
    <t>174 JC Strat B+</t>
  </si>
  <si>
    <t>175 JC Strat C+</t>
  </si>
  <si>
    <t>176 Clean Gtr A</t>
  </si>
  <si>
    <t>177 Clean Gtr B</t>
  </si>
  <si>
    <t>178 Clean Gtr C</t>
  </si>
  <si>
    <t>179 Stratus A</t>
  </si>
  <si>
    <t>180 Stratus B</t>
  </si>
  <si>
    <t>181 Stratus C</t>
  </si>
  <si>
    <t>182 Scrape Gut</t>
  </si>
  <si>
    <t>183 Strat Sust</t>
  </si>
  <si>
    <t>184 Strat Atk</t>
  </si>
  <si>
    <t>185 OD Gtr A</t>
  </si>
  <si>
    <t>186 OD Gtr B</t>
  </si>
  <si>
    <t>187 OD Gtr C</t>
  </si>
  <si>
    <t>188 OD Gtr A+</t>
  </si>
  <si>
    <t>189 Heavy Gtr A</t>
  </si>
  <si>
    <t>190 Heavy Gtr B</t>
  </si>
  <si>
    <t>191 Heavy Gtr C</t>
  </si>
  <si>
    <t>192 Heavy Gtr A+</t>
  </si>
  <si>
    <t>193 Heavy Gtr B+</t>
  </si>
  <si>
    <t>194 Heavy Gtr C+</t>
  </si>
  <si>
    <t>195 PowerChord A</t>
  </si>
  <si>
    <t>196 PowerChord B</t>
  </si>
  <si>
    <t>197 PowerChord C</t>
  </si>
  <si>
    <t>198 EG Harm</t>
  </si>
  <si>
    <t>199 Gt.FretNoise</t>
  </si>
  <si>
    <t>200 Syn Gtr A</t>
  </si>
  <si>
    <t>201 Syn Gtr B</t>
  </si>
  <si>
    <t>202 Syn Gtr C</t>
  </si>
  <si>
    <t>203 Harp 1A</t>
  </si>
  <si>
    <t>204 Harp 1B</t>
  </si>
  <si>
    <t>205 Harp 1C</t>
  </si>
  <si>
    <t>206 Harp Harm</t>
  </si>
  <si>
    <t>207 Pluck Harp</t>
  </si>
  <si>
    <t>208 Banjo A</t>
  </si>
  <si>
    <t>209 Banjo B</t>
  </si>
  <si>
    <t>210 Banjo C</t>
  </si>
  <si>
    <t>211 Sitar A</t>
  </si>
  <si>
    <t>212 Sitar B</t>
  </si>
  <si>
    <t>213 Sitar C</t>
  </si>
  <si>
    <t>214 E.Sitar A</t>
  </si>
  <si>
    <t>215 E.Sitar B</t>
  </si>
  <si>
    <t>216 E.Sitar C</t>
  </si>
  <si>
    <t>217 Santur A</t>
  </si>
  <si>
    <t>218 Santur B</t>
  </si>
  <si>
    <t>219 Santur C</t>
  </si>
  <si>
    <t>220 Dulcimer A</t>
  </si>
  <si>
    <t>221 Dulcimer B</t>
  </si>
  <si>
    <t>222 Dulcimer C</t>
  </si>
  <si>
    <t>223 Shamisen A</t>
  </si>
  <si>
    <t>224 Shamisen B</t>
  </si>
  <si>
    <t>225 Shamisen C</t>
  </si>
  <si>
    <t>226 Koto A</t>
  </si>
  <si>
    <t>227 Koto B</t>
  </si>
  <si>
    <t>228 Koto C</t>
  </si>
  <si>
    <t>229 Taishokoto A</t>
  </si>
  <si>
    <t>230 Taishokoto B</t>
  </si>
  <si>
    <t>231 Taishokoto C</t>
  </si>
  <si>
    <t>232 Pick Bass A</t>
  </si>
  <si>
    <t>233 Pick Bass B</t>
  </si>
  <si>
    <t>234 Pick Bass C</t>
  </si>
  <si>
    <t>235 Fingerd Bs A</t>
  </si>
  <si>
    <t>236 Fingerd Bs B</t>
  </si>
  <si>
    <t>237 Fingerd Bs C</t>
  </si>
  <si>
    <t>238 E.Bass</t>
  </si>
  <si>
    <t>239 P.Bass 1</t>
  </si>
  <si>
    <t>240 P.Bass 2</t>
  </si>
  <si>
    <t>241 Stick</t>
  </si>
  <si>
    <t>242 Fretless A</t>
  </si>
  <si>
    <t>243 Fretless B</t>
  </si>
  <si>
    <t>244 Fretless C</t>
  </si>
  <si>
    <t>245 Fretless 2A</t>
  </si>
  <si>
    <t>246 Fretless 2B</t>
  </si>
  <si>
    <t>247 Fretless 2C</t>
  </si>
  <si>
    <t>248 UprightBs 1</t>
  </si>
  <si>
    <t>249 UprightBs 2A</t>
  </si>
  <si>
    <t>250 UprightBs 2B</t>
  </si>
  <si>
    <t>251 UprightBs 2C</t>
  </si>
  <si>
    <t>252 Ac.Bass A</t>
  </si>
  <si>
    <t>253 Ac.Bass B</t>
  </si>
  <si>
    <t>254 Ac.Bass C</t>
  </si>
  <si>
    <t>255 Slap Bass 1</t>
  </si>
  <si>
    <t>256 Slap &amp; Pop</t>
  </si>
  <si>
    <t>257 Slap Bass 2</t>
  </si>
  <si>
    <t>258 Slap Bass 3</t>
  </si>
  <si>
    <t>259 Jz.Bs Thumb</t>
  </si>
  <si>
    <t>260 Jz.Bs Slap 1</t>
  </si>
  <si>
    <t>261 Jz.Bs Slap 2</t>
  </si>
  <si>
    <t>262 Jz.Bs Slap 3</t>
  </si>
  <si>
    <t>263 Jz.Bs Pop</t>
  </si>
  <si>
    <t>264 Funk Bass1</t>
  </si>
  <si>
    <t>265 Funk Bass2</t>
  </si>
  <si>
    <t>266 Syn Bass A</t>
  </si>
  <si>
    <t>267 Syn Bass C</t>
  </si>
  <si>
    <t>268 Syn Bass</t>
  </si>
  <si>
    <t>269 Syn Bass 2 A</t>
  </si>
  <si>
    <t>270 Syn Bass 2 B</t>
  </si>
  <si>
    <t>271 Syn Bass 2 C</t>
  </si>
  <si>
    <t>272 Mini Bs 1A</t>
  </si>
  <si>
    <t>273 Mini Bs 1B</t>
  </si>
  <si>
    <t>274 Mini Bs 1C</t>
  </si>
  <si>
    <t>275 Mini Bs 2</t>
  </si>
  <si>
    <t>276 Mini Bs 2+</t>
  </si>
  <si>
    <t>277 MC-202 Bs A</t>
  </si>
  <si>
    <t>278 MC-202 Bs B</t>
  </si>
  <si>
    <t>279 MC-202 Bs C</t>
  </si>
  <si>
    <t>280 Hollow Bs</t>
  </si>
  <si>
    <t>281 Flute 1A</t>
  </si>
  <si>
    <t>282 Flute 1B</t>
  </si>
  <si>
    <t>283 Flute 1C</t>
  </si>
  <si>
    <t>284 Jazz Flute A</t>
  </si>
  <si>
    <t>285 Jazz Flute B</t>
  </si>
  <si>
    <t>286 Jazz Flute C</t>
  </si>
  <si>
    <t>287 Flute Tone</t>
  </si>
  <si>
    <t>288 Piccolo A</t>
  </si>
  <si>
    <t>289 Piccolo B</t>
  </si>
  <si>
    <t>290 Piccolo C</t>
  </si>
  <si>
    <t>291 Blow Pipe</t>
  </si>
  <si>
    <t>292 Pan Pipe</t>
  </si>
  <si>
    <t>293 BottleBlow</t>
  </si>
  <si>
    <t>294 Rad Hose</t>
  </si>
  <si>
    <t>295 Shakuhachi</t>
  </si>
  <si>
    <t>296 Shaku Atk</t>
  </si>
  <si>
    <t>297 Flute Push</t>
  </si>
  <si>
    <t>298 Clarinet A</t>
  </si>
  <si>
    <t>299 Clarinet B</t>
  </si>
  <si>
    <t>300 Clarinet C</t>
  </si>
  <si>
    <t>301 Oboe mf A</t>
  </si>
  <si>
    <t>302 Oboe mf B</t>
  </si>
  <si>
    <t>303 Oboe mf C</t>
  </si>
  <si>
    <t>304 Oboe f A</t>
  </si>
  <si>
    <t>305 Oboe f B</t>
  </si>
  <si>
    <t>306 Oboe f C</t>
  </si>
  <si>
    <t>307 E.Horn A</t>
  </si>
  <si>
    <t>308 E.Horn B</t>
  </si>
  <si>
    <t>309 E.Horn C</t>
  </si>
  <si>
    <t>310 Bassoon A</t>
  </si>
  <si>
    <t>311 Bassoon B</t>
  </si>
  <si>
    <t>312 Bassoon C</t>
  </si>
  <si>
    <t>313 T_Recorder A</t>
  </si>
  <si>
    <t>314 T_Recorder B</t>
  </si>
  <si>
    <t>315 T_Recorder C</t>
  </si>
  <si>
    <t>316 Sop.Sax A</t>
  </si>
  <si>
    <t>317 Sop.Sax B</t>
  </si>
  <si>
    <t>318 Sop.Sax C</t>
  </si>
  <si>
    <t>319 Sop.Sax mf A</t>
  </si>
  <si>
    <t>320 Sop.Sax mf B</t>
  </si>
  <si>
    <t>321 Sop.Sax mf C</t>
  </si>
  <si>
    <t>322 Alto mp A</t>
  </si>
  <si>
    <t>323 Alto mp B</t>
  </si>
  <si>
    <t>324 Alto mp C</t>
  </si>
  <si>
    <t>325 Alto Sax 1A</t>
  </si>
  <si>
    <t>326 Alto Sax 1B</t>
  </si>
  <si>
    <t>327 Alto Sax 1C</t>
  </si>
  <si>
    <t>328 T.Breathy A</t>
  </si>
  <si>
    <t>329 T.Breathy B</t>
  </si>
  <si>
    <t>330 T.Breathy C</t>
  </si>
  <si>
    <t>331 SoloSax A</t>
  </si>
  <si>
    <t>332 SoloSax B</t>
  </si>
  <si>
    <t>333 SoloSax C</t>
  </si>
  <si>
    <t>334 Tenor Sax A</t>
  </si>
  <si>
    <t>335 Tenor Sax B</t>
  </si>
  <si>
    <t>336 Tenor Sax C</t>
  </si>
  <si>
    <t>337 T.Sax mf A</t>
  </si>
  <si>
    <t>338 T.Sax mf B</t>
  </si>
  <si>
    <t>339 T.Sax mf C</t>
  </si>
  <si>
    <t>340 Bari.Sax f A</t>
  </si>
  <si>
    <t>341 Bari.Sax f B</t>
  </si>
  <si>
    <t>342 Bari.Sax f C</t>
  </si>
  <si>
    <t>343 Bari.Sax A</t>
  </si>
  <si>
    <t>344 Bari.Sax B</t>
  </si>
  <si>
    <t>345 Bari.Sax C</t>
  </si>
  <si>
    <t>346 Syn Sax</t>
  </si>
  <si>
    <t>347 Chanter</t>
  </si>
  <si>
    <t>348 Harmonica A</t>
  </si>
  <si>
    <t>349 Harmonica B</t>
  </si>
  <si>
    <t>350 Harmonica C</t>
  </si>
  <si>
    <t>351 OrcUnisonA L</t>
  </si>
  <si>
    <t>352 OrcUnisonA R</t>
  </si>
  <si>
    <t>353 OrcUnisonB L</t>
  </si>
  <si>
    <t>354 OrcUnisonB R</t>
  </si>
  <si>
    <t>355 OrcUnisonC L</t>
  </si>
  <si>
    <t>356 OrcUnisonC R</t>
  </si>
  <si>
    <t>357 BrassSectA L</t>
  </si>
  <si>
    <t>358 BrassSectA R</t>
  </si>
  <si>
    <t>359 BrassSectB L</t>
  </si>
  <si>
    <t>360 BrassSectB R</t>
  </si>
  <si>
    <t>361 BrassSectC L</t>
  </si>
  <si>
    <t>362 BrassSectC R</t>
  </si>
  <si>
    <t>363 Tpt Sect. A</t>
  </si>
  <si>
    <t>364 Tpt Sect. B</t>
  </si>
  <si>
    <t>365 Tpt Sect. C</t>
  </si>
  <si>
    <t>366 Tb Sect A</t>
  </si>
  <si>
    <t>367 Tb Sect B</t>
  </si>
  <si>
    <t>368 Tb Sect C</t>
  </si>
  <si>
    <t>369 T.Sax Sect A</t>
  </si>
  <si>
    <t>370 T.Sax Sect B</t>
  </si>
  <si>
    <t>371 T.Sax Sect C</t>
  </si>
  <si>
    <t>372 Flugel A</t>
  </si>
  <si>
    <t>373 Flugel B</t>
  </si>
  <si>
    <t>374 Flugel C</t>
  </si>
  <si>
    <t>375 FlugelWave</t>
  </si>
  <si>
    <t>376 Trumpet 1A</t>
  </si>
  <si>
    <t>377 Trumpet 1B</t>
  </si>
  <si>
    <t>378 Trumpet 1C</t>
  </si>
  <si>
    <t>379 Trumpet 2A</t>
  </si>
  <si>
    <t>380 Trumpet 2B</t>
  </si>
  <si>
    <t>381 Trumpet 2C</t>
  </si>
  <si>
    <t>382 HarmonMute1A</t>
  </si>
  <si>
    <t>383 HarmonMute1B</t>
  </si>
  <si>
    <t>384 HarmonMute1C</t>
  </si>
  <si>
    <t>385 Trombone 1</t>
  </si>
  <si>
    <t>386 Trombone 2 A</t>
  </si>
  <si>
    <t>387 Trombone 2 B</t>
  </si>
  <si>
    <t>388 Trombone 2 C</t>
  </si>
  <si>
    <t>389 Tuba A</t>
  </si>
  <si>
    <t>390 Tuba B</t>
  </si>
  <si>
    <t>391 Tuba C</t>
  </si>
  <si>
    <t>392 French 1A</t>
  </si>
  <si>
    <t>393 French 1C</t>
  </si>
  <si>
    <t>394 F.Horns A</t>
  </si>
  <si>
    <t>395 F.Horns B</t>
  </si>
  <si>
    <t>396 F.Horns C</t>
  </si>
  <si>
    <t>397 Violin A</t>
  </si>
  <si>
    <t>398 Violin B</t>
  </si>
  <si>
    <t>399 Violin C</t>
  </si>
  <si>
    <t>400 Violin 2 A</t>
  </si>
  <si>
    <t>401 Violin 2 B</t>
  </si>
  <si>
    <t>402 Violin 2 C</t>
  </si>
  <si>
    <t>403 Cello A</t>
  </si>
  <si>
    <t>404 Cello B</t>
  </si>
  <si>
    <t>405 Cello C</t>
  </si>
  <si>
    <t>406 Cello 2 A</t>
  </si>
  <si>
    <t>407 Cello 2 B</t>
  </si>
  <si>
    <t>408 Cello 2 C</t>
  </si>
  <si>
    <t>409 Cello Wave</t>
  </si>
  <si>
    <t>410 Pizz</t>
  </si>
  <si>
    <t>411 STR Attack A</t>
  </si>
  <si>
    <t>412 STR Attack B</t>
  </si>
  <si>
    <t>413 STR Attack C</t>
  </si>
  <si>
    <t>414 DolceStr.A L</t>
  </si>
  <si>
    <t>415 DolceStr.A R</t>
  </si>
  <si>
    <t>416 DolceStr.B L</t>
  </si>
  <si>
    <t>417 DolceStr.B R</t>
  </si>
  <si>
    <t>418 DolceStr.C L</t>
  </si>
  <si>
    <t>419 DolceStr.C R</t>
  </si>
  <si>
    <t>420 JV Strings L</t>
  </si>
  <si>
    <t>421 JV Strings R</t>
  </si>
  <si>
    <t>422 JV Strings A</t>
  </si>
  <si>
    <t>423 JV Strings C</t>
  </si>
  <si>
    <t>424 JP Strings1A</t>
  </si>
  <si>
    <t>425 JP Strings1B</t>
  </si>
  <si>
    <t>426 JP Strings1C</t>
  </si>
  <si>
    <t>427 JP Strings2A</t>
  </si>
  <si>
    <t>428 JP Strings2B</t>
  </si>
  <si>
    <t>429 JP Strings2C</t>
  </si>
  <si>
    <t>430 PWM</t>
  </si>
  <si>
    <t>431 Pulse Mod</t>
  </si>
  <si>
    <t>432 Soft Pad A</t>
  </si>
  <si>
    <t>433 Soft Pad B</t>
  </si>
  <si>
    <t>434 Soft Pad C</t>
  </si>
  <si>
    <t>435 Fantasynth A</t>
  </si>
  <si>
    <t>436 Fantasynth B</t>
  </si>
  <si>
    <t>437 Fantasynth C</t>
  </si>
  <si>
    <t>438 D-50 HeavenA</t>
  </si>
  <si>
    <t>439 D-50 HeavenB</t>
  </si>
  <si>
    <t>440 D-50 HeavenC</t>
  </si>
  <si>
    <t>441 Fine Wine</t>
  </si>
  <si>
    <t>442 D-50 Brass A</t>
  </si>
  <si>
    <t>443 D-50 Brass B</t>
  </si>
  <si>
    <t>444 D-50 Brass C</t>
  </si>
  <si>
    <t>445 D-50 BrassA+</t>
  </si>
  <si>
    <t>446 Doo</t>
  </si>
  <si>
    <t>447 Pop Voice</t>
  </si>
  <si>
    <t>448 Syn Vox 1</t>
  </si>
  <si>
    <t>449 Syn Vox 2</t>
  </si>
  <si>
    <t>450 Voice Aahs A</t>
  </si>
  <si>
    <t>451 Voice Aahs B</t>
  </si>
  <si>
    <t>452 Voice Aahs C</t>
  </si>
  <si>
    <t>453 Voice Oohs1A</t>
  </si>
  <si>
    <t>454 Voice Oohs1B</t>
  </si>
  <si>
    <t>455 Voice Oohs1C</t>
  </si>
  <si>
    <t>456 Voice Oohs2A</t>
  </si>
  <si>
    <t>457 Voice Oohs2B</t>
  </si>
  <si>
    <t>458 Voice Oohs2C</t>
  </si>
  <si>
    <t>459 Choir 1A</t>
  </si>
  <si>
    <t>460 Choir 1B</t>
  </si>
  <si>
    <t>461 Choir 1C</t>
  </si>
  <si>
    <t>462 Oohs Chord L</t>
  </si>
  <si>
    <t>463 Oohs Chord R</t>
  </si>
  <si>
    <t>464 Male Ooh A</t>
  </si>
  <si>
    <t>465 Male Ooh B</t>
  </si>
  <si>
    <t>466 Male Ooh C</t>
  </si>
  <si>
    <t>467 Org Vox A</t>
  </si>
  <si>
    <t>468 Org Vox B</t>
  </si>
  <si>
    <t>469 Org Vox C</t>
  </si>
  <si>
    <t>470 Org Vox</t>
  </si>
  <si>
    <t>471 ZZZ Vox</t>
  </si>
  <si>
    <t>472 Bell VOX</t>
  </si>
  <si>
    <t>473 Kalimba</t>
  </si>
  <si>
    <t>474 JD Kalimba</t>
  </si>
  <si>
    <t>475 Klmba Atk</t>
  </si>
  <si>
    <t>476 Wood Crak</t>
  </si>
  <si>
    <t>477 Block</t>
  </si>
  <si>
    <t>478 Gamelan 1</t>
  </si>
  <si>
    <t>479 Gamelan 2</t>
  </si>
  <si>
    <t>480 Gamelan 3</t>
  </si>
  <si>
    <t>481 Log Drum</t>
  </si>
  <si>
    <t>482 Hooky</t>
  </si>
  <si>
    <t>483 Tabla</t>
  </si>
  <si>
    <t>484 Marimba Wave</t>
  </si>
  <si>
    <t>485 Xylo</t>
  </si>
  <si>
    <t>486 Xylophone</t>
  </si>
  <si>
    <t>487 Vibes</t>
  </si>
  <si>
    <t>488 Bottle Hit</t>
  </si>
  <si>
    <t>489 Glockenspiel</t>
  </si>
  <si>
    <t>490 Tubular</t>
  </si>
  <si>
    <t>491 Steel Drums</t>
  </si>
  <si>
    <t>492 Pole lp</t>
  </si>
  <si>
    <t>493 Fanta Bell A</t>
  </si>
  <si>
    <t>494 Fanta Bell B</t>
  </si>
  <si>
    <t>495 Fanta Bell C</t>
  </si>
  <si>
    <t>496 FantaBell A+</t>
  </si>
  <si>
    <t>497 Org Bell</t>
  </si>
  <si>
    <t>498 AgogoBells</t>
  </si>
  <si>
    <t>499 FingerBell</t>
  </si>
  <si>
    <t>500 DIGI Bell 1</t>
  </si>
  <si>
    <t>501 DIGI Bell 1+</t>
  </si>
  <si>
    <t>502 JD Cowbell</t>
  </si>
  <si>
    <t>503 Bell Wave</t>
  </si>
  <si>
    <t>504 Chime</t>
  </si>
  <si>
    <t>505 Crystal</t>
  </si>
  <si>
    <t>506 2.2 Bellwave</t>
  </si>
  <si>
    <t>507 2.2 Vibwave</t>
  </si>
  <si>
    <t>508 Digiwave</t>
  </si>
  <si>
    <t>509 DIGI Chime</t>
  </si>
  <si>
    <t>510 JD DIGIChime</t>
  </si>
  <si>
    <t>511 BrightDigi</t>
  </si>
  <si>
    <t>512 Can Wave 1</t>
  </si>
  <si>
    <t>513 Can Wave 2</t>
  </si>
  <si>
    <t>514 Vocal Wave</t>
  </si>
  <si>
    <t>515 Wally Wave</t>
  </si>
  <si>
    <t>516 Brusky lp</t>
  </si>
  <si>
    <t>517 Wave Scan</t>
  </si>
  <si>
    <t>518 Wire String</t>
  </si>
  <si>
    <t>519 Nasty</t>
  </si>
  <si>
    <t>520 Wave Table</t>
  </si>
  <si>
    <t>521 Klack Wave</t>
  </si>
  <si>
    <t>522 Spark VOX</t>
  </si>
  <si>
    <t>523 JD Spark VOX</t>
  </si>
  <si>
    <t>524 Cutters</t>
  </si>
  <si>
    <t>525 EML 5th</t>
  </si>
  <si>
    <t>526 MMM VOX</t>
  </si>
  <si>
    <t>527 Lead Wave</t>
  </si>
  <si>
    <t>528 Synth Reed</t>
  </si>
  <si>
    <t>529 Synth Saw 1</t>
  </si>
  <si>
    <t>530 Synth Saw 2</t>
  </si>
  <si>
    <t>531 Syn Saw 2inv</t>
  </si>
  <si>
    <t>532 Synth Saw 3</t>
  </si>
  <si>
    <t>533 JD Syn Saw 2</t>
  </si>
  <si>
    <t>534 FAT Saw</t>
  </si>
  <si>
    <t>535 JP-8 Saw A</t>
  </si>
  <si>
    <t>536 JP-8 Saw B</t>
  </si>
  <si>
    <t>537 JP-8 Saw C</t>
  </si>
  <si>
    <t>538 P5 Saw A</t>
  </si>
  <si>
    <t>539 P5 Saw B</t>
  </si>
  <si>
    <t>540 P5 Saw C</t>
  </si>
  <si>
    <t>541 P5 Saw2 A</t>
  </si>
  <si>
    <t>542 P5 Saw2 B</t>
  </si>
  <si>
    <t>543 P5 Saw2 C</t>
  </si>
  <si>
    <t>544 D-50 Saw A</t>
  </si>
  <si>
    <t>545 D-50 Saw B</t>
  </si>
  <si>
    <t>546 D-50 Saw C</t>
  </si>
  <si>
    <t>547 Synth Square</t>
  </si>
  <si>
    <t>548 JP-8 SquareA</t>
  </si>
  <si>
    <t>549 JP-8 SquareB</t>
  </si>
  <si>
    <t>550 JP-8 SquareC</t>
  </si>
  <si>
    <t>551 DualSquare A</t>
  </si>
  <si>
    <t>552 DualSquare C</t>
  </si>
  <si>
    <t>553 DualSquareA+</t>
  </si>
  <si>
    <t>554 JD SynPulse1</t>
  </si>
  <si>
    <t>555 JD SynPulse2</t>
  </si>
  <si>
    <t>556 JD SynPulse3</t>
  </si>
  <si>
    <t>557 JD SynPulse4</t>
  </si>
  <si>
    <t>558 Synth Pulse1</t>
  </si>
  <si>
    <t>559 Synth Pulse2</t>
  </si>
  <si>
    <t>560 JD SynPulse5</t>
  </si>
  <si>
    <t>561 Sync Sweep</t>
  </si>
  <si>
    <t>562 Triangle</t>
  </si>
  <si>
    <t>563 JD Triangle</t>
  </si>
  <si>
    <t>564 Sine</t>
  </si>
  <si>
    <t>565 Metal Wind</t>
  </si>
  <si>
    <t>566 Wind Agogo</t>
  </si>
  <si>
    <t>567 Feedbackwave</t>
  </si>
  <si>
    <t>568 Spectrum</t>
  </si>
  <si>
    <t>569 CrunchWind</t>
  </si>
  <si>
    <t>570 ThroatWind</t>
  </si>
  <si>
    <t>571 Pitch Wind</t>
  </si>
  <si>
    <t>572 JD Vox Noise</t>
  </si>
  <si>
    <t>573 Vox Noise</t>
  </si>
  <si>
    <t>574 BreathNoise</t>
  </si>
  <si>
    <t>575 Voice Breath</t>
  </si>
  <si>
    <t>576 White Noise</t>
  </si>
  <si>
    <t>577 Pink Noise</t>
  </si>
  <si>
    <t>578 Rattles</t>
  </si>
  <si>
    <t>579 Ice Rain</t>
  </si>
  <si>
    <t>580 Tin Wave</t>
  </si>
  <si>
    <t>581 Anklungs</t>
  </si>
  <si>
    <t>582 Wind Chimes</t>
  </si>
  <si>
    <t>583 Orch. Hit</t>
  </si>
  <si>
    <t>584 Tekno Hit</t>
  </si>
  <si>
    <t>585 Back Hit</t>
  </si>
  <si>
    <t>586 Philly Hit</t>
  </si>
  <si>
    <t>587 Scratch 1</t>
  </si>
  <si>
    <t>588 Scratch 2</t>
  </si>
  <si>
    <t>589 Scratch 3</t>
  </si>
  <si>
    <t>590 Shami</t>
  </si>
  <si>
    <t>591 Org Atk 1</t>
  </si>
  <si>
    <t>592 Org Atk 2</t>
  </si>
  <si>
    <t>593 Sm Metal</t>
  </si>
  <si>
    <t>594 StrikePole</t>
  </si>
  <si>
    <t>595 Thrill</t>
  </si>
  <si>
    <t>596 Switch</t>
  </si>
  <si>
    <t>597 Tuba Slap</t>
  </si>
  <si>
    <t>598 Plink</t>
  </si>
  <si>
    <t>599 Plunk</t>
  </si>
  <si>
    <t>600 EP Atk</t>
  </si>
  <si>
    <t>601 TVF_Trig</t>
  </si>
  <si>
    <t>602 Org Click</t>
  </si>
  <si>
    <t>603 Cut Noiz</t>
  </si>
  <si>
    <t>604 Bass Body</t>
  </si>
  <si>
    <t>605 Flute Click</t>
  </si>
  <si>
    <t>606 Gt&amp;BsNz MENU</t>
  </si>
  <si>
    <t>607 Ac.BassNz 1</t>
  </si>
  <si>
    <t>608 Ac.BassNz 2</t>
  </si>
  <si>
    <t>609 El.BassNz 1</t>
  </si>
  <si>
    <t>610 El.BassNz 2</t>
  </si>
  <si>
    <t>611 DistGtrNz 1</t>
  </si>
  <si>
    <t>612 DistGtrNz 2</t>
  </si>
  <si>
    <t>613 DistGtrNz 3</t>
  </si>
  <si>
    <t>614 DistGtrNz 4</t>
  </si>
  <si>
    <t>615 SteelGtrNz 1</t>
  </si>
  <si>
    <t>616 SteelGtrNz 2</t>
  </si>
  <si>
    <t>617 SteelGtrNz 3</t>
  </si>
  <si>
    <t>618 SteelGtrNz 4</t>
  </si>
  <si>
    <t>619 SteelGtrNz 5</t>
  </si>
  <si>
    <t>620 SteelGtrNz 6</t>
  </si>
  <si>
    <t>621 SteelGtrNz 7</t>
  </si>
  <si>
    <t>622 Sea</t>
  </si>
  <si>
    <t>623 Thunder</t>
  </si>
  <si>
    <t>624 Windy</t>
  </si>
  <si>
    <t>625 Stream</t>
  </si>
  <si>
    <t>626 Bubble</t>
  </si>
  <si>
    <t>627 Bird</t>
  </si>
  <si>
    <t>628 Dog Bark</t>
  </si>
  <si>
    <t>629 Horse</t>
  </si>
  <si>
    <t>630 Telephone 1</t>
  </si>
  <si>
    <t>631 Telephone 2</t>
  </si>
  <si>
    <t>632 Creak</t>
  </si>
  <si>
    <t>633 Door Slam</t>
  </si>
  <si>
    <t>634 Engine</t>
  </si>
  <si>
    <t>635 Car Stop</t>
  </si>
  <si>
    <t>636 Car Pass</t>
  </si>
  <si>
    <t>637 Crash</t>
  </si>
  <si>
    <t>638 Gun Shot</t>
  </si>
  <si>
    <t>639 Siren</t>
  </si>
  <si>
    <t>640 Train</t>
  </si>
  <si>
    <t>641 Jetplane</t>
  </si>
  <si>
    <t>642 Starship</t>
  </si>
  <si>
    <t>643 Breath</t>
  </si>
  <si>
    <t>644 Laugh</t>
  </si>
  <si>
    <t>645 Scream</t>
  </si>
  <si>
    <t>646 Punch</t>
  </si>
  <si>
    <t>647 Heart</t>
  </si>
  <si>
    <t>648 Steps</t>
  </si>
  <si>
    <t>649 Machine Gun</t>
  </si>
  <si>
    <t>650 Laser</t>
  </si>
  <si>
    <t>651 Thunder 2</t>
  </si>
  <si>
    <t>652 AmbientSN pL</t>
  </si>
  <si>
    <t>653 AmbientSN pR</t>
  </si>
  <si>
    <t>654 AmbientSN fL</t>
  </si>
  <si>
    <t>655 AmbientSN fR</t>
  </si>
  <si>
    <t>656 Wet SN p L</t>
  </si>
  <si>
    <t>657 Wet SN p R</t>
  </si>
  <si>
    <t>658 Wet SN f L</t>
  </si>
  <si>
    <t>659 Wet SN f R</t>
  </si>
  <si>
    <t>660 Dry SN p</t>
  </si>
  <si>
    <t>661 Dry SN f</t>
  </si>
  <si>
    <t>662 Sharp SN</t>
  </si>
  <si>
    <t>663 Piccolo SN</t>
  </si>
  <si>
    <t>664 Maple SN</t>
  </si>
  <si>
    <t>665 Old Fill SN</t>
  </si>
  <si>
    <t>666 70s SN</t>
  </si>
  <si>
    <t>667 SN Roll</t>
  </si>
  <si>
    <t>668 Natural SN1</t>
  </si>
  <si>
    <t>669 Natural SN2</t>
  </si>
  <si>
    <t>670 Ballad SN</t>
  </si>
  <si>
    <t>671 Rock SN p L</t>
  </si>
  <si>
    <t>672 Rock SN p R</t>
  </si>
  <si>
    <t>673 Rock SN mf L</t>
  </si>
  <si>
    <t>674 Rock SN mf R</t>
  </si>
  <si>
    <t>675 Rock SN f L</t>
  </si>
  <si>
    <t>676 Rock SN f R</t>
  </si>
  <si>
    <t>677 Rock Rim p L</t>
  </si>
  <si>
    <t>678 Rock Rim p R</t>
  </si>
  <si>
    <t>679 Rock Rim mfL</t>
  </si>
  <si>
    <t>680 Rock Rim mfR</t>
  </si>
  <si>
    <t>681 Rock Rim f L</t>
  </si>
  <si>
    <t>682 Rock Rim f R</t>
  </si>
  <si>
    <t>683 Rock Gst L</t>
  </si>
  <si>
    <t>684 Rock Gst R</t>
  </si>
  <si>
    <t>685 Snare Ghost</t>
  </si>
  <si>
    <t>686 Jazz SN p L</t>
  </si>
  <si>
    <t>687 Jazz SN p R</t>
  </si>
  <si>
    <t>688 Jazz SN mf L</t>
  </si>
  <si>
    <t>689 Jazz SN mf R</t>
  </si>
  <si>
    <t>690 Jazz SN f L</t>
  </si>
  <si>
    <t>691 Jazz SN f R</t>
  </si>
  <si>
    <t>692 Jazz SN ff L</t>
  </si>
  <si>
    <t>693 Jazz SN ff R</t>
  </si>
  <si>
    <t>694 Jazz Rim p L</t>
  </si>
  <si>
    <t>695 Jazz Rim p R</t>
  </si>
  <si>
    <t>696 Jazz Rim mfL</t>
  </si>
  <si>
    <t>697 Jazz Rim mfR</t>
  </si>
  <si>
    <t>698 Jazz Rim f L</t>
  </si>
  <si>
    <t>699 Jazz Rim f R</t>
  </si>
  <si>
    <t>700 Jazz Rim ffL</t>
  </si>
  <si>
    <t>701 Jazz Rim ffR</t>
  </si>
  <si>
    <t>702 Brush Slap</t>
  </si>
  <si>
    <t>703 Brush Swish</t>
  </si>
  <si>
    <t>704 Jazz Swish p</t>
  </si>
  <si>
    <t>705 Jazz Swish f</t>
  </si>
  <si>
    <t>706 909 SN 1</t>
  </si>
  <si>
    <t>707 909 SN 2</t>
  </si>
  <si>
    <t>708 808 SN</t>
  </si>
  <si>
    <t>709 Rock Roll L</t>
  </si>
  <si>
    <t>710 Rock Roll R</t>
  </si>
  <si>
    <t>711 Jazz Roll</t>
  </si>
  <si>
    <t>712 Brush Roll</t>
  </si>
  <si>
    <t>713 Dry Stick</t>
  </si>
  <si>
    <t>714 Dry Stick 2</t>
  </si>
  <si>
    <t>715 Side Stick</t>
  </si>
  <si>
    <t>716 Woody Stick</t>
  </si>
  <si>
    <t>717 RockStick pL</t>
  </si>
  <si>
    <t>718 RockStick pR</t>
  </si>
  <si>
    <t>719 RockStick fL</t>
  </si>
  <si>
    <t>720 RockStick fR</t>
  </si>
  <si>
    <t>721 Dry Kick</t>
  </si>
  <si>
    <t>722 Maple Kick</t>
  </si>
  <si>
    <t>723 Rock Kick p</t>
  </si>
  <si>
    <t>724 Rock Kick mf</t>
  </si>
  <si>
    <t>725 Rock Kick f</t>
  </si>
  <si>
    <t>726 Jazz Kick p</t>
  </si>
  <si>
    <t>727 Jazz Kick mf</t>
  </si>
  <si>
    <t>728 Jazz Kick f</t>
  </si>
  <si>
    <t>729 Jazz Kick</t>
  </si>
  <si>
    <t>730 Pillow Kick</t>
  </si>
  <si>
    <t>731 JazzDry Kick</t>
  </si>
  <si>
    <t>732 Lite Kick</t>
  </si>
  <si>
    <t>733 Old Kick</t>
  </si>
  <si>
    <t>734 Hybrid Kick</t>
  </si>
  <si>
    <t>735 Hybrid Kick2</t>
  </si>
  <si>
    <t>736 Verb Kick</t>
  </si>
  <si>
    <t>737 Round Kick</t>
  </si>
  <si>
    <t>738 MplLmtr Kick</t>
  </si>
  <si>
    <t>739 70s Kick 1</t>
  </si>
  <si>
    <t>740 70s Kick 2</t>
  </si>
  <si>
    <t>741 Dance Kick</t>
  </si>
  <si>
    <t>742 808 Kick</t>
  </si>
  <si>
    <t>743 909 Kick 1</t>
  </si>
  <si>
    <t>744 909 Kick 2</t>
  </si>
  <si>
    <t>745 Rock TomL1 p</t>
  </si>
  <si>
    <t>746 Rock TomL2 p</t>
  </si>
  <si>
    <t>747 Rock Tom M p</t>
  </si>
  <si>
    <t>748 Rock Tom H p</t>
  </si>
  <si>
    <t>749 Rock TomL1 f</t>
  </si>
  <si>
    <t>750 Rock TomL2 f</t>
  </si>
  <si>
    <t>751 Rock Tom M f</t>
  </si>
  <si>
    <t>752 Rock Tom H f</t>
  </si>
  <si>
    <t>753 Rock Flm L1</t>
  </si>
  <si>
    <t>754 Rock Flm L2</t>
  </si>
  <si>
    <t>755 Rock Flm M</t>
  </si>
  <si>
    <t>756 Rock Flm H</t>
  </si>
  <si>
    <t>757 Jazz Tom L p</t>
  </si>
  <si>
    <t>758 Jazz Tom M p</t>
  </si>
  <si>
    <t>759 Jazz Tom H p</t>
  </si>
  <si>
    <t>760 Jazz Tom L f</t>
  </si>
  <si>
    <t>761 Jazz Tom M f</t>
  </si>
  <si>
    <t>762 Jazz Tom H f</t>
  </si>
  <si>
    <t>763 Jazz Flm L</t>
  </si>
  <si>
    <t>764 Jazz Flm M</t>
  </si>
  <si>
    <t>765 Jazz Flm H</t>
  </si>
  <si>
    <t>766 Maple Tom 1</t>
  </si>
  <si>
    <t>767 Maple Tom 2</t>
  </si>
  <si>
    <t>768 Maple Tom 3</t>
  </si>
  <si>
    <t>769 Maple Tom 4</t>
  </si>
  <si>
    <t>770 808 Tom</t>
  </si>
  <si>
    <t>771 Verb Tom Hi</t>
  </si>
  <si>
    <t>772 Verb Tom Lo</t>
  </si>
  <si>
    <t>773 Dry Tom Hi</t>
  </si>
  <si>
    <t>774 Dry Tom Lo</t>
  </si>
  <si>
    <t>775 Rock ClHH1 p</t>
  </si>
  <si>
    <t>776 Rock ClHH1mf</t>
  </si>
  <si>
    <t>777 Rock ClHH1 f</t>
  </si>
  <si>
    <t>778 Rock ClHH2 p</t>
  </si>
  <si>
    <t>779 Rock ClHH2mf</t>
  </si>
  <si>
    <t>780 Rock ClHH2 f</t>
  </si>
  <si>
    <t>781 Jazz ClHH1 p</t>
  </si>
  <si>
    <t>782 Jazz ClHH1mf</t>
  </si>
  <si>
    <t>783 Jazz ClHH1 f</t>
  </si>
  <si>
    <t>784 Jazz ClHH2 p</t>
  </si>
  <si>
    <t>785 Jazz ClHH2mf</t>
  </si>
  <si>
    <t>786 Jazz ClHH2 f</t>
  </si>
  <si>
    <t>787 Cl HiHat 1</t>
  </si>
  <si>
    <t>788 Cl HiHat 2</t>
  </si>
  <si>
    <t>789 Cl HiHat 3</t>
  </si>
  <si>
    <t>790 Cl HiHat 4</t>
  </si>
  <si>
    <t>791 Cl HiHat 5</t>
  </si>
  <si>
    <t>792 Rock OpHH p</t>
  </si>
  <si>
    <t>793 Rock OpHH f</t>
  </si>
  <si>
    <t>794 Jazz OpHH p</t>
  </si>
  <si>
    <t>795 Jazz OpHH mf</t>
  </si>
  <si>
    <t>796 Jazz OpHH f</t>
  </si>
  <si>
    <t>797 Op HiHat</t>
  </si>
  <si>
    <t>798 Op HiHat 2</t>
  </si>
  <si>
    <t>799 Rock PdHH p</t>
  </si>
  <si>
    <t>800 Rock PdHH f</t>
  </si>
  <si>
    <t>801 Jazz PdHH p</t>
  </si>
  <si>
    <t>802 Jazz PdHH f</t>
  </si>
  <si>
    <t>803 Pedal HiHat</t>
  </si>
  <si>
    <t>804 Pedal HiHat2</t>
  </si>
  <si>
    <t>805 Dance Cl HH</t>
  </si>
  <si>
    <t>806 909 NZ HiHat</t>
  </si>
  <si>
    <t>807 70s Cl HiHat</t>
  </si>
  <si>
    <t>808 70s Op HiHat</t>
  </si>
  <si>
    <t>809 606 Cl HiHat</t>
  </si>
  <si>
    <t>810 606 Op HiHat</t>
  </si>
  <si>
    <t>811 909 Cl HiHat</t>
  </si>
  <si>
    <t>812 909 Op HiHat</t>
  </si>
  <si>
    <t>813 808 Claps</t>
  </si>
  <si>
    <t>814 HumanClapsEQ</t>
  </si>
  <si>
    <t>815 Tight Claps</t>
  </si>
  <si>
    <t>816 Hand Claps</t>
  </si>
  <si>
    <t>817 Finger Snaps</t>
  </si>
  <si>
    <t>818 Rock RdCym1p</t>
  </si>
  <si>
    <t>819 Rock RdCym1f</t>
  </si>
  <si>
    <t>820 Rock RdCym2p</t>
  </si>
  <si>
    <t>821 Rock RdCym2f</t>
  </si>
  <si>
    <t>822 Jazz RdCym p</t>
  </si>
  <si>
    <t>823 Jazz RdCymmf</t>
  </si>
  <si>
    <t>824 Jazz RdCym f</t>
  </si>
  <si>
    <t>825 Ride 1</t>
  </si>
  <si>
    <t>826 Ride 2</t>
  </si>
  <si>
    <t>827 Ride Bell</t>
  </si>
  <si>
    <t>828 Rock CrCym1p</t>
  </si>
  <si>
    <t>829 Rock CrCym1f</t>
  </si>
  <si>
    <t>830 Rock CrCym2p</t>
  </si>
  <si>
    <t>831 Rock CrCym2f</t>
  </si>
  <si>
    <t>832 Rock Splash</t>
  </si>
  <si>
    <t>833 Jazz CrCym p</t>
  </si>
  <si>
    <t>834 Jazz CrCym f</t>
  </si>
  <si>
    <t>835 Crash Cymbal</t>
  </si>
  <si>
    <t>836 Crash 1</t>
  </si>
  <si>
    <t>837 Rock China</t>
  </si>
  <si>
    <t>838 China Cym</t>
  </si>
  <si>
    <t>839 Cowbell</t>
  </si>
  <si>
    <t>840 Wood Block</t>
  </si>
  <si>
    <t>841 Claves</t>
  </si>
  <si>
    <t>842 Bongo Hi</t>
  </si>
  <si>
    <t>843 Bongo Lo</t>
  </si>
  <si>
    <t>844 Cga Open Hi</t>
  </si>
  <si>
    <t>845 Cga Open Lo</t>
  </si>
  <si>
    <t>846 Cga Mute Hi</t>
  </si>
  <si>
    <t>847 Cga Mute Lo</t>
  </si>
  <si>
    <t>848 Cga Slap</t>
  </si>
  <si>
    <t>849 Timbale</t>
  </si>
  <si>
    <t>850 Cabasa Up</t>
  </si>
  <si>
    <t>851 Cabasa Down</t>
  </si>
  <si>
    <t>852 Cabasa Cut</t>
  </si>
  <si>
    <t>853 Maracas</t>
  </si>
  <si>
    <t>854 Long Guiro</t>
  </si>
  <si>
    <t>855 Tambourine 1</t>
  </si>
  <si>
    <t>856 Tambourine 2</t>
  </si>
  <si>
    <t>857 Open Triangl</t>
  </si>
  <si>
    <t>858 Cuica</t>
  </si>
  <si>
    <t>859 Vibraslap</t>
  </si>
  <si>
    <t>860 Timpani</t>
  </si>
  <si>
    <t>861 Timp3 pp</t>
  </si>
  <si>
    <t>862 Timp3 mp</t>
  </si>
  <si>
    <t>863 Applause</t>
  </si>
  <si>
    <t>864 Syn FX Loop</t>
  </si>
  <si>
    <t>865 Loop 1</t>
  </si>
  <si>
    <t>866 Loop 2</t>
  </si>
  <si>
    <t>867 Loop 3</t>
  </si>
  <si>
    <t>868 Loop 4</t>
  </si>
  <si>
    <t>869 Loop 5</t>
  </si>
  <si>
    <t>870 Loop 6</t>
  </si>
  <si>
    <t>871 Loop 7</t>
  </si>
  <si>
    <t>872 R8 Click</t>
  </si>
  <si>
    <t>873 Metronome 1</t>
  </si>
  <si>
    <t>874 Metronome 2</t>
  </si>
  <si>
    <t>875 MC500 Beep 1</t>
  </si>
  <si>
    <t>876 MC500 Beep 2</t>
  </si>
  <si>
    <t>877 Low Saw</t>
  </si>
  <si>
    <t>878 Low Saw inv</t>
  </si>
  <si>
    <t>879 Low P5 Saw</t>
  </si>
  <si>
    <t>880 Low Pulse 1</t>
  </si>
  <si>
    <t>881 Low Pulse 2</t>
  </si>
  <si>
    <t>882 Low Square</t>
  </si>
  <si>
    <t>883 Low Sine</t>
  </si>
  <si>
    <t>884 Low Triangle</t>
  </si>
  <si>
    <t>885 Low White NZ</t>
  </si>
  <si>
    <t>886 Low Pink NZ</t>
  </si>
  <si>
    <t>887 DC</t>
  </si>
  <si>
    <t>888 REV Orch.Hit</t>
  </si>
  <si>
    <t>889 REV TeknoHit</t>
  </si>
  <si>
    <t>890 REV Back Hit</t>
  </si>
  <si>
    <t>891 REV PhillHit</t>
  </si>
  <si>
    <t>892 REV Steel DR</t>
  </si>
  <si>
    <t>893 REV Tin Wave</t>
  </si>
  <si>
    <t>894 REV AmbiSNpL</t>
  </si>
  <si>
    <t>895 REV AmbiSNpR</t>
  </si>
  <si>
    <t>896 REV AmbiSNfL</t>
  </si>
  <si>
    <t>897 REV AmbiSNfR</t>
  </si>
  <si>
    <t>898 REV Wet SNpL</t>
  </si>
  <si>
    <t>899 REV Wet SNpR</t>
  </si>
  <si>
    <t>900 REV Wet SNfL</t>
  </si>
  <si>
    <t>901 REV Wet SNfR</t>
  </si>
  <si>
    <t>902 REV Dry SN</t>
  </si>
  <si>
    <t>903 REV PiccloSN</t>
  </si>
  <si>
    <t>904 REV Maple SN</t>
  </si>
  <si>
    <t>905 REV OldFilSN</t>
  </si>
  <si>
    <t>906 REV 70s SN</t>
  </si>
  <si>
    <t>907 REV SN Roll</t>
  </si>
  <si>
    <t>908 REV NatrlSN1</t>
  </si>
  <si>
    <t>909 REV NatrlSN2</t>
  </si>
  <si>
    <t>910 REV BalladSN</t>
  </si>
  <si>
    <t>911 REV RkSNpL</t>
  </si>
  <si>
    <t>912 REV RkSNpR</t>
  </si>
  <si>
    <t>913 REV RkSNmfL</t>
  </si>
  <si>
    <t>914 REV RkSNmfR</t>
  </si>
  <si>
    <t>915 REV RkSNfL</t>
  </si>
  <si>
    <t>916 REV RkSNfR</t>
  </si>
  <si>
    <t>917 REV RkRimpL</t>
  </si>
  <si>
    <t>918 REV RkRimpR</t>
  </si>
  <si>
    <t>919 REV RkRimmfL</t>
  </si>
  <si>
    <t>920 REV RkRimmfR</t>
  </si>
  <si>
    <t>921 REV RkRimfL</t>
  </si>
  <si>
    <t>922 REV RkRimfR</t>
  </si>
  <si>
    <t>923 REV RkGstL</t>
  </si>
  <si>
    <t>924 REV RkGstR</t>
  </si>
  <si>
    <t>925 REV SnareGst</t>
  </si>
  <si>
    <t>926 REV JzSNpL</t>
  </si>
  <si>
    <t>927 REV JzSNpR</t>
  </si>
  <si>
    <t>928 REV JzSNmfL</t>
  </si>
  <si>
    <t>929 REV JzSNmfR</t>
  </si>
  <si>
    <t>930 REV JzSNfL</t>
  </si>
  <si>
    <t>931 REV JzSNfR</t>
  </si>
  <si>
    <t>932 REV JzSNffL</t>
  </si>
  <si>
    <t>933 REV JzSNffR</t>
  </si>
  <si>
    <t>934 REV JzRimpL</t>
  </si>
  <si>
    <t>935 REV JzRimpR</t>
  </si>
  <si>
    <t>936 REV JzRimmfL</t>
  </si>
  <si>
    <t>937 REV JzRimmfR</t>
  </si>
  <si>
    <t>938 REV JzRimfL</t>
  </si>
  <si>
    <t>939 REV JzRimfR</t>
  </si>
  <si>
    <t>940 REV JzRimffL</t>
  </si>
  <si>
    <t>941 REV JzRimffR</t>
  </si>
  <si>
    <t>942 REV Brush 1</t>
  </si>
  <si>
    <t>943 REV Brush 2</t>
  </si>
  <si>
    <t>944 REV Brush 3</t>
  </si>
  <si>
    <t>945 REV JzSwish1</t>
  </si>
  <si>
    <t>946 REV JzSwish2</t>
  </si>
  <si>
    <t>947 REV 909 SN 1</t>
  </si>
  <si>
    <t>948 REV 909 SN 2</t>
  </si>
  <si>
    <t>949 REV RkRoll L</t>
  </si>
  <si>
    <t>950 REV RkRoll R</t>
  </si>
  <si>
    <t>951 REV JzRoll</t>
  </si>
  <si>
    <t>952 REV Dry Stk</t>
  </si>
  <si>
    <t>953 REV DrySick</t>
  </si>
  <si>
    <t>954 REV Side Stk</t>
  </si>
  <si>
    <t>955 REV Wdy Stk</t>
  </si>
  <si>
    <t>956 REV RkStk1L</t>
  </si>
  <si>
    <t>957 REV RkStk1R</t>
  </si>
  <si>
    <t>958 REV RkStk2L</t>
  </si>
  <si>
    <t>959 REV RkStk2R</t>
  </si>
  <si>
    <t>960 REV Thrill</t>
  </si>
  <si>
    <t>961 REV Dry Kick</t>
  </si>
  <si>
    <t>962 REV Mpl Kick</t>
  </si>
  <si>
    <t>963 REV RkKik p</t>
  </si>
  <si>
    <t>964 REV RkKik mf</t>
  </si>
  <si>
    <t>965 REV RkKik f</t>
  </si>
  <si>
    <t>966 REV JzKik p</t>
  </si>
  <si>
    <t>967 REV JzKik mf</t>
  </si>
  <si>
    <t>968 REV JzKik f</t>
  </si>
  <si>
    <t>969 REV Jaz Kick</t>
  </si>
  <si>
    <t>970 REV Pillow K</t>
  </si>
  <si>
    <t>971 REV Jz Dry K</t>
  </si>
  <si>
    <t>972 REV LiteKick</t>
  </si>
  <si>
    <t>973 REV Old Kick</t>
  </si>
  <si>
    <t>974 REV Hybrid K</t>
  </si>
  <si>
    <t>975 REV HybridK2</t>
  </si>
  <si>
    <t>976 REV 70s K 1</t>
  </si>
  <si>
    <t>977 REV 70s K 2</t>
  </si>
  <si>
    <t>978 REV Dance K</t>
  </si>
  <si>
    <t>979 REV 909 K 2</t>
  </si>
  <si>
    <t>980 REV RkTomL1p</t>
  </si>
  <si>
    <t>981 REV RkTomL2p</t>
  </si>
  <si>
    <t>982 REV RkTomM p</t>
  </si>
  <si>
    <t>983 REV RkTomH p</t>
  </si>
  <si>
    <t>984 REV RkTomL1f</t>
  </si>
  <si>
    <t>985 REV RkTomL2f</t>
  </si>
  <si>
    <t>986 REV RkTomM f</t>
  </si>
  <si>
    <t>987 REV RkTomH f</t>
  </si>
  <si>
    <t>988 REV RkFlmL1</t>
  </si>
  <si>
    <t>989 REV RkFlmL2</t>
  </si>
  <si>
    <t>990 REV RkFlm M</t>
  </si>
  <si>
    <t>991 REV RkFlm H</t>
  </si>
  <si>
    <t>992 REV JzTomL p</t>
  </si>
  <si>
    <t>993 REV JzTomM p</t>
  </si>
  <si>
    <t>994 REV JzTomH p</t>
  </si>
  <si>
    <t>995 REV JzTomL f</t>
  </si>
  <si>
    <t>996 REV JzTomM f</t>
  </si>
  <si>
    <t>997 REV JzTomH f</t>
  </si>
  <si>
    <t>998 REV JzFlm L</t>
  </si>
  <si>
    <t>999 REV JzFlm M</t>
  </si>
  <si>
    <t>1000 REV JzFlm H</t>
  </si>
  <si>
    <t>1001 REV MplTom2</t>
  </si>
  <si>
    <t>1002 REV MplTom4</t>
  </si>
  <si>
    <t>1003 REV 808Tom</t>
  </si>
  <si>
    <t>1004 REV VerbTomH</t>
  </si>
  <si>
    <t>1005 REV VerbTomL</t>
  </si>
  <si>
    <t>1006 REV DryTom H</t>
  </si>
  <si>
    <t>1007 REV DryTom M</t>
  </si>
  <si>
    <t>1008 REV RkClH1 p</t>
  </si>
  <si>
    <t>1009 REV RkClH1mf</t>
  </si>
  <si>
    <t>1010 REV RkClH1 f</t>
  </si>
  <si>
    <t>1011 REV RkClH2 p</t>
  </si>
  <si>
    <t>1012 REV RkClH2mf</t>
  </si>
  <si>
    <t>1013 REV RkClH2 f</t>
  </si>
  <si>
    <t>1014 REV JzClH1 p</t>
  </si>
  <si>
    <t>1015 REV JzClH1mf</t>
  </si>
  <si>
    <t>1016 REV JzClH1 f</t>
  </si>
  <si>
    <t>1017 REV JzClH2 p</t>
  </si>
  <si>
    <t>1018 REV JzClH2mf</t>
  </si>
  <si>
    <t>1019 REV JzClH2 f</t>
  </si>
  <si>
    <t>1020 REV Cl HH 1</t>
  </si>
  <si>
    <t>1021 REV Cl HH 2</t>
  </si>
  <si>
    <t>1022 REV Cl HH 3</t>
  </si>
  <si>
    <t>1023 REV Cl HH 4</t>
  </si>
  <si>
    <t>1024 REV Cl HH 5</t>
  </si>
  <si>
    <t>1025 REV RkOpHH p</t>
  </si>
  <si>
    <t>1026 REV RkOpHH f</t>
  </si>
  <si>
    <t>1027 REV JzOpHH p</t>
  </si>
  <si>
    <t>1028 REV JzOpHHmf</t>
  </si>
  <si>
    <t>1029 REV JzOpHH f</t>
  </si>
  <si>
    <t>1030 REV Op HiHat</t>
  </si>
  <si>
    <t>1031 REV OpHiHat2</t>
  </si>
  <si>
    <t>1032 REV RkPdHH p</t>
  </si>
  <si>
    <t>1033 REV RkPdHH f</t>
  </si>
  <si>
    <t>1034 REV JzPdHH p</t>
  </si>
  <si>
    <t>1035 REV JzPdHH f</t>
  </si>
  <si>
    <t>1036 REV PedalHH</t>
  </si>
  <si>
    <t>1037 REV PedalHH2</t>
  </si>
  <si>
    <t>1038 REV Dance HH</t>
  </si>
  <si>
    <t>1039 REV 70s ClHH</t>
  </si>
  <si>
    <t>1040 REV 70s OpHH</t>
  </si>
  <si>
    <t>1041 REV 606 ClHH</t>
  </si>
  <si>
    <t>1042 REV 606 OpHH</t>
  </si>
  <si>
    <t>1043 REV 909 NZHH</t>
  </si>
  <si>
    <t>1044 REV 909 OpHH</t>
  </si>
  <si>
    <t>1045 REV HClapsEQ</t>
  </si>
  <si>
    <t>1046 REV TghtClps</t>
  </si>
  <si>
    <t>1047 REV FingSnap</t>
  </si>
  <si>
    <t>1048 REV RealCLP</t>
  </si>
  <si>
    <t>1049 REV RkRCym1p</t>
  </si>
  <si>
    <t>1050 REV RkRCym1f</t>
  </si>
  <si>
    <t>1051 REV RkRCym2p</t>
  </si>
  <si>
    <t>1052 REV RkRCym2f</t>
  </si>
  <si>
    <t>1053 REV JzRCym p</t>
  </si>
  <si>
    <t>1054 REV JzRCymmf</t>
  </si>
  <si>
    <t>1055 REV JzRCym f</t>
  </si>
  <si>
    <t>1056 REV Ride 1</t>
  </si>
  <si>
    <t>1057 REV Ride 2</t>
  </si>
  <si>
    <t>1058 REV RideBell</t>
  </si>
  <si>
    <t>1059 REV RkCCym1p</t>
  </si>
  <si>
    <t>1060 REV RkCCym1f</t>
  </si>
  <si>
    <t>1061 REV RkCCym2p</t>
  </si>
  <si>
    <t>1062 REV RkCCym2f</t>
  </si>
  <si>
    <t>1063 REV RkSplash</t>
  </si>
  <si>
    <t>1064 REV JzCCym p</t>
  </si>
  <si>
    <t>1065 REV JzCCym f</t>
  </si>
  <si>
    <t>1066 REV CrashCym</t>
  </si>
  <si>
    <t>1067 REV Crash 1</t>
  </si>
  <si>
    <t>1068 REV RkChina</t>
  </si>
  <si>
    <t>1069 REV China</t>
  </si>
  <si>
    <t>1070 REV Cowbell</t>
  </si>
  <si>
    <t>1071 REV WoodBlck</t>
  </si>
  <si>
    <t>1072 REV Claves</t>
  </si>
  <si>
    <t>1073 REV Conga</t>
  </si>
  <si>
    <t>1074 REV Timbale</t>
  </si>
  <si>
    <t>1075 REV Maracas</t>
  </si>
  <si>
    <t>1076 REV Guiro</t>
  </si>
  <si>
    <t>1077 REV Tamb 1</t>
  </si>
  <si>
    <t>1078 REV Tamb 2</t>
  </si>
  <si>
    <t>1079 REV Cuica</t>
  </si>
  <si>
    <t>1080 REV Timpani</t>
  </si>
  <si>
    <t>1081 REV Timp3 pp</t>
  </si>
  <si>
    <t>1082 REV Timp3 mp</t>
  </si>
  <si>
    <t>1083 REV Metro</t>
  </si>
  <si>
    <t>SonicCell Waves Count:</t>
  </si>
  <si>
    <t>Fantom-S Waves Count:</t>
  </si>
  <si>
    <t>,</t>
  </si>
  <si>
    <t>Fantom-S/XR Bank A</t>
  </si>
  <si>
    <t>SonicCell</t>
  </si>
  <si>
    <t>Correction for SonicCell</t>
  </si>
  <si>
    <t>Correction for Fantom-S/XR Bank A</t>
  </si>
  <si>
    <t>USER (User Group)</t>
  </si>
  <si>
    <t>001 Synth Force 4 PULSATING</t>
  </si>
  <si>
    <t>002 So true... 2 AC.PIANO</t>
  </si>
  <si>
    <t>003 FS Syn Bass1 3 SYNTH BASS</t>
  </si>
  <si>
    <t>004 Mojo Man 2 HIT&amp;STAB</t>
  </si>
  <si>
    <t>005 StageRhdTrem 2 EL.PIANO</t>
  </si>
  <si>
    <t>006 Dig-n-Duke 2 SOFT LEAD</t>
  </si>
  <si>
    <t>007 Uncle Martin 2 AC.GUITAR</t>
  </si>
  <si>
    <t>008 "2 Point 2" 7 BRIGHT PAD</t>
  </si>
  <si>
    <t>009 SoundOnSound 1 SYNTH FX</t>
  </si>
  <si>
    <t>010 DOC Stack 2 OTHER SYNTH</t>
  </si>
  <si>
    <t>011 TB Wah 1 TECHNO SYNTH</t>
  </si>
  <si>
    <t>012 * PhaseDance 4 BEAT&amp;GROOVE</t>
  </si>
  <si>
    <t>013 Studio Sect. 4 STRINGS</t>
  </si>
  <si>
    <t>014 Spirit Tines 3 EL.PIANO</t>
  </si>
  <si>
    <t>015 Sub Sonic 4 SYNTH BASS</t>
  </si>
  <si>
    <t>016 Chaos 2003 4 SYNTH FX</t>
  </si>
  <si>
    <t>017 BluesHrp V/S 1 HARMONICA</t>
  </si>
  <si>
    <t>018 Cue Tip 1 OTHER SYNTH</t>
  </si>
  <si>
    <t>019 OilDrum Bass 3 SYNTH BASS</t>
  </si>
  <si>
    <t>020 Hellrazor 3 PULSATING</t>
  </si>
  <si>
    <t>021 Warm Pad Pno 4 AC.PIANO</t>
  </si>
  <si>
    <t>022 LA Piano 3 AC.PIANO</t>
  </si>
  <si>
    <t>023 Warm Str Pno 6 AC.PIANO</t>
  </si>
  <si>
    <t>024 Rapsody 7 AC.PIANO</t>
  </si>
  <si>
    <t>025 JD-800 Piano 1 AC.PIANO</t>
  </si>
  <si>
    <t>026 LonesomeRoad 2 EL.PIANO</t>
  </si>
  <si>
    <t>027 LEO Rhodes 4 EL.PIANO</t>
  </si>
  <si>
    <t>028 Psycho EP 4 EL.PIANO</t>
  </si>
  <si>
    <t>029 FM EPad 3 EL.PIANO</t>
  </si>
  <si>
    <t>030 Celestial EP 4 EL.PIANO</t>
  </si>
  <si>
    <t>031 Super Wurly 3 EL.PIANO</t>
  </si>
  <si>
    <t>032 Remember 2 EL.PIANO</t>
  </si>
  <si>
    <t>033 Backing PhEP 2 EL.PIANO</t>
  </si>
  <si>
    <t>034 Phase Clavi 2 KEYBOARDS</t>
  </si>
  <si>
    <t>035 Cutter Clavi 2 KEYBOARDS</t>
  </si>
  <si>
    <t>036 D6 Clavi 3 KEYBOARDS</t>
  </si>
  <si>
    <t>037 Amadeus 8 KEYBOARDS</t>
  </si>
  <si>
    <t>038 FS Celesta 1 KEYBOARDS</t>
  </si>
  <si>
    <t>039 FS Flat Bs 3 SYNTH BASS</t>
  </si>
  <si>
    <t>040 R&amp;B Bass 2 1 SYNTH BASS</t>
  </si>
  <si>
    <t>041 Punch MG 1 2 SYNTH BASS</t>
  </si>
  <si>
    <t>042 Punch MG 2 2 SYNTH BASS</t>
  </si>
  <si>
    <t>043 V.Form Bass 1 SYNTH BASS</t>
  </si>
  <si>
    <t>044 FS Acid Bs 2 SYNTH BASS</t>
  </si>
  <si>
    <t>045 SQ Pan 2 SYNTH BASS</t>
  </si>
  <si>
    <t>046 Foundation 2 SYNTH BASS</t>
  </si>
  <si>
    <t>047 FS Unison Bs 2 SYNTH BASS</t>
  </si>
  <si>
    <t>048 Lo Bass 3 SYNTH BASS</t>
  </si>
  <si>
    <t>049 Solid Goa 1 SYNTH BASS</t>
  </si>
  <si>
    <t>050 Loco Voco 2 SYNTH BASS</t>
  </si>
  <si>
    <t>051 Electro Rubb 2 SYNTH BASS</t>
  </si>
  <si>
    <t>052 TexturedBusy 3 SYNTH BASS</t>
  </si>
  <si>
    <t>053 Unplug it! 1 SYNTH BASS</t>
  </si>
  <si>
    <t>054 S&amp;H Bass 3 SYNTH BASS</t>
  </si>
  <si>
    <t>055 Return2Base! 1 BASS</t>
  </si>
  <si>
    <t>056 LEO Bass 1 BASS</t>
  </si>
  <si>
    <t>057 All Round Bs 2 BASS</t>
  </si>
  <si>
    <t>058 Basement 1 BASS</t>
  </si>
  <si>
    <t>059 Ulti Ac Bass 2 BASS</t>
  </si>
  <si>
    <t>060 Comp'd JBass 2 BASS</t>
  </si>
  <si>
    <t>061 Roomy Bass 2 BASS</t>
  </si>
  <si>
    <t>062 FS Fretnot 1 2 BASS</t>
  </si>
  <si>
    <t>063 PeakArpSine 1 SOFT LEAD</t>
  </si>
  <si>
    <t>064 Sqr Diamond 2 SOFT LEAD</t>
  </si>
  <si>
    <t>065 Chubby Lead 2 SOFT LEAD</t>
  </si>
  <si>
    <t>066 Gwyo Press 2 HARD LEAD</t>
  </si>
  <si>
    <t>067 MG Sqr Lead 2 SOFT LEAD</t>
  </si>
  <si>
    <t>068 SoloNzPeaker 1 SOFT LEAD</t>
  </si>
  <si>
    <t>069 Oscillo Lead 2 SOFT LEAD</t>
  </si>
  <si>
    <t>070 Mid Saw Ld 4 SOFT LEAD</t>
  </si>
  <si>
    <t>071 Sneaky Leady 2 SOFT LEAD</t>
  </si>
  <si>
    <t>072 Legato Tkno 1 SOFT LEAD</t>
  </si>
  <si>
    <t>073 Tristar 2 SOFT LEAD</t>
  </si>
  <si>
    <t>074 Theramax 1 SOFT LEAD</t>
  </si>
  <si>
    <t>075 SyncModulate 3 HARD LEAD</t>
  </si>
  <si>
    <t>076 Wind Syn Ld 2 HARD LEAD</t>
  </si>
  <si>
    <t>077 Distorted MG 1 HARD LEAD</t>
  </si>
  <si>
    <t>078 Clean? 2 HARD LEAD</t>
  </si>
  <si>
    <t>079 SynLead 0322 2 HARD LEAD</t>
  </si>
  <si>
    <t>080 Legato Saw 2 HARD LEAD</t>
  </si>
  <si>
    <t>081 DC Triangle 2 HARD LEAD</t>
  </si>
  <si>
    <t>082 Space Lead 3 HARD LEAD</t>
  </si>
  <si>
    <t>083 Squareheads 2 HARD LEAD</t>
  </si>
  <si>
    <t>084 DirtyVoltage 2 HARD LEAD</t>
  </si>
  <si>
    <t>085 Blue Meanie 2 HARD LEAD</t>
  </si>
  <si>
    <t>086 "Q" DualSaws 2 HARD LEAD</t>
  </si>
  <si>
    <t>087 X-Sink Delay 3 HARD LEAD</t>
  </si>
  <si>
    <t>088 Defcon 2 HARD LEAD</t>
  </si>
  <si>
    <t>089 HumanKindnes 4 SOFT PAD</t>
  </si>
  <si>
    <t>090 Atmospherics 2 SOFT PAD</t>
  </si>
  <si>
    <t>091 In The Pass 3 BRIGHT PAD</t>
  </si>
  <si>
    <t>092 SaturnHolida 2 BRIGHT PAD</t>
  </si>
  <si>
    <t>093 Cloud #9 3 SOFT PAD</t>
  </si>
  <si>
    <t>094 Vulcano Pad 8 SOFT PAD</t>
  </si>
  <si>
    <t>095 Strings Pad 2 SOFT PAD</t>
  </si>
  <si>
    <t>096 JP Strings 2 5 SOFT PAD</t>
  </si>
  <si>
    <t>097 FS MovinPad 8 SOFT PAD</t>
  </si>
  <si>
    <t>098 Organic Pad 3 SOFT PAD</t>
  </si>
  <si>
    <t>099 Reso Pad 3 SOFT PAD</t>
  </si>
  <si>
    <t>100 FS Syn Str 5 SOFT PAD</t>
  </si>
  <si>
    <t>101 Glass Organ 3 SOFT PAD</t>
  </si>
  <si>
    <t>102 Terra Nostra 8 SOFT PAD</t>
  </si>
  <si>
    <t>103 Seq-Pad 1 8 SOFT PAD</t>
  </si>
  <si>
    <t>104 Neuro-Drone 7 BRIGHT PAD</t>
  </si>
  <si>
    <t>105 HugeSoundMod 4 BRIGHT PAD</t>
  </si>
  <si>
    <t>106 MistOver5ths 4 BRIGHT PAD</t>
  </si>
  <si>
    <t>107 Polar Night 4 BRIGHT PAD</t>
  </si>
  <si>
    <t>108 BillionStars 4 BRIGHT PAD</t>
  </si>
  <si>
    <t>109 Mod Dare 4 BRIGHT PAD</t>
  </si>
  <si>
    <t>110 Distant Sun 4 BRIGHT PAD</t>
  </si>
  <si>
    <t>111 Filmscape 5 BRIGHT PAD</t>
  </si>
  <si>
    <t>112 OB Rezo Pad 3 BRIGHT PAD</t>
  </si>
  <si>
    <t>113 Voyager 4 BRIGHT PAD</t>
  </si>
  <si>
    <t>114 * Beat Dance 2 BEAT&amp;GROOVE</t>
  </si>
  <si>
    <t>115 *StepLFO Ens 5 BEAT&amp;GROOVE</t>
  </si>
  <si>
    <t>116 * SliceDance 4 BEAT&amp;GROOVE</t>
  </si>
  <si>
    <t>117 VirtualHuman 4 PULSATING</t>
  </si>
  <si>
    <t>118 ShapeURMusic 5 PULSATING</t>
  </si>
  <si>
    <t>119 Auto Trance 2 PULSATING</t>
  </si>
  <si>
    <t>120 PanningFrmnt 2 PULSATING</t>
  </si>
  <si>
    <t>121 Digi-Doo 2 PULSATING</t>
  </si>
  <si>
    <t>122 Beat Pad 3 PULSATING</t>
  </si>
  <si>
    <t>123 FS ResoStep 5 PULSATING</t>
  </si>
  <si>
    <t>124 HPF Slicer 3 PULSATING</t>
  </si>
  <si>
    <t>125 DarknessSide 6 PULSATING</t>
  </si>
  <si>
    <t>126 FS Alpha Rave 5 PULSATING</t>
  </si>
  <si>
    <t>127 Seq-Pad 2 8 PULSATING</t>
  </si>
  <si>
    <t>128 Step Trance 1 PULSATING</t>
  </si>
  <si>
    <t>129 Electrons 1 PULSATING</t>
  </si>
  <si>
    <t>130 StepPitShift 2 PULSATING</t>
  </si>
  <si>
    <t>131 FS Strobe 4 PULSATING</t>
  </si>
  <si>
    <t>132 Sweet House 4 TECHNO SYNTH</t>
  </si>
  <si>
    <t>133 Electrostars 4 TECHNO SYNTH</t>
  </si>
  <si>
    <t>134 Hoovercraft 4 TECHNO SYNTH</t>
  </si>
  <si>
    <t>135 DelyResoSaws 2 TECHNO SYNTH</t>
  </si>
  <si>
    <t>136 LoFiSequence 2 TECHNO SYNTH</t>
  </si>
  <si>
    <t>137 Techno Snips 2 TECHNO SYNTH</t>
  </si>
  <si>
    <t>138 Coffee Bee 2 TECHNO SYNTH</t>
  </si>
  <si>
    <t>139 DreamInColor 3 TECHNO SYNTH</t>
  </si>
  <si>
    <t>140 Alpha Retro 3 TECHNO SYNTH</t>
  </si>
  <si>
    <t>141 AluminmWires 3 TECHNO SYNTH</t>
  </si>
  <si>
    <t>142 Moon Synth 2 TECHNO SYNTH</t>
  </si>
  <si>
    <t>143 DetuneSeqSaw 2 TECHNO SYNTH</t>
  </si>
  <si>
    <t>144 MetalVoxBox 4 TECHNO SYNTH</t>
  </si>
  <si>
    <t>145 Repertition 4 TECHNO SYNTH</t>
  </si>
  <si>
    <t>146 Trancy Synth 2 OTHER SYNTH</t>
  </si>
  <si>
    <t>147 4DaCommonMan 4 OTHER SYNTH</t>
  </si>
  <si>
    <t>148 Magnetic 5th 2 OTHER SYNTH</t>
  </si>
  <si>
    <t>149 Digitaless 2 OTHER SYNTH</t>
  </si>
  <si>
    <t>150 Big Planet 2 OTHER SYNTH</t>
  </si>
  <si>
    <t>151 Short Detune 2 OTHER SYNTH</t>
  </si>
  <si>
    <t>152 Bustranza 2 OTHER SYNTH</t>
  </si>
  <si>
    <t>153 Fairy Factor 6 OTHER SYNTH</t>
  </si>
  <si>
    <t>154 Metalic Bass 2 OTHER SYNTH</t>
  </si>
  <si>
    <t>155 X-Racer 2 OTHER SYNTH</t>
  </si>
  <si>
    <t>156 TB-Sequence 1 OTHER SYNTH</t>
  </si>
  <si>
    <t>157 TranceSaws 4 OTHER SYNTH</t>
  </si>
  <si>
    <t>158 Impression 4 OTHER SYNTH</t>
  </si>
  <si>
    <t>159 Story Harp 7 OTHER SYNTH</t>
  </si>
  <si>
    <t>160 Wet Atax 2 OTHER SYNTH</t>
  </si>
  <si>
    <t>161 Techno Craft 3 COMBINATION</t>
  </si>
  <si>
    <t>162 Scatter 7 SYNTH FX</t>
  </si>
  <si>
    <t>163 Control Room 4 SYNTH FX</t>
  </si>
  <si>
    <t>164 Lazer Points 2 SYNTH FX</t>
  </si>
  <si>
    <t>165 FS Crystal 2 SYNTH FX</t>
  </si>
  <si>
    <t>166 Ambience 3 SYNTH FX</t>
  </si>
  <si>
    <t>167 New Planetz 4 SYNTH FX</t>
  </si>
  <si>
    <t>168 FS Try This! 3 SYNTH FX</t>
  </si>
  <si>
    <t>169 Breath Echo 1 SYNTH FX</t>
  </si>
  <si>
    <t>170 Faked Piano 4 SYNTH FX</t>
  </si>
  <si>
    <t>171 Sub Hit 3 HIT&amp;STAB</t>
  </si>
  <si>
    <t>172 Blue Ice 2 HIT&amp;STAB</t>
  </si>
  <si>
    <t>173 Venus 2 HIT&amp;STAB</t>
  </si>
  <si>
    <t>174 BlastfrmPast 2 HIT&amp;STAB</t>
  </si>
  <si>
    <t>175 2ble Action 2 HIT&amp;STAB</t>
  </si>
  <si>
    <t>176 Cheezy Movie 4 HIT&amp;STAB</t>
  </si>
  <si>
    <t>177 SoftNyln Gtr 2 AC.GUITAR</t>
  </si>
  <si>
    <t>178 Pre Mass Hum 4 AC.GUITAR</t>
  </si>
  <si>
    <t>179 Wide Ac Gtr 4 AC.GUITAR</t>
  </si>
  <si>
    <t>180 Strat Gtr 1 EL.GUITAR</t>
  </si>
  <si>
    <t>181 Fixx it 1 EL.GUITAR</t>
  </si>
  <si>
    <t>182 BluNoteStrat 1 EL.GUITAR</t>
  </si>
  <si>
    <t>183 Clean Gtr 1 EL.GUITAR</t>
  </si>
  <si>
    <t>184 JC Strat Bdy 2 EL.GUITAR</t>
  </si>
  <si>
    <t>185 DynoJazz Gtr 1 EL.GUITAR</t>
  </si>
  <si>
    <t>186 Searing COSM 2 DIST.GUITAR</t>
  </si>
  <si>
    <t>187 Hurtling Gtr 3 DIST.GUITAR</t>
  </si>
  <si>
    <t>188 Touch Drive 1 DIST.GUITAR</t>
  </si>
  <si>
    <t>189 Pat is away 5 PLUCKED</t>
  </si>
  <si>
    <t>190 Bosporus 3 PLUCKED</t>
  </si>
  <si>
    <t>191 Teky Drop 4 PLUCKED</t>
  </si>
  <si>
    <t>192 Aerial Harp 2 PLUCKED</t>
  </si>
  <si>
    <t>193 Neo Sitar 2 PLUCKED</t>
  </si>
  <si>
    <t>194 Sitar on C 6 PLUCKED</t>
  </si>
  <si>
    <t>195 Stacc mp Str 4 STRINGS</t>
  </si>
  <si>
    <t>196 FS Strings 8 STRINGS</t>
  </si>
  <si>
    <t>197 Crossed Bows 5 STRINGS</t>
  </si>
  <si>
    <t>198 DelicatePizz 4 STRINGS</t>
  </si>
  <si>
    <t>199 Dolce Qrt 2 STRINGS</t>
  </si>
  <si>
    <t>200 Clustered!?! 8 STRINGS</t>
  </si>
  <si>
    <t>201 Small Str 7 STRINGS</t>
  </si>
  <si>
    <t>202 Violin 1 STRINGS</t>
  </si>
  <si>
    <t>203 2-way Sect. 2 STRINGS</t>
  </si>
  <si>
    <t>204 HarWonderca 2 HARMONICA</t>
  </si>
  <si>
    <t>205 Soft Orch 2 7 ORCHESTRA</t>
  </si>
  <si>
    <t>206 Farewell 6 ORCHESTRA</t>
  </si>
  <si>
    <t>207 Wind &amp; Str 2 5 ORCHESTRA</t>
  </si>
  <si>
    <t>208 Atk Flute 2 FLUTE</t>
  </si>
  <si>
    <t>209 Pan Pipes 2 FLUTE</t>
  </si>
  <si>
    <t>210 Andes Mood 1 FLUTE</t>
  </si>
  <si>
    <t>211 FS PipeDream 4 ETHNIC</t>
  </si>
  <si>
    <t>212 FS Oboe 1 WIND</t>
  </si>
  <si>
    <t>213 Clarence.net 2 WIND</t>
  </si>
  <si>
    <t>214 Good Old Day 3 WIND</t>
  </si>
  <si>
    <t>215 Solo Sop Sax 1 SAX</t>
  </si>
  <si>
    <t>216 Alto mp 1 SAX</t>
  </si>
  <si>
    <t>217 Sax Sect. 1 3 SAX</t>
  </si>
  <si>
    <t>218 Squeeze Me! 2 ACCORDION</t>
  </si>
  <si>
    <t>219 Timpani+Low 4 PERCUSSION</t>
  </si>
  <si>
    <t>220 Silky JP 2 SYNTH BRASS</t>
  </si>
  <si>
    <t>221 SoftSynBrass 2 SYNTH BRASS</t>
  </si>
  <si>
    <t>222 Silk Brs Pad 1 SYNTH BRASS</t>
  </si>
  <si>
    <t>223 DetuneSawBrs 2 SYNTH BRASS</t>
  </si>
  <si>
    <t>224 FS Brass 7 AC.BRASS</t>
  </si>
  <si>
    <t>225 F.Horns Sect 3 AC.BRASS</t>
  </si>
  <si>
    <t>226 Solo Tp 2 AC.BRASS</t>
  </si>
  <si>
    <t>227 Harmon Mute 1 AC.BRASS</t>
  </si>
  <si>
    <t>228 DynamicBrass 8 AC.BRASS</t>
  </si>
  <si>
    <t>229 Flugel Horn 1 AC.BRASS</t>
  </si>
  <si>
    <t>230 BrassPartOut 6 AC.BRASS</t>
  </si>
  <si>
    <t>231 StackTp Sect 4 AC.BRASS</t>
  </si>
  <si>
    <t>232 Beat Vox 1 VOX</t>
  </si>
  <si>
    <t>233 Syn Opera 4 VOX</t>
  </si>
  <si>
    <t>234 Uhmmm 8 VOX</t>
  </si>
  <si>
    <t>235 Ooze 2 VOX</t>
  </si>
  <si>
    <t>236 Morning Star 3 VOX</t>
  </si>
  <si>
    <t>237 Angels Choir 4 VOX</t>
  </si>
  <si>
    <t>238 Gospel Oohs 2 VOX</t>
  </si>
  <si>
    <t>239 Rochno Org 4 ORGAN</t>
  </si>
  <si>
    <t>240 LoFi PercOrg 1 ORGAN</t>
  </si>
  <si>
    <t>241 Euro Organ 2 ORGAN</t>
  </si>
  <si>
    <t>242 60's Org 1 2 ORGAN</t>
  </si>
  <si>
    <t>243 60's Org 2 2 ORGAN</t>
  </si>
  <si>
    <t>244 Peep Durple 5 ORGAN</t>
  </si>
  <si>
    <t>245 Chapel Organ 2 ORGAN</t>
  </si>
  <si>
    <t>246 Pipe Org/Mod 6 ORGAN</t>
  </si>
  <si>
    <t>247 FS SoapOpera 1 ORGAN</t>
  </si>
  <si>
    <t>248 Dreaming Box 4 BELL</t>
  </si>
  <si>
    <t>249 Himalaya Ice 2 BELL</t>
  </si>
  <si>
    <t>250 FS Musicbox 1 BELL</t>
  </si>
  <si>
    <t>251 Candy Bell 2 BELL</t>
  </si>
  <si>
    <t>252 MuBox Pad 4 BELL</t>
  </si>
  <si>
    <t>253 Ethno Keys 2 MALLET</t>
  </si>
  <si>
    <t>254 FS Marimba 1 MALLET</t>
  </si>
  <si>
    <t>255 FS Vibe 1 MALLET</t>
  </si>
  <si>
    <t>256 Toy Box 3 MALLET</t>
  </si>
  <si>
    <t>PR-A (Preset A Group)</t>
  </si>
  <si>
    <t>PR-B (Preset B Group)</t>
  </si>
  <si>
    <t>001 So true... 2 AC.PIANO</t>
  </si>
  <si>
    <t>002 ConcertPiano 3 AC.PIANO</t>
  </si>
  <si>
    <t>003 Warm Piano 2 AC.PIANO</t>
  </si>
  <si>
    <t>004 Warm Pad Pno 4 AC.PIANO</t>
  </si>
  <si>
    <t>005 Warm Str Pno 6 AC.PIANO</t>
  </si>
  <si>
    <t>006 BealeSt Walk 4 AC.PIANO</t>
  </si>
  <si>
    <t>007 Rapsody 7 AC.PIANO</t>
  </si>
  <si>
    <t>008 JD-800 Piano 1 AC.PIANO</t>
  </si>
  <si>
    <t>009 SA Dance Pno 2 AC.PIANO</t>
  </si>
  <si>
    <t>010 FS E-Grand 4 AC.PIANO</t>
  </si>
  <si>
    <t>011 FS Blend Pno 5 AC.PIANO</t>
  </si>
  <si>
    <t>012 LA Piano 3 AC.PIANO</t>
  </si>
  <si>
    <t>013 FS Rhodes 5 EL.PIANO</t>
  </si>
  <si>
    <t>014 StageRhdTrem 2 EL.PIANO</t>
  </si>
  <si>
    <t>015 Back2the60s 2 EL.PIANO</t>
  </si>
  <si>
    <t>016 Tine Rhodes 1 EL.PIANO</t>
  </si>
  <si>
    <t>017 LEO Rhodes 4 EL.PIANO</t>
  </si>
  <si>
    <t>018 LonesomeRoad 2 EL.PIANO</t>
  </si>
  <si>
    <t>019 Age'n'Tines 2 EL.PIANO</t>
  </si>
  <si>
    <t>020 Brill TremEP 2 EL.PIANO</t>
  </si>
  <si>
    <t>021 Crystal Rhd 2 EL.PIANO</t>
  </si>
  <si>
    <t>022 Celestial EP 4 EL.PIANO</t>
  </si>
  <si>
    <t>023 Spirit Tines 3 EL.PIANO</t>
  </si>
  <si>
    <t>024 Psycho EP 4 EL.PIANO</t>
  </si>
  <si>
    <t>025 Mk2 Stg phsr 3 EL.PIANO</t>
  </si>
  <si>
    <t>026 SA Stacks 5 EL.PIANO</t>
  </si>
  <si>
    <t>027 Backing PhEP 2 EL.PIANO</t>
  </si>
  <si>
    <t>028 Balladeer 3 EL.PIANO</t>
  </si>
  <si>
    <t>029 Remember 2 EL.PIANO</t>
  </si>
  <si>
    <t>030 FS Wurly 2 EL.PIANO</t>
  </si>
  <si>
    <t>031 Wurly Trem 3 EL.PIANO</t>
  </si>
  <si>
    <t>032 Super Wurly 3 EL.PIANO</t>
  </si>
  <si>
    <t>033 Pulse EPno 3 EL.PIANO</t>
  </si>
  <si>
    <t>034 Fonky Fonky 2 EL.PIANO</t>
  </si>
  <si>
    <t>035 FM Rhodes 5 EL.PIANO</t>
  </si>
  <si>
    <t>036 FM-777 5 EL.PIANO</t>
  </si>
  <si>
    <t>037 FM EPad 3 EL.PIANO</t>
  </si>
  <si>
    <t>038 D6 Clavi 3 KEYBOARDS</t>
  </si>
  <si>
    <t>039 Cutter Clavi 2 KEYBOARDS</t>
  </si>
  <si>
    <t>040 FS Clavi 2 KEYBOARDS</t>
  </si>
  <si>
    <t>041 Funky D 2 KEYBOARDS</t>
  </si>
  <si>
    <t>042 Phase Clavi 2 KEYBOARDS</t>
  </si>
  <si>
    <t>043 BPF Clavi Ph 2 KEYBOARDS</t>
  </si>
  <si>
    <t>044 Pulse Clavi 2 KEYBOARDS</t>
  </si>
  <si>
    <t>045 Analog Clavi 1 KEYBOARDS</t>
  </si>
  <si>
    <t>046 Reso Clavi 2 KEYBOARDS</t>
  </si>
  <si>
    <t>047 Harpsy Clavi 2 KEYBOARDS</t>
  </si>
  <si>
    <t>048 FS Harpsi 4 KEYBOARDS</t>
  </si>
  <si>
    <t>049 Amadeus 8 KEYBOARDS</t>
  </si>
  <si>
    <t>050 FS Celesta 1 KEYBOARDS</t>
  </si>
  <si>
    <t>051 FS Glocken 1 BELL</t>
  </si>
  <si>
    <t>052 Music Bells 2 BELL</t>
  </si>
  <si>
    <t>053 FS Musicbox 1 BELL</t>
  </si>
  <si>
    <t>054 MuBox Pad 4 BELL</t>
  </si>
  <si>
    <t>055 Kalimbells 2 BELL</t>
  </si>
  <si>
    <t>056 Himalaya Ice 2 BELL</t>
  </si>
  <si>
    <t>057 Dreaming Box 4 BELL</t>
  </si>
  <si>
    <t>058 Step Ice 4 BELL</t>
  </si>
  <si>
    <t>059 FS Bell 1 4 BELL</t>
  </si>
  <si>
    <t>060 FS Bell 2 2 BELL</t>
  </si>
  <si>
    <t>061 Candy Bell 2 BELL</t>
  </si>
  <si>
    <t>062 FS Chime 1 BELL</t>
  </si>
  <si>
    <t>063 Bell Ring 4 BELL</t>
  </si>
  <si>
    <t>064 Tubular Bell 1 BELL</t>
  </si>
  <si>
    <t>065 5th Key 2 BELL</t>
  </si>
  <si>
    <t>066 Vibrations 2 MALLET</t>
  </si>
  <si>
    <t>067 FS Vibe 1 MALLET</t>
  </si>
  <si>
    <t>068 FS Marimba 1 MALLET</t>
  </si>
  <si>
    <t>069 FS Xylo 1 MALLET</t>
  </si>
  <si>
    <t>070 Ethno Keys 2 MALLET</t>
  </si>
  <si>
    <t>071 Synergy MLT 2 MALLET</t>
  </si>
  <si>
    <t>072 Steel Drums 2 MALLET</t>
  </si>
  <si>
    <t>073 Xylosizer 2 MALLET</t>
  </si>
  <si>
    <t>074 Toy Box 3 MALLET</t>
  </si>
  <si>
    <t>075 FullDraw Org 3 ORGAN</t>
  </si>
  <si>
    <t>076 StakDraw Org 4 ORGAN</t>
  </si>
  <si>
    <t>077 FullStop Org 3 ORGAN</t>
  </si>
  <si>
    <t>078 FS Perc Org 4 ORGAN</t>
  </si>
  <si>
    <t>079 Euro Organ 2 ORGAN</t>
  </si>
  <si>
    <t>080 Perky Organ 1 ORGAN</t>
  </si>
  <si>
    <t>081 LoFi PercOrg 1 ORGAN</t>
  </si>
  <si>
    <t>082 Rochno Org 4 ORGAN</t>
  </si>
  <si>
    <t>083 R&amp;B Organ 1 2 ORGAN</t>
  </si>
  <si>
    <t>084 R&amp;B Organ 2 4 ORGAN</t>
  </si>
  <si>
    <t>085 Zepix Organ 4 ORGAN</t>
  </si>
  <si>
    <t>086 Peep Durple 5 ORGAN</t>
  </si>
  <si>
    <t>087 FS Dist Bee 1 ORGAN</t>
  </si>
  <si>
    <t>088 60's Org 1 2 ORGAN</t>
  </si>
  <si>
    <t>089 60's Org 2 2 ORGAN</t>
  </si>
  <si>
    <t>090 FS SoapOpera 1 ORGAN</t>
  </si>
  <si>
    <t>091 Chapel Organ 2 ORGAN</t>
  </si>
  <si>
    <t>092 Grand Pipe 3 ORGAN</t>
  </si>
  <si>
    <t>093 Masked Opera 6 ORGAN</t>
  </si>
  <si>
    <t>094 Pipe Org/Mod 6 ORGAN</t>
  </si>
  <si>
    <t>095 Vodkakordion 3 ACCORDION</t>
  </si>
  <si>
    <t>096 Squeeze Me! 2 ACCORDION</t>
  </si>
  <si>
    <t>097 Guinguette 3 ACCORDION</t>
  </si>
  <si>
    <t>098 HarWonderca 2 HARMONICA</t>
  </si>
  <si>
    <t>099 BluesHrp V/S 1 HARMONICA</t>
  </si>
  <si>
    <t>100 Green Bullet 2 HARMONICA</t>
  </si>
  <si>
    <t>101 SoftNyln Gtr 2 AC.GUITAR</t>
  </si>
  <si>
    <t>102 FS Nylon Gt 2 AC.GUITAR</t>
  </si>
  <si>
    <t>103 Wet Nyln Gtr 3 AC.GUITAR</t>
  </si>
  <si>
    <t>104 Pre Mass Hum 4 AC.GUITAR</t>
  </si>
  <si>
    <t>105 Thick Steel 2 AC.GUITAR</t>
  </si>
  <si>
    <t>106 Uncle Martin 2 AC.GUITAR</t>
  </si>
  <si>
    <t>107 Wide Ac Gtr 4 AC.GUITAR</t>
  </si>
  <si>
    <t>108 Comp Stl Gtr 2 AC.GUITAR</t>
  </si>
  <si>
    <t>109 Stl Gtr Duo 2 AC.GUITAR</t>
  </si>
  <si>
    <t>110 FS 12str Gtr 3 AC.GUITAR</t>
  </si>
  <si>
    <t>111 So good ! 2 AC.GUITAR</t>
  </si>
  <si>
    <t>112 Muted Gtr Pk 2 EL.GUITAR</t>
  </si>
  <si>
    <t>113 StratSeq'nce 3 EL.GUITAR</t>
  </si>
  <si>
    <t>114 Fixx it 1 EL.GUITAR</t>
  </si>
  <si>
    <t>115 Jazz Guitar 1 EL.GUITAR</t>
  </si>
  <si>
    <t>116 DynoJazz Gtr 1 EL.GUITAR</t>
  </si>
  <si>
    <t>117 Wet TC 1 EL.GUITAR</t>
  </si>
  <si>
    <t>118 Clean Gtr 1 EL.GUITAR</t>
  </si>
  <si>
    <t>119 Crimson Gtr 2 EL.GUITAR</t>
  </si>
  <si>
    <t>120 Touchee Funk 2 EL.GUITAR</t>
  </si>
  <si>
    <t>121 Plug n' Gig 1 EL.GUITAR</t>
  </si>
  <si>
    <t>122 Kinda Kurt 2 EL.GUITAR</t>
  </si>
  <si>
    <t>123 Nice Oct Gtr 2 EL.GUITAR</t>
  </si>
  <si>
    <t>124 Strat Gtr 1 EL.GUITAR</t>
  </si>
  <si>
    <t>125 JC Strat Bdy 2 EL.GUITAR</t>
  </si>
  <si>
    <t>126 Twin StratsB 2 EL.GUITAR</t>
  </si>
  <si>
    <t>127 BluNoteStrat 1 EL.GUITAR</t>
  </si>
  <si>
    <t>128 FS Funk Gtr 2 EL.GUITAR</t>
  </si>
  <si>
    <t>001 GK Dubguitar 4 EL.GUITAR</t>
  </si>
  <si>
    <t>002 &amp; Scratchee 4 EL.GUITAR</t>
  </si>
  <si>
    <t>003 Touch Drive 1 DIST.GUITAR</t>
  </si>
  <si>
    <t>004 FS Chunk 4 DIST.GUITAR</t>
  </si>
  <si>
    <t>005 Trem-o-Vibe 2 DIST.GUITAR</t>
  </si>
  <si>
    <t>006 Nice Dist Gt 1 DIST.GUITAR</t>
  </si>
  <si>
    <t>007 LP Dist 2 DIST.GUITAR</t>
  </si>
  <si>
    <t>008 Hurtling Gtr 3 DIST.GUITAR</t>
  </si>
  <si>
    <t>009 Searing COSM 2 DIST.GUITAR</t>
  </si>
  <si>
    <t>010 FS Loud Gtr 3 DIST.GUITAR</t>
  </si>
  <si>
    <t>011 FS Plugged!! 1 DIST.GUITAR</t>
  </si>
  <si>
    <t>012 Punker 1 2 DIST.GUITAR</t>
  </si>
  <si>
    <t>013 FS PowerChd 2 DIST.GUITAR</t>
  </si>
  <si>
    <t>014 Punker 2 2 DIST.GUITAR</t>
  </si>
  <si>
    <t>015 Ulti Ac Bass 2 BASS</t>
  </si>
  <si>
    <t>016 Downright Bs 3 BASS</t>
  </si>
  <si>
    <t>017 Ultimo Bass 3 BASS</t>
  </si>
  <si>
    <t>018 Roomy Bass 2 BASS</t>
  </si>
  <si>
    <t>019 Comp'd JBass 2 BASS</t>
  </si>
  <si>
    <t>020 FingerMaster 2 BASS</t>
  </si>
  <si>
    <t>021 CompressBass 2 BASS</t>
  </si>
  <si>
    <t>022 All Round Bs 2 BASS</t>
  </si>
  <si>
    <t>023 R&amp;B Bs/Slide 2 BASS</t>
  </si>
  <si>
    <t>024 Thumb Up! 1 BASS</t>
  </si>
  <si>
    <t>025 Tubby Mute 2 BASS</t>
  </si>
  <si>
    <t>026 Chicken Bass 3 BASS</t>
  </si>
  <si>
    <t>027 Snug Bass 2 BASS</t>
  </si>
  <si>
    <t>028 Return2Base! 1 BASS</t>
  </si>
  <si>
    <t>029 A Big Pick 3 BASS</t>
  </si>
  <si>
    <t>030 Basement 1 BASS</t>
  </si>
  <si>
    <t>031 FS Fretnot 1 2 BASS</t>
  </si>
  <si>
    <t>032 FS Fretnot 2 3 BASS</t>
  </si>
  <si>
    <t>033 RichFretless 2 BASS</t>
  </si>
  <si>
    <t>034 Got Pop? 1 BASS</t>
  </si>
  <si>
    <t>035 JBass v/Thmb 2 BASS</t>
  </si>
  <si>
    <t>036 FS Slap Bass 2 BASS</t>
  </si>
  <si>
    <t>037 LEO Bass 1 BASS</t>
  </si>
  <si>
    <t>038 Smooth Bass 2 SYNTH BASS</t>
  </si>
  <si>
    <t>039 MC-404 Bass 2 SYNTH BASS</t>
  </si>
  <si>
    <t>040 SH-101 Bs 1 2 SYNTH BASS</t>
  </si>
  <si>
    <t>041 FS Syn Bass1 3 SYNTH BASS</t>
  </si>
  <si>
    <t>042 Electro Rubb 2 SYNTH BASS</t>
  </si>
  <si>
    <t>043 R&amp;B Bass 1 2 SYNTH BASS</t>
  </si>
  <si>
    <t>044 Enorjizor 2 SYNTH BASS</t>
  </si>
  <si>
    <t>045 LowFat Bass 3 SYNTH BASS</t>
  </si>
  <si>
    <t>046 Doze Bass 1 SYNTH BASS</t>
  </si>
  <si>
    <t>047 FS Flat Bs 3 SYNTH BASS</t>
  </si>
  <si>
    <t>048 Saw&amp;MG Bass 4 SYNTH BASS</t>
  </si>
  <si>
    <t>049 R&amp;B Bass 2 1 SYNTH BASS</t>
  </si>
  <si>
    <t>050 Foundation 2 SYNTH BASS</t>
  </si>
  <si>
    <t>051 R&amp;B Bass 3 2 SYNTH BASS</t>
  </si>
  <si>
    <t>052 HipHop Bs 1 2 SYNTH BASS</t>
  </si>
  <si>
    <t>053 HipHop Bs 2 3 SYNTH BASS</t>
  </si>
  <si>
    <t>054 Solid Goa 1 SYNTH BASS</t>
  </si>
  <si>
    <t>055 ResoSyn Bs 1 2 SYNTH BASS</t>
  </si>
  <si>
    <t>056 SH-1 Bass 2 SYNTH BASS</t>
  </si>
  <si>
    <t>057 SH-101 Bs 2 2 SYNTH BASS</t>
  </si>
  <si>
    <t>058 FS Syn Bass2 2 SYNTH BASS</t>
  </si>
  <si>
    <t>059 Poly Bass 1 SYNTH BASS</t>
  </si>
  <si>
    <t>060 Punch MG 1 2 SYNTH BASS</t>
  </si>
  <si>
    <t>061 Gashed Bass 2 SYNTH BASS</t>
  </si>
  <si>
    <t>062 Q Bass 3 SYNTH BASS</t>
  </si>
  <si>
    <t>063 FS Rubber Bs 3 SYNTH BASS</t>
  </si>
  <si>
    <t>064 ResoSyn Bs 2 2 SYNTH BASS</t>
  </si>
  <si>
    <t>065 Super-G DX 3 SYNTH BASS</t>
  </si>
  <si>
    <t>066 Punch MG 2 2 SYNTH BASS</t>
  </si>
  <si>
    <t>067 Kickin' Bass 2 SYNTH BASS</t>
  </si>
  <si>
    <t>068 OilDrum Bass 3 SYNTH BASS</t>
  </si>
  <si>
    <t>069 Glide-iator 2 SYNTH BASS</t>
  </si>
  <si>
    <t>070 MG+SubOsc Bs 2 SYNTH BASS</t>
  </si>
  <si>
    <t>071 FS Unison Bs 2 SYNTH BASS</t>
  </si>
  <si>
    <t>072 TexturedBusy 3 SYNTH BASS</t>
  </si>
  <si>
    <t>073 Detune Bass 2 SYNTH BASS</t>
  </si>
  <si>
    <t>074 Lo Bass 3 SYNTH BASS</t>
  </si>
  <si>
    <t>075 SQ Pan 2 SYNTH BASS</t>
  </si>
  <si>
    <t>076 FS GarageBs1 3 SYNTH BASS</t>
  </si>
  <si>
    <t>077 FS GarageBs2 2 SYNTH BASS</t>
  </si>
  <si>
    <t>078 Sub Sonic 4 SYNTH BASS</t>
  </si>
  <si>
    <t>079 FS Jungle Bs 2 SYNTH BASS</t>
  </si>
  <si>
    <t>080 R&amp;B Bass 4 1 SYNTH BASS</t>
  </si>
  <si>
    <t>081 Beepin Bass 2 SYNTH BASS</t>
  </si>
  <si>
    <t>082 MC-TB Bass 2 SYNTH BASS</t>
  </si>
  <si>
    <t>083 Acdg Bass 2 SYNTH BASS</t>
  </si>
  <si>
    <t>084 Loco Voco 2 SYNTH BASS</t>
  </si>
  <si>
    <t>085 TBasic 1 SYNTH BASS</t>
  </si>
  <si>
    <t>086 Unplug it! 1 SYNTH BASS</t>
  </si>
  <si>
    <t>087 V.Form Bass 1 SYNTH BASS</t>
  </si>
  <si>
    <t>088 S&amp;H Bass 3 SYNTH BASS</t>
  </si>
  <si>
    <t>089 Destroyed Bs 2 SYNTH BASS</t>
  </si>
  <si>
    <t>090 FS Acid Bs 2 SYNTH BASS</t>
  </si>
  <si>
    <t>091 Lo-Fi TB 1 SYNTH BASS</t>
  </si>
  <si>
    <t>092 Violin 1 STRINGS</t>
  </si>
  <si>
    <t>093 Viola 3 STRINGS</t>
  </si>
  <si>
    <t>094 Cello 1 STRINGS</t>
  </si>
  <si>
    <t>095 Contrabass 4 STRINGS</t>
  </si>
  <si>
    <t>096 Dolce Qrt 2 STRINGS</t>
  </si>
  <si>
    <t>097 Chamber Str 3 STRINGS</t>
  </si>
  <si>
    <t>098 Small Str 7 STRINGS</t>
  </si>
  <si>
    <t>099 Studio Sect. 4 STRINGS</t>
  </si>
  <si>
    <t>100 Stringz 101 2 STRINGS</t>
  </si>
  <si>
    <t>101 Crossed Bows 5 STRINGS</t>
  </si>
  <si>
    <t>102 FS Strings 8 STRINGS</t>
  </si>
  <si>
    <t>103 2-way Sect. 2 STRINGS</t>
  </si>
  <si>
    <t>104 Warm Strings 5 STRINGS</t>
  </si>
  <si>
    <t>105 Stacc mp Str 4 STRINGS</t>
  </si>
  <si>
    <t>106 Magnolia Str 3 STRINGS</t>
  </si>
  <si>
    <t>107 Movie Scene 4 STRINGS</t>
  </si>
  <si>
    <t>108 Gang Strangs 6 STRINGS</t>
  </si>
  <si>
    <t>109 Clustered!?! 8 STRINGS</t>
  </si>
  <si>
    <t>110 DramaSect/sw 4 STRINGS</t>
  </si>
  <si>
    <t>111 DelicatePizz 4 STRINGS</t>
  </si>
  <si>
    <t>112 Vls PizzHall 4 STRINGS</t>
  </si>
  <si>
    <t>113 Orch Pizz 4 STRINGS</t>
  </si>
  <si>
    <t>114 Wind &amp; Str 1 7 ORCHESTRA</t>
  </si>
  <si>
    <t>115 Wind &amp; Str 2 5 ORCHESTRA</t>
  </si>
  <si>
    <t>116 Farewell 6 ORCHESTRA</t>
  </si>
  <si>
    <t>117 Orch &amp; Horns 5 ORCHESTRA</t>
  </si>
  <si>
    <t>118 Soft Orch 1 4 ORCHESTRA</t>
  </si>
  <si>
    <t>119 Soft Orch 2 7 ORCHESTRA</t>
  </si>
  <si>
    <t>120 Henry IX 4 ORCHESTRA</t>
  </si>
  <si>
    <t>121 Ending Scene 4 ORCHESTRA</t>
  </si>
  <si>
    <t>122 Good Old Day 3 WIND</t>
  </si>
  <si>
    <t>123 FS WindWood 3 WIND</t>
  </si>
  <si>
    <t>124 Clarence.net 2 WIND</t>
  </si>
  <si>
    <t>125 FS Oboe 1 WIND</t>
  </si>
  <si>
    <t>126 Hall Oboe 1 WIND</t>
  </si>
  <si>
    <t>127 English Horn 1 WIND</t>
  </si>
  <si>
    <t>128 Bassoon 1 WIND</t>
  </si>
  <si>
    <t>PR-C (Preset C Group)</t>
  </si>
  <si>
    <t>PR-D (Preset D Group)</t>
  </si>
  <si>
    <t>001 FS Flute 2 FLUTE</t>
  </si>
  <si>
    <t>002 Atk Flute 2 FLUTE</t>
  </si>
  <si>
    <t>003 Piccolo 2 FLUTE</t>
  </si>
  <si>
    <t>004 Andes Mood 1 FLUTE</t>
  </si>
  <si>
    <t>005 Pan Pipes 2 FLUTE</t>
  </si>
  <si>
    <t>006 Solo Tp 2 AC.BRASS</t>
  </si>
  <si>
    <t>007 Horn Chops 2 AC.BRASS</t>
  </si>
  <si>
    <t>008 Flugel Horn 1 AC.BRASS</t>
  </si>
  <si>
    <t>009 Spit Flugel 3 AC.BRASS</t>
  </si>
  <si>
    <t>010 Mute Tp /Mod 3 AC.BRASS</t>
  </si>
  <si>
    <t>011 Harmon Mute 1 AC.BRASS</t>
  </si>
  <si>
    <t>012 Soft Tb 2 AC.BRASS</t>
  </si>
  <si>
    <t>013 Solo Tb 1 AC.BRASS</t>
  </si>
  <si>
    <t>014 Solo Bone 2 AC.BRASS</t>
  </si>
  <si>
    <t>015 Grande Tuba 2 AC.BRASS</t>
  </si>
  <si>
    <t>016 FS Tuba 1 AC.BRASS</t>
  </si>
  <si>
    <t>017 StackTp Sect 4 AC.BRASS</t>
  </si>
  <si>
    <t>018 Tb Section 5 AC.BRASS</t>
  </si>
  <si>
    <t>019 TpTb Sect. 2 AC.BRASS</t>
  </si>
  <si>
    <t>020 FS Brass 7 AC.BRASS</t>
  </si>
  <si>
    <t>021 DynamicBrass 8 AC.BRASS</t>
  </si>
  <si>
    <t>022 Tpts &amp; Tmbs 2 AC.BRASS</t>
  </si>
  <si>
    <t>023 Brass &amp; Sax 5 AC.BRASS</t>
  </si>
  <si>
    <t>024 BrassPartOut 6 AC.BRASS</t>
  </si>
  <si>
    <t>025 Simple Tutti 2 AC.BRASS</t>
  </si>
  <si>
    <t>026 Full sForza 4 AC.BRASS</t>
  </si>
  <si>
    <t>027 F.Horns Sect 3 AC.BRASS</t>
  </si>
  <si>
    <t>028 Stereo Brass 4 AC.BRASS</t>
  </si>
  <si>
    <t>029 Brass Fall 2 AC.BRASS</t>
  </si>
  <si>
    <t>030 FS Saw Brass 4 SYNTH BRASS</t>
  </si>
  <si>
    <t>031 Wide SynBrss 2 SYNTH BRASS</t>
  </si>
  <si>
    <t>032 DetuneSawBrs 2 SYNTH BRASS</t>
  </si>
  <si>
    <t>033 J-Pop Brass 6 SYNTH BRASS</t>
  </si>
  <si>
    <t>034 Brash! 4 SYNTH BRASS</t>
  </si>
  <si>
    <t>035 Jump For KY 3 SYNTH BRASS</t>
  </si>
  <si>
    <t>036 Neo SuperBrs 4 SYNTH BRASS</t>
  </si>
  <si>
    <t>037 SoftSynBrass 2 SYNTH BRASS</t>
  </si>
  <si>
    <t>038 Silky JP 2 SYNTH BRASS</t>
  </si>
  <si>
    <t>039 Silk Brs Pad 1 SYNTH BRASS</t>
  </si>
  <si>
    <t>040 FatSynBrass 4 SYNTH BRASS</t>
  </si>
  <si>
    <t>041 Soprano Sax 1 SAX</t>
  </si>
  <si>
    <t>042 Solo Sop Sax 1 SAX</t>
  </si>
  <si>
    <t>043 Alto mp 1 SAX</t>
  </si>
  <si>
    <t>044 Alto Sax 1 SAX</t>
  </si>
  <si>
    <t>045 Solo AltoSax 1 SAX</t>
  </si>
  <si>
    <t>046 AltoLead Sax 1 SAX</t>
  </si>
  <si>
    <t>047 Tenor Sax 2 SAX</t>
  </si>
  <si>
    <t>048 Fat TenorSax 3 SAX</t>
  </si>
  <si>
    <t>049 Baritone Sax 1 SAX</t>
  </si>
  <si>
    <t>050 Sax Sect. 1 3 SAX</t>
  </si>
  <si>
    <t>051 Sax Sect. 2 4 SAX</t>
  </si>
  <si>
    <t>052 Horny Sax 2 SAX</t>
  </si>
  <si>
    <t>053 R&amp;B TriLead 1 SOFT LEAD</t>
  </si>
  <si>
    <t>054 PeakArpSine 1 SOFT LEAD</t>
  </si>
  <si>
    <t>055 Theramax 1 SOFT LEAD</t>
  </si>
  <si>
    <t>056 FS Sqr Lead 2 SOFT LEAD</t>
  </si>
  <si>
    <t>057 Dawn Of Pan 4 SOFT LEAD</t>
  </si>
  <si>
    <t>058 Sqr Diamond 2 SOFT LEAD</t>
  </si>
  <si>
    <t>059 FS SoftLead 2 SOFT LEAD</t>
  </si>
  <si>
    <t>060 Mid Saw Ld 4 SOFT LEAD</t>
  </si>
  <si>
    <t>061 FS ResoLead 3 SOFT LEAD</t>
  </si>
  <si>
    <t>062 Dig-n-Duke 2 SOFT LEAD</t>
  </si>
  <si>
    <t>063 Modulated Ld 1 SOFT LEAD</t>
  </si>
  <si>
    <t>064 Waspy Lead 1 SOFT LEAD</t>
  </si>
  <si>
    <t>065 Mew Lead 1 SOFT LEAD</t>
  </si>
  <si>
    <t>066 Vliolin Lead 2 SOFT LEAD</t>
  </si>
  <si>
    <t>067 Oscillo Lead 2 SOFT LEAD</t>
  </si>
  <si>
    <t>068 JP Saw Lead 2 SOFT LEAD</t>
  </si>
  <si>
    <t>069 MG Sqr Lead 2 SOFT LEAD</t>
  </si>
  <si>
    <t>070 Tristar 2 SOFT LEAD</t>
  </si>
  <si>
    <t>071 Mod Lead 4 SOFT LEAD</t>
  </si>
  <si>
    <t>072 Digital Ld 1 3 SOFT LEAD</t>
  </si>
  <si>
    <t>073 Chubby Lead 2 SOFT LEAD</t>
  </si>
  <si>
    <t>074 Sneaky Leady 2 SOFT LEAD</t>
  </si>
  <si>
    <t>075 SoloNzPeaker 1 SOFT LEAD</t>
  </si>
  <si>
    <t>076 Clone Zone 2 SOFT LEAD</t>
  </si>
  <si>
    <t>077 Legato Tkno 1 SOFT LEAD</t>
  </si>
  <si>
    <t>078 DC Triangle 2 HARD LEAD</t>
  </si>
  <si>
    <t>079 Sqr-Seqence 1 HARD LEAD</t>
  </si>
  <si>
    <t>080 Griggley 2 HARD LEAD</t>
  </si>
  <si>
    <t>081 Pure Square 2 HARD LEAD</t>
  </si>
  <si>
    <t>082 Legato Saw 2 HARD LEAD</t>
  </si>
  <si>
    <t>083 Lone Prophat 1 HARD LEAD</t>
  </si>
  <si>
    <t>084 Porta SoloLd 2 HARD LEAD</t>
  </si>
  <si>
    <t>085 FS Saw Ld 1 2 HARD LEAD</t>
  </si>
  <si>
    <t>086 FS Saw Ld 2 2 HARD LEAD</t>
  </si>
  <si>
    <t>087 Wind Syn Ld 2 HARD LEAD</t>
  </si>
  <si>
    <t>088 Dual Profs 2 HARD LEAD</t>
  </si>
  <si>
    <t>089 Gwyo Press 2 HARD LEAD</t>
  </si>
  <si>
    <t>090 "Q" DualSaws 2 HARD LEAD</t>
  </si>
  <si>
    <t>091 Mogulator Ld 2 HARD LEAD</t>
  </si>
  <si>
    <t>092 DirtyVoltage 2 HARD LEAD</t>
  </si>
  <si>
    <t>093 Clean? 2 HARD LEAD</t>
  </si>
  <si>
    <t>094 Distortion 4 HARD LEAD</t>
  </si>
  <si>
    <t>095 FS Syn Ld 2 HARD LEAD</t>
  </si>
  <si>
    <t>096 SynLead 0322 2 HARD LEAD</t>
  </si>
  <si>
    <t>097 Digital Ld 2 3 HARD LEAD</t>
  </si>
  <si>
    <t>098 X-Sink Delay 3 HARD LEAD</t>
  </si>
  <si>
    <t>099 Noized Lead 3 HARD LEAD</t>
  </si>
  <si>
    <t>100 Space Lead 3 HARD LEAD</t>
  </si>
  <si>
    <t>101 Destroyed Ld 2 HARD LEAD</t>
  </si>
  <si>
    <t>102 SyncModulate 3 HARD LEAD</t>
  </si>
  <si>
    <t>103 Sync Tank 2 HARD LEAD</t>
  </si>
  <si>
    <t>104 Squareheads 2 HARD LEAD</t>
  </si>
  <si>
    <t>105 Distorted MG 1 HARD LEAD</t>
  </si>
  <si>
    <t>106 SonicVampire 2 HARD LEAD</t>
  </si>
  <si>
    <t>107 Blue Meanie 2 HARD LEAD</t>
  </si>
  <si>
    <t>108 Defcon 2 HARD LEAD</t>
  </si>
  <si>
    <t>109 Stimulation 4 HARD LEAD</t>
  </si>
  <si>
    <t>110 Sub Hit 3 HIT&amp;STAB</t>
  </si>
  <si>
    <t>111 Blue Ice 2 HIT&amp;STAB</t>
  </si>
  <si>
    <t>112 .16 Orch 2 HIT&amp;STAB</t>
  </si>
  <si>
    <t>113 In da Cave 2 HIT&amp;STAB</t>
  </si>
  <si>
    <t>114 BlastfrmPast 2 HIT&amp;STAB</t>
  </si>
  <si>
    <t>115 Smear Hit 1 2 HIT&amp;STAB</t>
  </si>
  <si>
    <t>116 Smear Hit 2 2 HIT&amp;STAB</t>
  </si>
  <si>
    <t>117 Good Old Hit 4 HIT&amp;STAB</t>
  </si>
  <si>
    <t>118 Mix Hit 1 4 HIT&amp;STAB</t>
  </si>
  <si>
    <t>119 Philly Hit 1 HIT&amp;STAB</t>
  </si>
  <si>
    <t>120 Mojo Man 2 HIT&amp;STAB</t>
  </si>
  <si>
    <t>121 Cheezy Movie 4 HIT&amp;STAB</t>
  </si>
  <si>
    <t>122 Mix Hit 2 4 HIT&amp;STAB</t>
  </si>
  <si>
    <t>123 Lo-Fi Hit 4 HIT&amp;STAB</t>
  </si>
  <si>
    <t>124 2ble Action 2 HIT&amp;STAB</t>
  </si>
  <si>
    <t>125 Funk Chank 2 HIT&amp;STAB</t>
  </si>
  <si>
    <t>126 Venus 2 HIT&amp;STAB</t>
  </si>
  <si>
    <t>127 AluminmWires 3 TECHNO SYNTH</t>
  </si>
  <si>
    <t>128 Raven Chord 4 TECHNO SYNTH</t>
  </si>
  <si>
    <t>001 HPF Sweep 2 TECHNO SYNTH</t>
  </si>
  <si>
    <t>002 Moon Synth 2 TECHNO SYNTH</t>
  </si>
  <si>
    <t>003 DelyResoSaws 2 TECHNO SYNTH</t>
  </si>
  <si>
    <t>004 R-Trance 7 TECHNO SYNTH</t>
  </si>
  <si>
    <t>005 Alpha Retro 3 TECHNO SYNTH</t>
  </si>
  <si>
    <t>006 Nu Hoover 4 TECHNO SYNTH</t>
  </si>
  <si>
    <t>007 Hoovercraft 4 TECHNO SYNTH</t>
  </si>
  <si>
    <t>008 Braatz... 6 TECHNO SYNTH</t>
  </si>
  <si>
    <t>009 AllinOneRiff 7 TECHNO SYNTH</t>
  </si>
  <si>
    <t>010 YZ Again 7 TECHNO SYNTH</t>
  </si>
  <si>
    <t>011 Flazzy Lead 8 TECHNO SYNTH</t>
  </si>
  <si>
    <t>012 Coffee Bee 2 TECHNO SYNTH</t>
  </si>
  <si>
    <t>013 Sweet House 4 TECHNO SYNTH</t>
  </si>
  <si>
    <t>014 Alien Bubble 1 TECHNO SYNTH</t>
  </si>
  <si>
    <t>015 LowFreqHit 3 TECHNO SYNTH</t>
  </si>
  <si>
    <t>016 Fred&amp;Barney 6 TECHNO SYNTH</t>
  </si>
  <si>
    <t>017 Periscope 4 TECHNO SYNTH</t>
  </si>
  <si>
    <t>018 Electrostars 4 TECHNO SYNTH</t>
  </si>
  <si>
    <t>019 Going Mad! 4 TECHNO SYNTH</t>
  </si>
  <si>
    <t>020 LoFiSequence 2 TECHNO SYNTH</t>
  </si>
  <si>
    <t>021 DreamInColor 3 TECHNO SYNTH</t>
  </si>
  <si>
    <t>022 MelodicDrums 2 TECHNO SYNTH</t>
  </si>
  <si>
    <t>023 Techno Snips 2 TECHNO SYNTH</t>
  </si>
  <si>
    <t>024 TB Wah 1 TECHNO SYNTH</t>
  </si>
  <si>
    <t>025 Waving TB303 3 TECHNO SYNTH</t>
  </si>
  <si>
    <t>026 Digi Seq 3 TECHNO SYNTH</t>
  </si>
  <si>
    <t>027 Seq Saw 1 TECHNO SYNTH</t>
  </si>
  <si>
    <t>028 Reso Seq Saw 1 TECHNO SYNTH</t>
  </si>
  <si>
    <t>029 DetuneSeqSaw 2 TECHNO SYNTH</t>
  </si>
  <si>
    <t>030 Technotribe 2 TECHNO SYNTH</t>
  </si>
  <si>
    <t>031 MetalVoxBox 4 TECHNO SYNTH</t>
  </si>
  <si>
    <t>032 Teethy Grit 3 TECHNO SYNTH</t>
  </si>
  <si>
    <t>033 Repertition 4 TECHNO SYNTH</t>
  </si>
  <si>
    <t>034 Jucy Saw 3 OTHER SYNTH</t>
  </si>
  <si>
    <t>035 Cue Tip 1 OTHER SYNTH</t>
  </si>
  <si>
    <t>036 TB-Sequence 1 OTHER SYNTH</t>
  </si>
  <si>
    <t>037 Europe Xpres 2 OTHER SYNTH</t>
  </si>
  <si>
    <t>038 Squeepy 1 OTHER SYNTH</t>
  </si>
  <si>
    <t>039 Atmorave 4 OTHER SYNTH</t>
  </si>
  <si>
    <t>040 DOC Stack 2 OTHER SYNTH</t>
  </si>
  <si>
    <t>041 Sweep Lead 2 OTHER SYNTH</t>
  </si>
  <si>
    <t>042 Digitaless 2 OTHER SYNTH</t>
  </si>
  <si>
    <t>043 Flip Pad 3 OTHER SYNTH</t>
  </si>
  <si>
    <t>044 Short Detune 2 OTHER SYNTH</t>
  </si>
  <si>
    <t>045 forSequence 2 OTHER SYNTH</t>
  </si>
  <si>
    <t>046 Memory Pluck 2 OTHER SYNTH</t>
  </si>
  <si>
    <t>047 Metalic Bass 2 OTHER SYNTH</t>
  </si>
  <si>
    <t>048 Aqua 2 OTHER SYNTH</t>
  </si>
  <si>
    <t>049 Big Planet 2 OTHER SYNTH</t>
  </si>
  <si>
    <t>050 Wet Atax 2 OTHER SYNTH</t>
  </si>
  <si>
    <t>051 Houze Clavi 2 OTHER SYNTH</t>
  </si>
  <si>
    <t>052 SuperSawSlow 2 OTHER SYNTH</t>
  </si>
  <si>
    <t>053 TranceSaws 4 OTHER SYNTH</t>
  </si>
  <si>
    <t>054 Trancy Synth 2 OTHER SYNTH</t>
  </si>
  <si>
    <t>055 Saw Stack 2 OTHER SYNTH</t>
  </si>
  <si>
    <t>056 Frgile Saws 2 OTHER SYNTH</t>
  </si>
  <si>
    <t>057 Steamed Sawz 2 OTHER SYNTH</t>
  </si>
  <si>
    <t>058 RAVtune 2 OTHER SYNTH</t>
  </si>
  <si>
    <t>059 Bustranza 2 OTHER SYNTH</t>
  </si>
  <si>
    <t>060 AftTch Ji-n 2 OTHER SYNTH</t>
  </si>
  <si>
    <t>061 JP OctAttack 2 OTHER SYNTH</t>
  </si>
  <si>
    <t>062 Oct Unison 6 OTHER SYNTH</t>
  </si>
  <si>
    <t>063 Xtatic 4 OTHER SYNTH</t>
  </si>
  <si>
    <t>064 Dirty Combo 2 OTHER SYNTH</t>
  </si>
  <si>
    <t>065 FM's Attack 3 OTHER SYNTH</t>
  </si>
  <si>
    <t>066 Impression 4 OTHER SYNTH</t>
  </si>
  <si>
    <t>067 Digi-vox Syn 1 OTHER SYNTH</t>
  </si>
  <si>
    <t>068 Fairy Factor 6 OTHER SYNTH</t>
  </si>
  <si>
    <t>069 Tempest 2 OTHER SYNTH</t>
  </si>
  <si>
    <t>070 X-Racer 2 OTHER SYNTH</t>
  </si>
  <si>
    <t>071 TB Booster 2 OTHER SYNTH</t>
  </si>
  <si>
    <t>072 Syn-Orch/Mod 6 OTHER SYNTH</t>
  </si>
  <si>
    <t>073 Pressyn 2 OTHER SYNTH</t>
  </si>
  <si>
    <t>074 High Five 2 OTHER SYNTH</t>
  </si>
  <si>
    <t>075 4DaCommonMan 4 OTHER SYNTH</t>
  </si>
  <si>
    <t>076 Orgaenia 5 OTHER SYNTH</t>
  </si>
  <si>
    <t>077 Sleeper 4 OTHER SYNTH</t>
  </si>
  <si>
    <t>078 Sugar Synth 5 OTHER SYNTH</t>
  </si>
  <si>
    <t>079 Ice Palace 4 OTHER SYNTH</t>
  </si>
  <si>
    <t>080 Story Harp 7 OTHER SYNTH</t>
  </si>
  <si>
    <t>081 LostParadise 5 OTHER SYNTH</t>
  </si>
  <si>
    <t>082 Magnetic 5th 2 OTHER SYNTH</t>
  </si>
  <si>
    <t>083 Jazz Doos 4 VOX</t>
  </si>
  <si>
    <t>084 Beat Vox 1 VOX</t>
  </si>
  <si>
    <t>085 Scat Beats 1 VOX</t>
  </si>
  <si>
    <t>086 Choir Aahs 1 4 VOX</t>
  </si>
  <si>
    <t>087 Choir Aahs 2 4 VOX</t>
  </si>
  <si>
    <t>088 ChoirOoh/Aft 4 VOX</t>
  </si>
  <si>
    <t>089 Angels Choir 4 VOX</t>
  </si>
  <si>
    <t>090 Angelique 4 VOX</t>
  </si>
  <si>
    <t>091 Gospel Oohs 2 VOX</t>
  </si>
  <si>
    <t>092 Uhmmm 8 VOX</t>
  </si>
  <si>
    <t>093 Aah Vox 2 VOX</t>
  </si>
  <si>
    <t>094 Morning Star 3 VOX</t>
  </si>
  <si>
    <t>095 Syn Opera 4 VOX</t>
  </si>
  <si>
    <t>096 BeautifulOne 4 VOX</t>
  </si>
  <si>
    <t>097 Ooze 2 VOX</t>
  </si>
  <si>
    <t>098 Aerial Choir 4 VOX</t>
  </si>
  <si>
    <t>099 3D Vox 3 VOX</t>
  </si>
  <si>
    <t>100 FS Sqr Pad 4 SOFT PAD</t>
  </si>
  <si>
    <t>101 FS Hollow 4 SOFT PAD</t>
  </si>
  <si>
    <t>102 Silk Pad 3 SOFT PAD</t>
  </si>
  <si>
    <t>103 WarmReso Pad 2 SOFT PAD</t>
  </si>
  <si>
    <t>104 FS Soft Pad 3 SOFT PAD</t>
  </si>
  <si>
    <t>105 Soft Breeze 2 SOFT PAD</t>
  </si>
  <si>
    <t>106 JP Strings 1 3 SOFT PAD</t>
  </si>
  <si>
    <t>107 JP Strings 2 5 SOFT PAD</t>
  </si>
  <si>
    <t>108 FS Syn Str 5 SOFT PAD</t>
  </si>
  <si>
    <t>109 Syn Strings 2 SOFT PAD</t>
  </si>
  <si>
    <t>110 OB Slow Str 2 SOFT PAD</t>
  </si>
  <si>
    <t>111 Super SynStr 2 SOFT PAD</t>
  </si>
  <si>
    <t>112 Strings Pad 2 SOFT PAD</t>
  </si>
  <si>
    <t>113 R&amp;B SoftPad 2 SOFT PAD</t>
  </si>
  <si>
    <t>114 Reso Pad 3 SOFT PAD</t>
  </si>
  <si>
    <t>115 Phat Pad 2 SOFT PAD</t>
  </si>
  <si>
    <t>116 FS PhaserPad 2 SOFT PAD</t>
  </si>
  <si>
    <t>117 Mystic Str 5 SOFT PAD</t>
  </si>
  <si>
    <t>118 Glass Organ 3 SOFT PAD</t>
  </si>
  <si>
    <t>119 Wind Pad 4 SOFT PAD</t>
  </si>
  <si>
    <t>120 Combination 4 SOFT PAD</t>
  </si>
  <si>
    <t>121 HumanKindnes 4 SOFT PAD</t>
  </si>
  <si>
    <t>122 Atmospherics 2 SOFT PAD</t>
  </si>
  <si>
    <t>123 Terra Nostra 8 SOFT PAD</t>
  </si>
  <si>
    <t>124 OB Aaahs 4 SOFT PAD</t>
  </si>
  <si>
    <t>125 Vulcano Pad 8 SOFT PAD</t>
  </si>
  <si>
    <t>126 Cloud #9 3 SOFT PAD</t>
  </si>
  <si>
    <t>127 Lostscapes 2 SOFT PAD</t>
  </si>
  <si>
    <t>128 Organic Pad 3 SOFT PAD</t>
  </si>
  <si>
    <t>PR-E (Preset E Group)</t>
  </si>
  <si>
    <t>PR-F (Preset F Group; Fantom-S88 only)</t>
  </si>
  <si>
    <t>001 ConcertGrand 2 AC.PIANO</t>
  </si>
  <si>
    <t>002 Hall Concert 2 AC.PIANO</t>
  </si>
  <si>
    <t>003 Bright Tune 2 AC.PIANO</t>
  </si>
  <si>
    <t>004 Mellow Tune 2 AC.PIANO</t>
  </si>
  <si>
    <t>005 Back E-Grand 2 EL.PIANO</t>
  </si>
  <si>
    <t>006 Rhodes mkI 3 EL.PIANO</t>
  </si>
  <si>
    <t>007 Stage Rhodes 4 EL.PIANO</t>
  </si>
  <si>
    <t>008 P-330EnsemEP 4 EL.PIANO</t>
  </si>
  <si>
    <t>001 Digital Aahs 3 SOFT PAD</t>
  </si>
  <si>
    <t>002 FreezinNight 5 SOFT PAD</t>
  </si>
  <si>
    <t>003 FS MovinPad 8 SOFT PAD</t>
  </si>
  <si>
    <t>004 Seq-Pad 1 8 SOFT PAD</t>
  </si>
  <si>
    <t>005 Digi-Swell 3 BRIGHT PAD</t>
  </si>
  <si>
    <t>006 Stringship 4 BRIGHT PAD</t>
  </si>
  <si>
    <t>007 SaturnHolida 2 BRIGHT PAD</t>
  </si>
  <si>
    <t>008 India Garden 6 BRIGHT PAD</t>
  </si>
  <si>
    <t>009 OB Rezo Pad 3 BRIGHT PAD</t>
  </si>
  <si>
    <t>010 Sonic Surfer 2 BRIGHT PAD</t>
  </si>
  <si>
    <t>011 "2 Point 2" 7 BRIGHT PAD</t>
  </si>
  <si>
    <t>012 2.2 Pad 7 BRIGHT PAD</t>
  </si>
  <si>
    <t>013 New Year Day 4 BRIGHT PAD</t>
  </si>
  <si>
    <t>014 Mod Dare 4 BRIGHT PAD</t>
  </si>
  <si>
    <t>015 Neuro-Drone 7 BRIGHT PAD</t>
  </si>
  <si>
    <t>016 In The Pass 3 BRIGHT PAD</t>
  </si>
  <si>
    <t>017 Polar Night 4 BRIGHT PAD</t>
  </si>
  <si>
    <t>018 Electric Pad 3 BRIGHT PAD</t>
  </si>
  <si>
    <t>019 MistOver5ths 4 BRIGHT PAD</t>
  </si>
  <si>
    <t>020 Voyager 4 BRIGHT PAD</t>
  </si>
  <si>
    <t>021 Cosmic Rays 4 BRIGHT PAD</t>
  </si>
  <si>
    <t>022 Gritty Pad 1 BRIGHT PAD</t>
  </si>
  <si>
    <t>023 Distant Sun 4 BRIGHT PAD</t>
  </si>
  <si>
    <t>024 Filmscape 5 BRIGHT PAD</t>
  </si>
  <si>
    <t>025 BillionStars 4 BRIGHT PAD</t>
  </si>
  <si>
    <t>026 Sand Pad 2 BRIGHT PAD</t>
  </si>
  <si>
    <t>027 Fat Stacks 4 BRIGHT PAD</t>
  </si>
  <si>
    <t>028 ReverseSweep 2 BRIGHT PAD</t>
  </si>
  <si>
    <t>029 HugeSoundMod 4 BRIGHT PAD</t>
  </si>
  <si>
    <t>030 Metal Swell 5 BRIGHT PAD</t>
  </si>
  <si>
    <t>031 ShapeURMusic 5 PULSATING</t>
  </si>
  <si>
    <t>032 Synth Force 4 PULSATING</t>
  </si>
  <si>
    <t>033 Trance Split 2 PULSATING</t>
  </si>
  <si>
    <t>034 Step Trance 1 PULSATING</t>
  </si>
  <si>
    <t>035 Chop Synth 2 PULSATING</t>
  </si>
  <si>
    <t>036 Euro Teuro 6 PULSATING</t>
  </si>
  <si>
    <t>037 Auto Trance 2 PULSATING</t>
  </si>
  <si>
    <t>038 Eureggae 1 PULSATING</t>
  </si>
  <si>
    <t>039 Sorry4theDLY 1 PULSATING</t>
  </si>
  <si>
    <t>040 Beat Pad 3 PULSATING</t>
  </si>
  <si>
    <t>041 FS ResoStep 5 PULSATING</t>
  </si>
  <si>
    <t>042 TMT Seq Pad 4 PULSATING</t>
  </si>
  <si>
    <t>043 ZipDoggyDoDa 7 PULSATING</t>
  </si>
  <si>
    <t>044 ForYourBreak 4 PULSATING</t>
  </si>
  <si>
    <t>045 HPF Slicer 3 PULSATING</t>
  </si>
  <si>
    <t>046 DarknessSide 6 PULSATING</t>
  </si>
  <si>
    <t>047 Sliced Choir 6 PULSATING</t>
  </si>
  <si>
    <t>048 Digi-Doo 2 PULSATING</t>
  </si>
  <si>
    <t>049 PanningFrmnt 2 PULSATING</t>
  </si>
  <si>
    <t>050 Dirty Beat 7 PULSATING</t>
  </si>
  <si>
    <t>051 Hellrazor 3 PULSATING</t>
  </si>
  <si>
    <t>052 Electrons 1 PULSATING</t>
  </si>
  <si>
    <t>053 Protons 2 PULSATING</t>
  </si>
  <si>
    <t>054 FS Alpha Rave 5 PULSATING</t>
  </si>
  <si>
    <t>055 Brisk Vortex 3 PULSATING</t>
  </si>
  <si>
    <t>056 FS Throbulax 2 PULSATING</t>
  </si>
  <si>
    <t>057 FS Lonizer 4 PULSATING</t>
  </si>
  <si>
    <t>058 FS Strobe 4 PULSATING</t>
  </si>
  <si>
    <t>059 VirtualHuman 4 PULSATING</t>
  </si>
  <si>
    <t>060 FS Line 1 PULSATING</t>
  </si>
  <si>
    <t>061 StepPitShift 2 PULSATING</t>
  </si>
  <si>
    <t>062 Sever 7 PULSATING</t>
  </si>
  <si>
    <t>063 Pad Pulses 3 PULSATING</t>
  </si>
  <si>
    <t>064 Dub Tales 2 PULSATING</t>
  </si>
  <si>
    <t>065 Seq-Pad 2 8 PULSATING</t>
  </si>
  <si>
    <t>066 Nice Kalimba 1 PLUCKED</t>
  </si>
  <si>
    <t>067 Quiet River 4 PLUCKED</t>
  </si>
  <si>
    <t>068 Teky Drop 4 PLUCKED</t>
  </si>
  <si>
    <t>069 Pat is away 5 PLUCKED</t>
  </si>
  <si>
    <t>070 FS Sitar 1 4 PLUCKED</t>
  </si>
  <si>
    <t>071 FS Sitar 2 5 PLUCKED</t>
  </si>
  <si>
    <t>072 Sitar on C 6 PLUCKED</t>
  </si>
  <si>
    <t>073 Sitar Baby 1 PLUCKED</t>
  </si>
  <si>
    <t>074 EasternDlite 2 PLUCKED</t>
  </si>
  <si>
    <t>075 Elec Sitar 3 PLUCKED</t>
  </si>
  <si>
    <t>076 Neo Sitar 2 PLUCKED</t>
  </si>
  <si>
    <t>077 Bosporus 3 PLUCKED</t>
  </si>
  <si>
    <t>078 Santur Stack 4 PLUCKED</t>
  </si>
  <si>
    <t>079 Aerial Harp 2 PLUCKED</t>
  </si>
  <si>
    <t>080 Harpiness 2 PLUCKED</t>
  </si>
  <si>
    <t>081 TroubadorEns 4 PLUCKED</t>
  </si>
  <si>
    <t>082 Jamisen 2 PLUCKED</t>
  </si>
  <si>
    <t>083 Koto 8 PLUCKED</t>
  </si>
  <si>
    <t>084 Monsoon 4 PLUCKED</t>
  </si>
  <si>
    <t>085 Bend Koto 2 PLUCKED</t>
  </si>
  <si>
    <t>086 LongDistance 1 ETHNIC</t>
  </si>
  <si>
    <t>087 Ambi Shaku 3 ETHNIC</t>
  </si>
  <si>
    <t>088 FS PipeDream 4 ETHNIC</t>
  </si>
  <si>
    <t>089 FS Lochscape 2 ETHNIC</t>
  </si>
  <si>
    <t>090 FS Far East 4 ETHNIC</t>
  </si>
  <si>
    <t>091 Banjo 2 FRETTED</t>
  </si>
  <si>
    <t>092 Breath Slice 5 SYNTH FX</t>
  </si>
  <si>
    <t>093 Lazer Points 2 SYNTH FX</t>
  </si>
  <si>
    <t>094 Chaos 2003 4 SYNTH FX</t>
  </si>
  <si>
    <t>095 SoundOnSound 1 SYNTH FX</t>
  </si>
  <si>
    <t>096 Low Beat-S 5 SYNTH FX</t>
  </si>
  <si>
    <t>097 Control Room 4 SYNTH FX</t>
  </si>
  <si>
    <t>098 FS Try This! 3 SYNTH FX</t>
  </si>
  <si>
    <t>099 OutOf sortz 5 SYNTH FX</t>
  </si>
  <si>
    <t>100 Seq 4 SYNTH FX</t>
  </si>
  <si>
    <t>101 Scatter 7 SYNTH FX</t>
  </si>
  <si>
    <t>102 WaitnOutside 2 SYNTH FX</t>
  </si>
  <si>
    <t>103 Ambience 3 SYNTH FX</t>
  </si>
  <si>
    <t>104 Fantom Noise 4 SYNTH FX</t>
  </si>
  <si>
    <t>105 Breath Echo 1 SYNTH FX</t>
  </si>
  <si>
    <t>106 SoundStrange 3 SYNTH FX</t>
  </si>
  <si>
    <t>107 Cosmic Pulse 5 SYNTH FX</t>
  </si>
  <si>
    <t>108 Faked Piano 4 SYNTH FX</t>
  </si>
  <si>
    <t>109 Tubulence 3 SYNTH FX</t>
  </si>
  <si>
    <t>110 South Pole 2 SYNTH FX</t>
  </si>
  <si>
    <t>111 FS Crystal 2 SYNTH FX</t>
  </si>
  <si>
    <t>112 ResoSweep Dn 1 SYNTH FX</t>
  </si>
  <si>
    <t>113 Zap B3 &amp; C4 1 SYNTH FX</t>
  </si>
  <si>
    <t>114 PolySweep Nz 4 SYNTH FX</t>
  </si>
  <si>
    <t>115 New Planetz 4 SYNTH FX</t>
  </si>
  <si>
    <t>116 Strange Land 6 SYNTH FX</t>
  </si>
  <si>
    <t>117 Trancer 4 SYNTH FX</t>
  </si>
  <si>
    <t>118 S&amp;H Voc 2 SYNTH FX</t>
  </si>
  <si>
    <t>119 12th Planet 2 SYNTH FX</t>
  </si>
  <si>
    <t>120 Ambidextrous 2 SOUND FX</t>
  </si>
  <si>
    <t>121 En-co-re 4 SOUND FX</t>
  </si>
  <si>
    <t>122 Mobile Phone 1 SOUND FX</t>
  </si>
  <si>
    <t>123 Beat (C4) 4 BEAT&amp;GROOVE</t>
  </si>
  <si>
    <t>124 StepLFO Ens 4 BEAT&amp;GROOVE</t>
  </si>
  <si>
    <t>125 Timpani+Low 4 PERCUSSION</t>
  </si>
  <si>
    <t>126 Timpani Roll 2 PERCUSSION</t>
  </si>
  <si>
    <t>127 Bass Drum 4 PERCUSSION</t>
  </si>
  <si>
    <t>128 Techno Craft 3 COMBINATION</t>
  </si>
  <si>
    <t>USER(User Group)</t>
  </si>
  <si>
    <t>1 Rich Grand AC.PIANO 2</t>
  </si>
  <si>
    <t>2 JD-800 Piano AC.PIANO 1</t>
  </si>
  <si>
    <t>3 Stage Phazer EL.PIANO 2</t>
  </si>
  <si>
    <t>4 Lounge Kit COMBINATION 2</t>
  </si>
  <si>
    <t>5 SC Trem Wuly EL.PIANO 1</t>
  </si>
  <si>
    <t>6 FM-777 EL.PIANO 5</t>
  </si>
  <si>
    <t>7 SA EPiano EL.PIANO 3</t>
  </si>
  <si>
    <t>8 HardRockORG1 ORGAN 4</t>
  </si>
  <si>
    <t>9 Rocky Organ ORGAN 2</t>
  </si>
  <si>
    <t>10 FullStop Org ORGAN 3</t>
  </si>
  <si>
    <t>11 R&amp;B Organ 2 ORGAN 4</t>
  </si>
  <si>
    <t>12 X Perc Organ ORGAN 3</t>
  </si>
  <si>
    <t>13 Smoky Organ ORGAN 1</t>
  </si>
  <si>
    <t>14 Crummy Organ ORGAN 2</t>
  </si>
  <si>
    <t>15 Chapel Organ ORGAN 2</t>
  </si>
  <si>
    <t>16 Mid Pipe Org ORGAN 4</t>
  </si>
  <si>
    <t>17 VntgClav KEYBOARDS 3</t>
  </si>
  <si>
    <t>18 Phase Clavi KEYBOARDS 2</t>
  </si>
  <si>
    <t>19 Funky Line KEYBOARDS 2</t>
  </si>
  <si>
    <t>20 Harpsy Clavi KEYBOARDS 2</t>
  </si>
  <si>
    <t>21 SonicStrings STRINGS 8</t>
  </si>
  <si>
    <t>22 String Ens STRINGS 3</t>
  </si>
  <si>
    <t>23 Wind &amp; Str 1 ORCHESTRA 7</t>
  </si>
  <si>
    <t>24 Soft Orch 2 ORCHESTRA 7</t>
  </si>
  <si>
    <t>25 SC Hollow SOFT PAD 4</t>
  </si>
  <si>
    <t>26 Heaven Pad SOFT PAD 3</t>
  </si>
  <si>
    <t>27 Soft OB Pad SOFT PAD 3</t>
  </si>
  <si>
    <t>28 Reso Pad SOFT PAD 3</t>
  </si>
  <si>
    <t>29 Slow Saw Str SOFT PAD 2</t>
  </si>
  <si>
    <t>30 JP Strings 2 SOFT PAD 5</t>
  </si>
  <si>
    <t>31 Cell Comb BRIGHT PAD 3</t>
  </si>
  <si>
    <t>32 Super SynStr BRIGHT PAD 2</t>
  </si>
  <si>
    <t>33 80s Str BRIGHT PAD 8</t>
  </si>
  <si>
    <t>34 Polar Night BRIGHT PAD 4</t>
  </si>
  <si>
    <t>35 Distant Sun BRIGHT PAD 4</t>
  </si>
  <si>
    <t>36 SC Brt Brass AC.BRASS 4</t>
  </si>
  <si>
    <t>37 Horny Sax SAX 2</t>
  </si>
  <si>
    <t>38 80s Brass 1 SYNTH BRASS 6</t>
  </si>
  <si>
    <t>39 Juno-106 Brs SYNTH BRASS 1</t>
  </si>
  <si>
    <t>40 Poly Brass SYNTH BRASS 2</t>
  </si>
  <si>
    <t>41 JP8000 Brass SYNTH BRASS 6</t>
  </si>
  <si>
    <t>42 Sonic Brass SYNTH BRASS 4</t>
  </si>
  <si>
    <t>43 SuperSawSlow OTHER SYNTH 2</t>
  </si>
  <si>
    <t>44 Cell Trance OTHER SYNTH 3</t>
  </si>
  <si>
    <t>45 Trancy Synth OTHER SYNTH 2</t>
  </si>
  <si>
    <t>46 Stacc Heaven OTHER SYNTH 4</t>
  </si>
  <si>
    <t>47 Sugar Synth OTHER SYNTH 5</t>
  </si>
  <si>
    <t>48 Himalaya Ice BELL 2</t>
  </si>
  <si>
    <t>49 Wine Glass BELL 4</t>
  </si>
  <si>
    <t>50 Synergy MLT MALLET 2</t>
  </si>
  <si>
    <t>51 AirPluck MALLET 4</t>
  </si>
  <si>
    <t>52 SC Marimba MALLET 1</t>
  </si>
  <si>
    <t>53 Cmp'd Fng Bs BASS 3</t>
  </si>
  <si>
    <t>54 FingerMaster BASS 2</t>
  </si>
  <si>
    <t>55 Return2Base! BASS 1</t>
  </si>
  <si>
    <t>56 Chicken Bass BASS 3</t>
  </si>
  <si>
    <t>57 SC Fretnot 1 BASS 2</t>
  </si>
  <si>
    <t>58 Got Pop? BASS 1</t>
  </si>
  <si>
    <t>59 Sonic Ac Bs BASS 1</t>
  </si>
  <si>
    <t>60 Low Bass SYNTH BASS 3</t>
  </si>
  <si>
    <t>61 Foundation SYNTH BASS 2</t>
  </si>
  <si>
    <t>62 SC Rubber Bs SYNTH BASS 3</t>
  </si>
  <si>
    <t>63 Punch MG 2 SYNTH BASS 2</t>
  </si>
  <si>
    <t>64 SC GarageBs2 SYNTH BASS 2</t>
  </si>
  <si>
    <t>65 SC AcidPunch SYNTH BASS 2</t>
  </si>
  <si>
    <t>66 Loco Voco SYNTH BASS 2</t>
  </si>
  <si>
    <t>67 VirtualHuman PULSATING 4</t>
  </si>
  <si>
    <t>68 Strobot PULSATING 2</t>
  </si>
  <si>
    <t>69 SC Strobe PULSATING 4</t>
  </si>
  <si>
    <t>70 HPF Slicer PULSATING 3</t>
  </si>
  <si>
    <t>71 Choir Aahs 1 VOX 4</t>
  </si>
  <si>
    <t>72 Choir Aahs 2 VOX 4</t>
  </si>
  <si>
    <t>73 Angels Choir VOX 4</t>
  </si>
  <si>
    <t>74 Syn Opera VOX 4</t>
  </si>
  <si>
    <t>75 Choir&amp;Str VOX 7</t>
  </si>
  <si>
    <t>76 Terra Nostra SOFT PAD 8</t>
  </si>
  <si>
    <t>77 Aah Vox VOX 2</t>
  </si>
  <si>
    <t>78 Cell SquLead SOFT LEAD 4</t>
  </si>
  <si>
    <t>79 Howards Lead SOFT LEAD 3</t>
  </si>
  <si>
    <t>80 Windy Synth SOFT LEAD 3</t>
  </si>
  <si>
    <t>81 Sinetific SOFT LEAD 2</t>
  </si>
  <si>
    <t>82 SoloNzPeaker SOFT LEAD 1</t>
  </si>
  <si>
    <t>83 Juno SftLd SOFT LEAD 1</t>
  </si>
  <si>
    <t>84 R&amp;B TriLead SOFT LEAD 1</t>
  </si>
  <si>
    <t>85 X-Pulse Lead SOFT LEAD 2</t>
  </si>
  <si>
    <t>86 Theramax SOFT LEAD 1</t>
  </si>
  <si>
    <t>87 GR Lead SOFT LEAD 2</t>
  </si>
  <si>
    <t>88 Chubby Lead SOFT LEAD 2</t>
  </si>
  <si>
    <t>89 Shaku Lead SOFT LEAD 5</t>
  </si>
  <si>
    <t>90 Porta SoloLd HARD LEAD 2</t>
  </si>
  <si>
    <t>91 Wind Syn Ld HARD LEAD 2</t>
  </si>
  <si>
    <t>92 Follow Me HARD LEAD 2</t>
  </si>
  <si>
    <t>93 SC Saw Ld 1 HARD LEAD 2</t>
  </si>
  <si>
    <t>94 Sync Ld Mono HARD LEAD 1</t>
  </si>
  <si>
    <t>95 SC Brt Nylon AC.GUITAR 1</t>
  </si>
  <si>
    <t>96 So good ! AC.GUITAR 2</t>
  </si>
  <si>
    <t>97 SC 12str Gtr AC.GUITAR 3</t>
  </si>
  <si>
    <t>98 Jazz Guitar EL.GUITAR 1</t>
  </si>
  <si>
    <t>99 Strat Gtr EL.GUITAR 1</t>
  </si>
  <si>
    <t>100 Trem-o-Vibe DIST.GUITAR 2</t>
  </si>
  <si>
    <t>101 Searing COSM DIST.GUITAR 2</t>
  </si>
  <si>
    <t>102 Larsen /Aft DIST.GUITAR 2</t>
  </si>
  <si>
    <t>103 SC Loud Gtr DIST.GUITAR 3</t>
  </si>
  <si>
    <t>104 Sitar on C PLUCKED 6</t>
  </si>
  <si>
    <t>105 Pat is away PLUCKED 5</t>
  </si>
  <si>
    <t>106 Bosporus PLUCKED 3</t>
  </si>
  <si>
    <t>107 Aerial Harp PLUCKED 2</t>
  </si>
  <si>
    <t>108 Nice Kalimba PLUCKED 1</t>
  </si>
  <si>
    <t>109 SC Flute FLUTE 2</t>
  </si>
  <si>
    <t>110 Andes Mood FLUTE 1</t>
  </si>
  <si>
    <t>111 LongDistance ETHNIC 1</t>
  </si>
  <si>
    <t>112 Ambi Shaku ETHNIC 3</t>
  </si>
  <si>
    <t>113 Soprano Sax SAX 1</t>
  </si>
  <si>
    <t>114 Solo AltoSax SAX 1</t>
  </si>
  <si>
    <t>115 XP TnrBrethy SAX 1</t>
  </si>
  <si>
    <t>116 Good Old Day WIND 3</t>
  </si>
  <si>
    <t>117 BluesHrp V/S HARMONICA 1</t>
  </si>
  <si>
    <t>118 Squeeze Me! ACCRDION 4</t>
  </si>
  <si>
    <t>119 Solo Tp AC.BRASS 2</t>
  </si>
  <si>
    <t>120 SC Violin STRINGS 1</t>
  </si>
  <si>
    <t>121 SC Cello STRINGS 1</t>
  </si>
  <si>
    <t>122 Juno-D Maj7 TECHNO SYNTH 4</t>
  </si>
  <si>
    <t>123 Sweet House TECHNO SYNTH 4</t>
  </si>
  <si>
    <t>124 ElectroDisco BEAT&amp;GROOVE 5</t>
  </si>
  <si>
    <t>125 Groove 007 BEAT&amp;GROOVE 4</t>
  </si>
  <si>
    <t>126 Autotrance BEAT&amp;GROOVE 4</t>
  </si>
  <si>
    <t>127 Compusonic 2 BEAT&amp;GROOVE 4</t>
  </si>
  <si>
    <t>128 Passing by SYNTH FX 4</t>
  </si>
  <si>
    <t>1 Rich Grand AC.PIANO 2 PR-A001</t>
  </si>
  <si>
    <t>2 88ConcertPno AC.PIANO 2 PR-A002</t>
  </si>
  <si>
    <t>3 UltimatGrand AC.PIANO 2 PR-A003</t>
  </si>
  <si>
    <t>4 X Pure Grand AC.PIANO 2 PR-A004</t>
  </si>
  <si>
    <t>5 So true... AC.PIANO 2 PR-A005</t>
  </si>
  <si>
    <t>6 ConcertPiano AC.PIANO 3 PR-A006</t>
  </si>
  <si>
    <t>7 Warm Piano AC.PIANO 2 PR-A007</t>
  </si>
  <si>
    <t>8 ConcertGrand AC.PIANO 2 PR-A008</t>
  </si>
  <si>
    <t>9 Hall Concert AC.PIANO 2 PR-A009</t>
  </si>
  <si>
    <t>10 Bright Tune AC.PIANO 2 PR-A010</t>
  </si>
  <si>
    <t>11 Mellow Tune AC.PIANO 2 PR-A011</t>
  </si>
  <si>
    <t>12 Studio Grand AC.PIANO 2 PR-A012</t>
  </si>
  <si>
    <t>13 DryStudio88 AC.PIANO 4 PR-A013</t>
  </si>
  <si>
    <t>14 First Choice AC.PIANO 2 PR-A014</t>
  </si>
  <si>
    <t>15 Rokkin' pF AC.PIANO 2 PR-A015</t>
  </si>
  <si>
    <t>16 Dark Grand AC.PIANO 4 PR-A016</t>
  </si>
  <si>
    <t>17 SC Grand+Pad AC.PIANO 4 PR-A017</t>
  </si>
  <si>
    <t>18 Warm Pad Pno AC.PIANO 4 PR-A018</t>
  </si>
  <si>
    <t>19 SC Grand+Vox AC.PIANO 4 PR-A019</t>
  </si>
  <si>
    <t>20 Cicada Piano AC.PIANO 4 PR-A020</t>
  </si>
  <si>
    <t>21 X Piano +Str AC.PIANO 4 PR-A021</t>
  </si>
  <si>
    <t>22 Warm Str Pno AC.PIANO 6 PR-A022</t>
  </si>
  <si>
    <t>23 Grand Hall AC.PIANO 5 PR-A023</t>
  </si>
  <si>
    <t>24 Rapsody AC.PIANO 7 PR-A024</t>
  </si>
  <si>
    <t>25 JD-800 Piano AC.PIANO 1 PR-A025</t>
  </si>
  <si>
    <t>26 SA Dance Pno AC.PIANO 2 PR-A026</t>
  </si>
  <si>
    <t>27 SC E-Grand AC.PIANO 4 PR-A027</t>
  </si>
  <si>
    <t>28 Back E-Grand AC.PIANO 2 PR-A028</t>
  </si>
  <si>
    <t>29 SC Grand+FM AC.PIANO 4 PR-A029</t>
  </si>
  <si>
    <t>30 SC Blend Pno AC.PIANO 5 PR-A030</t>
  </si>
  <si>
    <t>31 Piano Oz AC.PIANO 4 PR-A031</t>
  </si>
  <si>
    <t>32 FX Piano AC.PIANO 4 PR-A032</t>
  </si>
  <si>
    <t>33 AmbientPiano AC.PIANO 4 PR-A033</t>
  </si>
  <si>
    <t>34 SC Pure EP EL.PIANO 1 PR-A034</t>
  </si>
  <si>
    <t>35 SC Trem EP EL.PIANO 1 PR-A035</t>
  </si>
  <si>
    <t>36 SC Phase EP EL.PIANO 1 PR-A036</t>
  </si>
  <si>
    <t>37 PhaseEPLayer EL.PIANO 3 PR-A037</t>
  </si>
  <si>
    <t>38 SC E.Piano EL.PIANO 5 PR-A038</t>
  </si>
  <si>
    <t>39 StageEP Trem EL.PIANO 2 PR-A039</t>
  </si>
  <si>
    <t>40 Back2the60s EL.PIANO 2 PR-A040</t>
  </si>
  <si>
    <t>41 Stage EP EL.PIANO 4 PR-A041</t>
  </si>
  <si>
    <t>42 Stage Phazer EL.PIANO 2 PR-A042</t>
  </si>
  <si>
    <t>43 StageCabinet EL.PIANO 2 PR-A043</t>
  </si>
  <si>
    <t>44 Tine EP EL.PIANO 1 PR-A044</t>
  </si>
  <si>
    <t>45 LEO EP EL.PIANO 4 PR-A045</t>
  </si>
  <si>
    <t>46 LonesomeRoad EL.PIANO 2 PR-A046</t>
  </si>
  <si>
    <t>47 Age'n'Tines EL.PIANO 2 PR-A047</t>
  </si>
  <si>
    <t>48 Brill TremEP EL.PIANO 2 PR-A048</t>
  </si>
  <si>
    <t>49 Crystal EP EL.PIANO 2 PR-A049</t>
  </si>
  <si>
    <t>50 Vintage Tine EL.PIANO 1 PR-A050</t>
  </si>
  <si>
    <t>51 Celestial EP EL.PIANO 4 PR-A051</t>
  </si>
  <si>
    <t>52 Psycho EP EL.PIANO 4 PR-A052</t>
  </si>
  <si>
    <t>53 Mk2 Stg phsr EL.PIANO 3 PR-A053</t>
  </si>
  <si>
    <t>54 Dreaming EP EL.PIANO 4 PR-A054</t>
  </si>
  <si>
    <t>55 Balladeer EL.PIANO 3 PR-A055</t>
  </si>
  <si>
    <t>56 Remember EL.PIANO 2 PR-A056</t>
  </si>
  <si>
    <t>57 Vibe EP EL.PIANO 1 PR-A057</t>
  </si>
  <si>
    <t>58 sin(EP) EL.PIANO 2 PR-A058</t>
  </si>
  <si>
    <t>59 SC Pure Wuly EL.PIANO 1 PR-A059</t>
  </si>
  <si>
    <t>60 SC Trem Wuly EL.PIANO 1 PR-A060</t>
  </si>
  <si>
    <t>61 Super Wurly EL.PIANO 3 PR-A061</t>
  </si>
  <si>
    <t>62 Wurly Trem EL.PIANO 3 PR-A062</t>
  </si>
  <si>
    <t>63 VelSpdWurly EL.PIANO 2 PR-A063</t>
  </si>
  <si>
    <t>64 Fonky Fonky EL.PIANO 2 PR-A064</t>
  </si>
  <si>
    <t>65 FM EP mix EL.PIANO 6 PR-A065</t>
  </si>
  <si>
    <t>66 FM-777 EL.PIANO 5 PR-A066</t>
  </si>
  <si>
    <t>67 FM EPad EL.PIANO 3 PR-A067</t>
  </si>
  <si>
    <t>68 EP Stack EL.PIANO 4 PR-A068</t>
  </si>
  <si>
    <t>69 EP Belle EL.PIANO 3 PR-A069</t>
  </si>
  <si>
    <t>70 80s EP EL.PIANO 4 PR-A070</t>
  </si>
  <si>
    <t>71 SA EPiano EL.PIANO 3 PR-A071</t>
  </si>
  <si>
    <t>72 BrillClav DB KEYBOARDS 2 PR-A072</t>
  </si>
  <si>
    <t>73 Cell Clav KEYBOARDS 1 PR-A073</t>
  </si>
  <si>
    <t>74 VntgClav KEYBOARDS 3 PR-A074</t>
  </si>
  <si>
    <t>75 Cutter Clavi KEYBOARDS 2 PR-A075</t>
  </si>
  <si>
    <t>76 Funky D KEYBOARDS 2 PR-A076</t>
  </si>
  <si>
    <t>77 Phase Clavi KEYBOARDS 2 PR-A077</t>
  </si>
  <si>
    <t>78 BPF Clavi Ph KEYBOARDS 2 PR-A078</t>
  </si>
  <si>
    <t>79 Pulse Clavi KEYBOARDS 2 PR-A079</t>
  </si>
  <si>
    <t>80 PWM Clav KEYBOARDS 1 PR-A080</t>
  </si>
  <si>
    <t>81 Funky Line KEYBOARDS 2 PR-A081</t>
  </si>
  <si>
    <t>82 Biting Clav KEYBOARDS 2 PR-A082</t>
  </si>
  <si>
    <t>83 Analog Clavi KEYBOARDS 1 PR-A083</t>
  </si>
  <si>
    <t>84 Reso Clavi KEYBOARDS 2 PR-A084</t>
  </si>
  <si>
    <t>85 Snappy Clav KEYBOARDS 2 PR-A085</t>
  </si>
  <si>
    <t>86 Over-D6 KEYBOARDS 3 PR-A086</t>
  </si>
  <si>
    <t>87 Harpsy Clavi KEYBOARDS 2 PR-A087</t>
  </si>
  <si>
    <t>88 SC Harpsi KEYBOARDS 4 PR-A088</t>
  </si>
  <si>
    <t>89 Amadeus KEYBOARDS 8 PR-A089</t>
  </si>
  <si>
    <t>90 SC Celesta KEYBOARDS 1 PR-A090</t>
  </si>
  <si>
    <t>91 Himalaya Ice BELL 2 PR-A091</t>
  </si>
  <si>
    <t>92 FM Syn Bell BELL 4 PR-A092</t>
  </si>
  <si>
    <t>93 D-50 Fantsia BELL 3 PR-A093</t>
  </si>
  <si>
    <t>94 Wine Glass BELL 4 PR-A094</t>
  </si>
  <si>
    <t>95 MuBox Pad BELL 4 PR-A095</t>
  </si>
  <si>
    <t>96 SC Bell 1 BELL 4 PR-A096</t>
  </si>
  <si>
    <t>97 FM Heaven BELL 4 PR-A097</t>
  </si>
  <si>
    <t>98 SC Glocken BELL 1 PR-A098</t>
  </si>
  <si>
    <t>99 Music Bells BELL 2 PR-A099</t>
  </si>
  <si>
    <t>100 SC Musicbox BELL 1 PR-A100</t>
  </si>
  <si>
    <t>101 Music Box 2 BELL 2 PR-A101</t>
  </si>
  <si>
    <t>102 Kalimbells BELL 2 PR-A102</t>
  </si>
  <si>
    <t>103 Step Ice BELL 4 PR-A103</t>
  </si>
  <si>
    <t>104 SC Bell 2 BELL 2 PR-A104</t>
  </si>
  <si>
    <t>105 Candy Bell BELL 2 PR-A105</t>
  </si>
  <si>
    <t>106 SC Chime BELL 1 PR-A106</t>
  </si>
  <si>
    <t>107 Bell Ring BELL 4 PR-A107</t>
  </si>
  <si>
    <t>108 Tubular Bell BELL 1 PR-A108</t>
  </si>
  <si>
    <t>109 5th Key BELL 2 PR-A109</t>
  </si>
  <si>
    <t>110 Bell Monitor BELL 2 PR-A110</t>
  </si>
  <si>
    <t>111 TubyRuesday BELL 2 PR-A111</t>
  </si>
  <si>
    <t>112 Vibrations MALLET 2 PR-A112</t>
  </si>
  <si>
    <t>113 SC Vibe MALLET 1 PR-A113</t>
  </si>
  <si>
    <t>114 Ringy Vibes MALLET 2 PR-A114</t>
  </si>
  <si>
    <t>115 Airie Vibez MALLET 4 PR-A115</t>
  </si>
  <si>
    <t>116 SC Marimba MALLET 1 PR-A116</t>
  </si>
  <si>
    <t>117 FM Wood MALLET 4 PR-A117</t>
  </si>
  <si>
    <t>118 SC Xylo MALLET 1 PR-A118</t>
  </si>
  <si>
    <t>119 Ethno Keys MALLET 2 PR-A119</t>
  </si>
  <si>
    <t>120 Synergy MLT MALLET 2 PR-A120</t>
  </si>
  <si>
    <t>121 Icy Keys MALLET 4 PR-A121</t>
  </si>
  <si>
    <t>122 Steel Drums MALLET 2 PR-A122</t>
  </si>
  <si>
    <t>123 50`SteelDrms MALLET 4 PR-A123</t>
  </si>
  <si>
    <t>124 Xylosizer MALLET 2 PR-A124</t>
  </si>
  <si>
    <t>125 Toy Box MALLET 3 PR-A125</t>
  </si>
  <si>
    <t>126 AirPluck MALLET 4 PR-A126</t>
  </si>
  <si>
    <t>127 HardRockORG1 ORGAN 4 PR-A127</t>
  </si>
  <si>
    <t>128 HardRockORG2 ORGAN 5 PR-A128</t>
  </si>
  <si>
    <t>129 SuperDistORG ORGAN 4 PR-B001</t>
  </si>
  <si>
    <t>130 SuperDistLd2 ORGAN 4 PR-B002</t>
  </si>
  <si>
    <t>131 FullDraw Org ORGAN 3 PR-B003</t>
  </si>
  <si>
    <t>132 StakDraw Org ORGAN 4 PR-B004</t>
  </si>
  <si>
    <t>133 FullStop Org ORGAN 3 PR-B005</t>
  </si>
  <si>
    <t>134 SC Perc Org ORGAN 4 PR-B006</t>
  </si>
  <si>
    <t>135 VKHold4Speed ORGAN 4 PR-B007</t>
  </si>
  <si>
    <t>136 X Perc Organ ORGAN 3 PR-B008</t>
  </si>
  <si>
    <t>137 Rocky Organ ORGAN 2 PR-B009</t>
  </si>
  <si>
    <t>138 Euro Organ ORGAN 2 PR-B010</t>
  </si>
  <si>
    <t>139 Rhythm'n'B ORGAN 4 PR-B011</t>
  </si>
  <si>
    <t>140 Phono Organ ORGAN 2 PR-B012</t>
  </si>
  <si>
    <t>141 LoFi PercOrg ORGAN 1 PR-B013</t>
  </si>
  <si>
    <t>142 Rochno Org ORGAN 4 PR-B014</t>
  </si>
  <si>
    <t>143 R&amp;B Organ 1 ORGAN 2 PR-B015</t>
  </si>
  <si>
    <t>144 R&amp;B Organ 2 ORGAN 4 PR-B016</t>
  </si>
  <si>
    <t>145 SC Dist Bee ORGAN 1 PR-B017</t>
  </si>
  <si>
    <t>146 60's Org 1 ORGAN 2 PR-B018</t>
  </si>
  <si>
    <t>147 60's Org 2 ORGAN 2 PR-B019</t>
  </si>
  <si>
    <t>148 Smoky Organ ORGAN 1 PR-B020</t>
  </si>
  <si>
    <t>149 SC SoapOpera ORGAN 1 PR-B021</t>
  </si>
  <si>
    <t>150 Crummy Organ ORGAN 2 PR-B022</t>
  </si>
  <si>
    <t>151 Chapel Organ ORGAN 2 PR-B023</t>
  </si>
  <si>
    <t>152 Grand Pipe ORGAN 3 PR-B024</t>
  </si>
  <si>
    <t>153 Pipe Org/Mod ORGAN 6 PR-B025</t>
  </si>
  <si>
    <t>154 Masked Opera ORGAN 6 PR-B026</t>
  </si>
  <si>
    <t>155 Mid Pipe Org ORGAN 4 PR-B027</t>
  </si>
  <si>
    <t>156 Vodkakordion ACCRDION 3 PR-B028</t>
  </si>
  <si>
    <t>157 Squeeze Me! ACCRDION 4 PR-B029</t>
  </si>
  <si>
    <t>158 Guinguette ACCRDION 3 PR-B030</t>
  </si>
  <si>
    <t>159 HarWonderca HARMONICA 2 PR-B031</t>
  </si>
  <si>
    <t>160 BluesHrp V/S HARMONICA 1 PR-B032</t>
  </si>
  <si>
    <t>161 Green Bullet HARMONICA 2 PR-B033</t>
  </si>
  <si>
    <t>162 SC Brt Nylon AC.GUITAR 1 PR-B034</t>
  </si>
  <si>
    <t>163 SoftNyln Gtr AC.GUITAR 2 PR-B035</t>
  </si>
  <si>
    <t>164 SC Nylon Gt AC.GUITAR 2 PR-B036</t>
  </si>
  <si>
    <t>165 Wet Nyln Gtr AC.GUITAR 3 PR-B037</t>
  </si>
  <si>
    <t>166 Pre Mass Hum AC.GUITAR 4 PR-B038</t>
  </si>
  <si>
    <t>167 Thick Steel AC.GUITAR 2 PR-B039</t>
  </si>
  <si>
    <t>168 Uncle Martin AC.GUITAR 2 PR-B040</t>
  </si>
  <si>
    <t>169 Wide Ac Gtr AC.GUITAR 4 PR-B041</t>
  </si>
  <si>
    <t>170 Comp Stl Gtr AC.GUITAR 2 PR-B042</t>
  </si>
  <si>
    <t>171 Stl Gtr Duo AC.GUITAR 2 PR-B043</t>
  </si>
  <si>
    <t>172 SC 12str Gtr AC.GUITAR 3 PR-B044</t>
  </si>
  <si>
    <t>173 So good ! AC.GUITAR 2 PR-B045</t>
  </si>
  <si>
    <t>174 StratSeq'nce EL.GUITAR 3 PR-B046</t>
  </si>
  <si>
    <t>175 Jazz Guitar EL.GUITAR 1 PR-B047</t>
  </si>
  <si>
    <t>176 DynoJazz Gtr EL.GUITAR 1 PR-B048</t>
  </si>
  <si>
    <t>177 Clean Gtr EL.GUITAR 1 PR-B049</t>
  </si>
  <si>
    <t>178 Crimson Gtr EL.GUITAR 2 PR-B050</t>
  </si>
  <si>
    <t>179 Plug n' Gig EL.GUITAR 1 PR-B051</t>
  </si>
  <si>
    <t>180 Kinda Kurt EL.GUITAR 2 PR-B052</t>
  </si>
  <si>
    <t>181 Nice Oct Gtr EL.GUITAR 2 PR-B053</t>
  </si>
  <si>
    <t>182 Strat Gtr EL.GUITAR 1 PR-B054</t>
  </si>
  <si>
    <t>183 Touch Drive DIST.GUITAR 1 PR-B055</t>
  </si>
  <si>
    <t>184 SC Chunk DIST.GUITAR 4 PR-B056</t>
  </si>
  <si>
    <t>185 Trem-o-Vibe DIST.GUITAR 2 PR-B057</t>
  </si>
  <si>
    <t>186 LP Dist DIST.GUITAR 2 PR-B058</t>
  </si>
  <si>
    <t>187 Hurtling Gtr DIST.GUITAR 3 PR-B059</t>
  </si>
  <si>
    <t>188 Searing COSM DIST.GUITAR 2 PR-B060</t>
  </si>
  <si>
    <t>189 SC Loud Gtr DIST.GUITAR 3 PR-B061</t>
  </si>
  <si>
    <t>190 SC Plugged!! DIST.GUITAR 1 PR-B062</t>
  </si>
  <si>
    <t>191 Punker 1 DIST.GUITAR 2 PR-B063</t>
  </si>
  <si>
    <t>192 SC PowerChd DIST.GUITAR 2 PR-B064</t>
  </si>
  <si>
    <t>193 Punker 2 DIST.GUITAR 2 PR-B065</t>
  </si>
  <si>
    <t>194 Larsen /Aft DIST.GUITAR 2 PR-B066</t>
  </si>
  <si>
    <t>195 Rockin' Dly DIST.GUITAR 3 PR-B067</t>
  </si>
  <si>
    <t>196 Sonic Ac Bs BASS 1 PR-B068</t>
  </si>
  <si>
    <t>197 Ulti Ac Bass BASS 2 PR-B069</t>
  </si>
  <si>
    <t>198 Downright Bs BASS 3 PR-B070</t>
  </si>
  <si>
    <t>199 Cmp'd Fng Bs BASS 3 PR-B071</t>
  </si>
  <si>
    <t>200 Sonic Fng Bs BASS 3 PR-B072</t>
  </si>
  <si>
    <t>201 Ultimo Bass BASS 2 PR-B073</t>
  </si>
  <si>
    <t>202 Roomy Bass BASS 2 PR-B074</t>
  </si>
  <si>
    <t>203 FingerMaster BASS 2 PR-B075</t>
  </si>
  <si>
    <t>204 All Round Bs BASS 2 PR-B076</t>
  </si>
  <si>
    <t>205 R&amp;B Bs/Slide BASS 2 PR-B077</t>
  </si>
  <si>
    <t>206 Sonic Pck Bs BASS 3 PR-B078</t>
  </si>
  <si>
    <t>207 Thumb Up! BASS 1 PR-B079</t>
  </si>
  <si>
    <t>208 Tubby Mute BASS 2 PR-B080</t>
  </si>
  <si>
    <t>209 Chicken Bass BASS 3 PR-B081</t>
  </si>
  <si>
    <t>210 Snug Bass BASS 2 PR-B082</t>
  </si>
  <si>
    <t>211 Return2Base! BASS 1 PR-B083</t>
  </si>
  <si>
    <t>212 Chorus Bass BASS 2 PR-B084</t>
  </si>
  <si>
    <t>213 A Big Pick BASS 3 PR-B085</t>
  </si>
  <si>
    <t>214 Basement BASS 1 PR-B086</t>
  </si>
  <si>
    <t>215 SC Fretnot 1 BASS 2 PR-B087</t>
  </si>
  <si>
    <t>216 SC Fretnot 2 BASS 3 PR-B088</t>
  </si>
  <si>
    <t>217 RichFretless BASS 2 PR-B089</t>
  </si>
  <si>
    <t>218 NewAge Frtls BASS 3 PR-B090</t>
  </si>
  <si>
    <t>219 SlapBass1 BASS 1 PR-B091</t>
  </si>
  <si>
    <t>220 Slap2 w/Fx BASS 1 PR-B092</t>
  </si>
  <si>
    <t>221 Got Pop? BASS 1 PR-B093</t>
  </si>
  <si>
    <t>222 JBass v/Thmb BASS 2 PR-B094</t>
  </si>
  <si>
    <t>223 SC Slap Bass BASS 2 PR-B095</t>
  </si>
  <si>
    <t>224 X Slap Bass BASS 3 PR-B096</t>
  </si>
  <si>
    <t>225 Low Bass SYNTH BASS 3 PR-B097</t>
  </si>
  <si>
    <t>226 Mini Like! SYNTH BASS 2 PR-B098</t>
  </si>
  <si>
    <t>227 MC-404 Bass SYNTH BASS 2 PR-B099</t>
  </si>
  <si>
    <t>228 SC Rubber Bs SYNTH BASS 3 PR-B100</t>
  </si>
  <si>
    <t>229 SH-101 Bs 1 SYNTH BASS 2 PR-B101</t>
  </si>
  <si>
    <t>230 SC Syn Bass1 SYNTH BASS 3 PR-B102</t>
  </si>
  <si>
    <t>231 Juno-106 Bs SYNTH BASS 2 PR-B103</t>
  </si>
  <si>
    <t>232 Smooth Bass SYNTH BASS 2 PR-B104</t>
  </si>
  <si>
    <t>233 SC Flat Bs SYNTH BASS 3 PR-B105</t>
  </si>
  <si>
    <t>234 Foundation SYNTH BASS 2 PR-B106</t>
  </si>
  <si>
    <t>235 Punch MG 2 SYNTH BASS 2 PR-B107</t>
  </si>
  <si>
    <t>236 Electro Rubb SYNTH BASS 2 PR-B108</t>
  </si>
  <si>
    <t>237 R&amp;B Bass 1 SYNTH BASS 2 PR-B109</t>
  </si>
  <si>
    <t>238 Enorjizor SYNTH BASS 2 PR-B110</t>
  </si>
  <si>
    <t>239 LowFat Bass SYNTH BASS 3 PR-B111</t>
  </si>
  <si>
    <t>240 Doze Bass SYNTH BASS 1 PR-B112</t>
  </si>
  <si>
    <t>241 DCO Bass SYNTH BASS 4 PR-B113</t>
  </si>
  <si>
    <t>242 Virtual RnBs SYNTH BASS 2 PR-B114</t>
  </si>
  <si>
    <t>243 Saw&amp;MG Bass SYNTH BASS 4 PR-B115</t>
  </si>
  <si>
    <t>244 MG+SubOsc Bs SYNTH BASS 2 PR-B116</t>
  </si>
  <si>
    <t>245 R&amp;B Bass 2 SYNTH BASS 1 PR-B117</t>
  </si>
  <si>
    <t>246 R&amp;B Bass 3 SYNTH BASS 2 PR-B118</t>
  </si>
  <si>
    <t>247 Not a Bass SYNTH BASS 2 PR-B119</t>
  </si>
  <si>
    <t>248 ResoSyn Bs 1 SYNTH BASS 2 PR-B120</t>
  </si>
  <si>
    <t>249 SH-1 Bass SYNTH BASS 2 PR-B121</t>
  </si>
  <si>
    <t>250 SH-101 Bs 2 SYNTH BASS 2 PR-B122</t>
  </si>
  <si>
    <t>251 Punch MG 1 SYNTH BASS 2 PR-B123</t>
  </si>
  <si>
    <t>252 MKS-50 SynBs SYNTH BASS 1 PR-B124</t>
  </si>
  <si>
    <t>253 Gashed Bass SYNTH BASS 2 PR-B125</t>
  </si>
  <si>
    <t>254 Q Bass SYNTH BASS 3 PR-B126</t>
  </si>
  <si>
    <t>255 Super-G DX SYNTH BASS 3 PR-B127</t>
  </si>
  <si>
    <t>256 Kickin' Bass SYNTH BASS 2 PR-B128</t>
  </si>
  <si>
    <t>257 OilDrum Bass SYNTH BASS 3 PR-C001</t>
  </si>
  <si>
    <t>258 Dust Bass SYNTH BASS 4 PR-C002</t>
  </si>
  <si>
    <t>259 Glide-iator SYNTH BASS 2 PR-C003</t>
  </si>
  <si>
    <t>260 SC AcidPunch SYNTH BASS 2 PR-C004</t>
  </si>
  <si>
    <t>261 TBasic SYNTH BASS 1 PR-C005</t>
  </si>
  <si>
    <t>262 SC Unison Bs SYNTH BASS 2 PR-C006</t>
  </si>
  <si>
    <t>263 Detune Bass SYNTH BASS 2 PR-C007</t>
  </si>
  <si>
    <t>264 Lo Bass SYNTH BASS 3 PR-C008</t>
  </si>
  <si>
    <t>265 SC GarageBs1 SYNTH BASS 3 PR-C009</t>
  </si>
  <si>
    <t>266 SC GarageBs2 SYNTH BASS 2 PR-C010</t>
  </si>
  <si>
    <t>267 Sub Sonic SYNTH BASS 4 PR-C011</t>
  </si>
  <si>
    <t>268 SC Jungle Bs SYNTH BASS 2 PR-C012</t>
  </si>
  <si>
    <t>269 R&amp;B Bass 4 SYNTH BASS 1 PR-C013</t>
  </si>
  <si>
    <t>270 Simply Basic SYNTH BASS 2 PR-C014</t>
  </si>
  <si>
    <t>271 Beepin Bass SYNTH BASS 2 PR-C015</t>
  </si>
  <si>
    <t>272 MC-TB Bass SYNTH BASS 2 PR-C016</t>
  </si>
  <si>
    <t>273 Acdg Bass SYNTH BASS 2 PR-C017</t>
  </si>
  <si>
    <t>274 Loco Voco SYNTH BASS 2 PR-C018</t>
  </si>
  <si>
    <t>275 Unplug it! SYNTH BASS 1 PR-C019</t>
  </si>
  <si>
    <t>276 S&amp;H Bass SYNTH BASS 2 PR-C020</t>
  </si>
  <si>
    <t>277 Destroyed Bs SYNTH BASS 2 PR-C021</t>
  </si>
  <si>
    <t>278 SC Acid Bs SYNTH BASS 2 PR-C022</t>
  </si>
  <si>
    <t>279 Lo-Fi TB SYNTH BASS 1 PR-C023</t>
  </si>
  <si>
    <t>280 Drop Bass SYNTH BASS 3 PR-C024</t>
  </si>
  <si>
    <t>281 Big Mini SYNTH BASS 3 PR-C025</t>
  </si>
  <si>
    <t>282 Muffled MG SYNTH BASS 2 PR-C026</t>
  </si>
  <si>
    <t>283 Intrusive Bs SYNTH BASS 2 PR-C027</t>
  </si>
  <si>
    <t>284 Alpha SynBs SYNTH BASS 2 PR-C028</t>
  </si>
  <si>
    <t>285 TransistorBs SYNTH BASS 3 PR-C029</t>
  </si>
  <si>
    <t>286 Juno-60 Bass SYNTH BASS 2 PR-C030</t>
  </si>
  <si>
    <t>287 Storm Bass SYNTH BASS 4 PR-C031</t>
  </si>
  <si>
    <t>288 Alpha ResoBs SYNTH BASS 2 PR-C032</t>
  </si>
  <si>
    <t>289 SH-101 Vibe SYNTH BASS 4 PR-C033</t>
  </si>
  <si>
    <t>290 Fazee Bass SYNTH BASS 4 PR-C034</t>
  </si>
  <si>
    <t>291 Hi-Energy Bs SYNTH BASS 2 PR-C035</t>
  </si>
  <si>
    <t>292 SC Violin STRINGS 1 PR-C036</t>
  </si>
  <si>
    <t>293 Violin STRINGS 1 PR-C037</t>
  </si>
  <si>
    <t>294 Viola STRINGS 3 PR-C038</t>
  </si>
  <si>
    <t>295 SC Cello STRINGS 1 PR-C039</t>
  </si>
  <si>
    <t>296 Cello STRINGS 1 PR-C040</t>
  </si>
  <si>
    <t>297 Contrabass STRINGS 4 PR-C041</t>
  </si>
  <si>
    <t>298 Dolce Qrt STRINGS 2 PR-C042</t>
  </si>
  <si>
    <t>299 Chamber Str STRINGS 3 PR-C043</t>
  </si>
  <si>
    <t>300 Small Str STRINGS 7 PR-C044</t>
  </si>
  <si>
    <t>301 Marcato STRINGS 2 PR-C045</t>
  </si>
  <si>
    <t>302 Bright Str STRINGS 2 PR-C046</t>
  </si>
  <si>
    <t>303 String Ens STRINGS 3 PR-C047</t>
  </si>
  <si>
    <t>304 SonicStrings STRINGS 8 PR-C048</t>
  </si>
  <si>
    <t>305 Stringz 101 STRINGS 2 PR-C049</t>
  </si>
  <si>
    <t>306 Crossed Bows STRINGS 5 PR-C050</t>
  </si>
  <si>
    <t>307 Warm Strings STRINGS 5 PR-C051</t>
  </si>
  <si>
    <t>308 Stacc mp Str STRINGS 4 PR-C052</t>
  </si>
  <si>
    <t>309 Movie Scene STRINGS 4 PR-C053</t>
  </si>
  <si>
    <t>310 Hybrid Str 1 STRINGS 6 PR-C054</t>
  </si>
  <si>
    <t>311 Gang Strangs STRINGS 6 PR-C055</t>
  </si>
  <si>
    <t>312 Clustered!?! STRINGS 8 PR-C056</t>
  </si>
  <si>
    <t>313 Full Strings STRINGS 4 PR-C057</t>
  </si>
  <si>
    <t>314 X StrSection STRINGS 4 PR-C058</t>
  </si>
  <si>
    <t>315 Oct Strings STRINGS 6 PR-C059</t>
  </si>
  <si>
    <t>316 Sahara Str STRINGS 4 PR-C060</t>
  </si>
  <si>
    <t>317 Random Mood STRINGS 6 PR-C061</t>
  </si>
  <si>
    <t>318 X Hall Str STRINGS 8 PR-C062</t>
  </si>
  <si>
    <t>319 SC Slow Str STRINGS 8 PR-C063</t>
  </si>
  <si>
    <t>320 Hybrid Str 2 STRINGS 7 PR-C064</t>
  </si>
  <si>
    <t>321 Biggie Bows STRINGS 6 PR-C065</t>
  </si>
  <si>
    <t>322 Staccato VS STRINGS 4 PR-C066</t>
  </si>
  <si>
    <t>323 So Staccato STRINGS 4 PR-C067</t>
  </si>
  <si>
    <t>324 DelicatePizz STRINGS 4 PR-C068</t>
  </si>
  <si>
    <t>325 Vls PizzHall STRINGS 8 PR-C069</t>
  </si>
  <si>
    <t>326 Orch Pizz STRINGS 4 PR-C070</t>
  </si>
  <si>
    <t>327 Pizz'Stac VS STRINGS 6 PR-C071</t>
  </si>
  <si>
    <t>328 Mellow Tron STRINGS 3 PR-C072</t>
  </si>
  <si>
    <t>329 Tronic Str STRINGS 2 PR-C073</t>
  </si>
  <si>
    <t>330 Tape Memory STRINGS 2 PR-C074</t>
  </si>
  <si>
    <t>331 Wind &amp; Str 1 ORCHESTRA 7 PR-C075</t>
  </si>
  <si>
    <t>332 Wind &amp; Str 2 ORCHESTRA 5 PR-C076</t>
  </si>
  <si>
    <t>333 Farewell ORCHESTRA 6 PR-C077</t>
  </si>
  <si>
    <t>334 Orch &amp; Horns ORCHESTRA 5 PR-C078</t>
  </si>
  <si>
    <t>335 Soft Orch 1 ORCHESTRA 4 PR-C079</t>
  </si>
  <si>
    <t>336 Soft Orch 2 ORCHESTRA 7 PR-C080</t>
  </si>
  <si>
    <t>337 Henry IX ORCHESTRA 4 PR-C081</t>
  </si>
  <si>
    <t>338 Ending Scene ORCHESTRA 4 PR-C082</t>
  </si>
  <si>
    <t>339 Symphonika ORCHESTRA 8 PR-C083</t>
  </si>
  <si>
    <t>340 Mix Hit 2 HIT&amp;STAB 4 PR-C084</t>
  </si>
  <si>
    <t>341 Cheezy Movie HIT&amp;STAB 4 PR-C085</t>
  </si>
  <si>
    <t>342 Philly Hit HIT&amp;STAB 1 PR-C086</t>
  </si>
  <si>
    <t>343 Smear Hit 1 HIT&amp;STAB 2 PR-C087</t>
  </si>
  <si>
    <t>344 Smear Hit 2 HIT&amp;STAB 2 PR-C088</t>
  </si>
  <si>
    <t>345 Good Old Hit HIT&amp;STAB 4 PR-C089</t>
  </si>
  <si>
    <t>346 Mix Hit 1 HIT&amp;STAB 4 PR-C090</t>
  </si>
  <si>
    <t>347 Lo-Fi Hit HIT&amp;STAB 4 PR-C091</t>
  </si>
  <si>
    <t>348 2ble Action HIT&amp;STAB 2 PR-C092</t>
  </si>
  <si>
    <t>349 In da Cave HIT&amp;STAB 2 PR-C093</t>
  </si>
  <si>
    <t>350 Housechord HIT&amp;STAB 3 PR-C094</t>
  </si>
  <si>
    <t>351 Mod Chord HIT&amp;STAB 2 PR-C095</t>
  </si>
  <si>
    <t>352 Dance Steam HIT&amp;STAB 2 PR-C096</t>
  </si>
  <si>
    <t>353 Good Old Day WIND 3 PR-C097</t>
  </si>
  <si>
    <t>354 SC WindWood WIND 3 PR-C098</t>
  </si>
  <si>
    <t>355 Clarence.net WIND 2 PR-C099</t>
  </si>
  <si>
    <t>356 SC Oboe WIND 1 PR-C100</t>
  </si>
  <si>
    <t>357 Hall Oboe WIND 1 PR-C101</t>
  </si>
  <si>
    <t>358 English Horn WIND 1 PR-C102</t>
  </si>
  <si>
    <t>359 Bassoon WIND 1 PR-C103</t>
  </si>
  <si>
    <t>360 SC Flute FLUTE 2 PR-C104</t>
  </si>
  <si>
    <t>361 Piccolo FLUTE 2 PR-C105</t>
  </si>
  <si>
    <t>362 Andes Mood FLUTE 1 PR-C106</t>
  </si>
  <si>
    <t>363 HimalayaPipe FLUTE 4 PR-C107</t>
  </si>
  <si>
    <t>364 Solo Tp AC.BRASS 2 PR-C108</t>
  </si>
  <si>
    <t>365 Horn Chops AC.BRASS 2 PR-C109</t>
  </si>
  <si>
    <t>366 Flugel Horn AC.BRASS 1 PR-C110</t>
  </si>
  <si>
    <t>367 Spit Flugel AC.BRASS 3 PR-C111</t>
  </si>
  <si>
    <t>368 Mute Tp /Mod AC.BRASS 3 PR-C112</t>
  </si>
  <si>
    <t>369 Harmon Mute AC.BRASS 1 PR-C113</t>
  </si>
  <si>
    <t>370 Soft Tb AC.BRASS 2 PR-C114</t>
  </si>
  <si>
    <t>371 Solo Tb AC.BRASS 1 PR-C115</t>
  </si>
  <si>
    <t>372 Solo Bone AC.BRASS 2 PR-C116</t>
  </si>
  <si>
    <t>373 XP Horn AC.BRASS 1 PR-C117</t>
  </si>
  <si>
    <t>374 Grande Tuba AC.BRASS 2 PR-C118</t>
  </si>
  <si>
    <t>375 SC Tuba AC.BRASS 1 PR-C119</t>
  </si>
  <si>
    <t>376 StackTp Sect AC.BRASS 4 PR-C120</t>
  </si>
  <si>
    <t>377 Tb Section AC.BRASS 5 PR-C121</t>
  </si>
  <si>
    <t>378 TpTb Sect. AC.BRASS 2 PR-C122</t>
  </si>
  <si>
    <t>379 SC Brt Brass AC.BRASS 4 PR-C123</t>
  </si>
  <si>
    <t>380 SC BrsSect 1 AC.BRASS 7 PR-C124</t>
  </si>
  <si>
    <t>381 SC BrsSect 2 AC.BRASS 8 PR-C125</t>
  </si>
  <si>
    <t>382 Tpts &amp; Tmbs AC.BRASS 2 PR-C126</t>
  </si>
  <si>
    <t>383 Brass &amp; Sax AC.BRASS 5 PR-C127</t>
  </si>
  <si>
    <t>384 BrassPartOut AC.BRASS 6 PR-C128</t>
  </si>
  <si>
    <t>385 Simple Tutti AC.BRASS 2 PR-D001</t>
  </si>
  <si>
    <t>386 F.Horns Sect AC.BRASS 3 PR-D002</t>
  </si>
  <si>
    <t>387 Full sForza AC.BRASS 4 PR-D003</t>
  </si>
  <si>
    <t>388 Stereo Brass AC.BRASS 4 PR-D004</t>
  </si>
  <si>
    <t>389 Wide SynBrss SYNTH BRASS 2 PR-D005</t>
  </si>
  <si>
    <t>390 DetuneSawBrs SYNTH BRASS 2 PR-D006</t>
  </si>
  <si>
    <t>391 J-Pop Brass SYNTH BRASS 6 PR-D007</t>
  </si>
  <si>
    <t>392 80s Brass 1 SYNTH BRASS 6 PR-D008</t>
  </si>
  <si>
    <t>393 80s Brass 2 SYNTH BRASS 4 PR-D009</t>
  </si>
  <si>
    <t>394 Ana Brass SYNTH BRASS 5 PR-D010</t>
  </si>
  <si>
    <t>395 Soft Brass SYNTH BRASS 3 PR-D011</t>
  </si>
  <si>
    <t>396 JP8000 Brass SYNTH BRASS 6 PR-D012</t>
  </si>
  <si>
    <t>397 Sonic Brass SYNTH BRASS 4 PR-D013</t>
  </si>
  <si>
    <t>398 Syn Brass SYNTH BRASS 4 PR-D014</t>
  </si>
  <si>
    <t>399 Syn Brass 2 SYNTH BRASS 4 PR-D015</t>
  </si>
  <si>
    <t>400 Xpand Brass SYNTH BRASS 2 PR-D016</t>
  </si>
  <si>
    <t>401 Xpand Brass2 SYNTH BRASS 4 PR-D017</t>
  </si>
  <si>
    <t>402 Super Saw SYNTH BRASS 4 PR-D018</t>
  </si>
  <si>
    <t>403 SoftSynBrass SYNTH BRASS 2 PR-D019</t>
  </si>
  <si>
    <t>404 Silky JP SYNTH BRASS 2 PR-D020</t>
  </si>
  <si>
    <t>405 Silk Brs Pad SYNTH BRASS 1 PR-D021</t>
  </si>
  <si>
    <t>406 80s Brass 3 SYNTH BRASS 8 PR-D022</t>
  </si>
  <si>
    <t>407 X-Saw Brass1 SYNTH BRASS 2 PR-D023</t>
  </si>
  <si>
    <t>408 Cheesy Brass SYNTH BRASS 4 PR-D024</t>
  </si>
  <si>
    <t>409 Dual Saw Brs SYNTH BRASS 2 PR-D025</t>
  </si>
  <si>
    <t>410 Juno-106 Brs SYNTH BRASS 1 PR-D026</t>
  </si>
  <si>
    <t>411 Poly Brass SYNTH BRASS 2 PR-D027</t>
  </si>
  <si>
    <t>412 Stacked Brs SYNTH BRASS 4 PR-D028</t>
  </si>
  <si>
    <t>413 Soprano Sax SAX 1 PR-D029</t>
  </si>
  <si>
    <t>414 Solo Sop Sax SAX 1 PR-D030</t>
  </si>
  <si>
    <t>415 Alto mp SAX 1 PR-D031</t>
  </si>
  <si>
    <t>416 Alto Sax SAX 1 PR-D032</t>
  </si>
  <si>
    <t>417 Solo AltoSax SAX 1 PR-D033</t>
  </si>
  <si>
    <t>418 AltoLead Sax SAX 1 PR-D034</t>
  </si>
  <si>
    <t>419 XP TnrBrethy SAX 1 PR-D035</t>
  </si>
  <si>
    <t>420 Tenor Sax SAX 2 PR-D036</t>
  </si>
  <si>
    <t>421 Fat TenorSax SAX 3 PR-D037</t>
  </si>
  <si>
    <t>422 Baritone Sax SAX 1 PR-D038</t>
  </si>
  <si>
    <t>423 Sax Sect. 1 SAX 3 PR-D039</t>
  </si>
  <si>
    <t>424 Sax Sect. 2 SAX 4 PR-D040</t>
  </si>
  <si>
    <t>425 Horny Sax SAX 2 PR-D041</t>
  </si>
  <si>
    <t>426 FXM Alto Sax SAX 1 PR-D042</t>
  </si>
  <si>
    <t>427 Porta SoloLd HARD LEAD 2 PR-D043</t>
  </si>
  <si>
    <t>428 Porta Lead HARD LEAD 2 PR-D044</t>
  </si>
  <si>
    <t>429 Wind Syn Ld HARD LEAD 2 PR-D045</t>
  </si>
  <si>
    <t>430 SC Saw Ld 1 HARD LEAD 2 PR-D046</t>
  </si>
  <si>
    <t>431 SC Saw Ld 2 HARD LEAD 2 PR-D047</t>
  </si>
  <si>
    <t>432 Juno Lead HARD LEAD 2 PR-D048</t>
  </si>
  <si>
    <t>433 Follow Me HARD LEAD 2 PR-D049</t>
  </si>
  <si>
    <t>434 DC Triangle HARD LEAD 2 PR-D050</t>
  </si>
  <si>
    <t>435 Sqr-Seqence HARD LEAD 1 PR-D051</t>
  </si>
  <si>
    <t>436 Pure Square HARD LEAD 2 PR-D052</t>
  </si>
  <si>
    <t>437 Griggley HARD LEAD 2 PR-D053</t>
  </si>
  <si>
    <t>438 SC LegatoSaw HARD LEAD 2 PR-D054</t>
  </si>
  <si>
    <t>439 Lone Prophat HARD LEAD 1 PR-D055</t>
  </si>
  <si>
    <t>440 Dual Profs HARD LEAD 2 PR-D056</t>
  </si>
  <si>
    <t>441 Gwyo Press HARD LEAD 2 PR-D057</t>
  </si>
  <si>
    <t>442 "Q" DualSaws HARD LEAD 2 PR-D058</t>
  </si>
  <si>
    <t>443 Mogulator Ld HARD LEAD 2 PR-D059</t>
  </si>
  <si>
    <t>444 DirtyVoltage HARD LEAD 2 PR-D060</t>
  </si>
  <si>
    <t>445 Clean? HARD LEAD 2 PR-D061</t>
  </si>
  <si>
    <t>446 Distortion HARD LEAD 4 PR-D062</t>
  </si>
  <si>
    <t>447 SC Syn Ld HARD LEAD 2 PR-D063</t>
  </si>
  <si>
    <t>448 SynLead 0322 HARD LEAD 2 PR-D064</t>
  </si>
  <si>
    <t>449 X-Sink Delay HARD LEAD 3 PR-D065</t>
  </si>
  <si>
    <t>450 Destroyed Ld HARD LEAD 2 PR-D066</t>
  </si>
  <si>
    <t>451 Synchro Lead HARD LEAD 2 PR-D067</t>
  </si>
  <si>
    <t>452 Sync Ld Mono HARD LEAD 1 PR-D068</t>
  </si>
  <si>
    <t>453 SyncModulate HARD LEAD 3 PR-D069</t>
  </si>
  <si>
    <t>454 Distorted MG HARD LEAD 1 PR-D070</t>
  </si>
  <si>
    <t>455 SonicVampire HARD LEAD 2 PR-D071</t>
  </si>
  <si>
    <t>456 Blue Meanie HARD LEAD 2 PR-D072</t>
  </si>
  <si>
    <t>457 SC Dist Lead HARD LEAD 2 PR-D073</t>
  </si>
  <si>
    <t>458 Ringmod Lead HARD LEAD 4 PR-D074</t>
  </si>
  <si>
    <t>459 Stimulation HARD LEAD 4 PR-D075</t>
  </si>
  <si>
    <t>460 BodyElectric HARD LEAD 3 PR-D076</t>
  </si>
  <si>
    <t>461 Classic Lead HARD LEAD 4 PR-D077</t>
  </si>
  <si>
    <t>462 Feat Lead HARD LEAD 2 PR-D078</t>
  </si>
  <si>
    <t>463 Wire Sync HARD LEAD 3 PR-D079</t>
  </si>
  <si>
    <t>464 Epic Lead HARD LEAD 2 PR-D080</t>
  </si>
  <si>
    <t>465 Bag Lead HARD LEAD 3 PR-D081</t>
  </si>
  <si>
    <t>466 Wezcoast HARD LEAD 2 PR-D082</t>
  </si>
  <si>
    <t>467 HyperJupiter HARD LEAD 3 PR-D083</t>
  </si>
  <si>
    <t>468 Vintagolizer HARD LEAD 4 PR-D084</t>
  </si>
  <si>
    <t>469 C64 Lead HARD LEAD 2 PR-D085</t>
  </si>
  <si>
    <t>470 303 NRG HARD LEAD 2 PR-D086</t>
  </si>
  <si>
    <t>471 Cell SquLead SOFT LEAD 4 PR-D087</t>
  </si>
  <si>
    <t>472 SC Sqr Lead SOFT LEAD 2 PR-D088</t>
  </si>
  <si>
    <t>473 SH Sqr Lead SOFT LEAD 2 PR-D089</t>
  </si>
  <si>
    <t>474 Round SQR SOFT LEAD 2 PR-D090</t>
  </si>
  <si>
    <t>475 Windy Synth SOFT LEAD 3 PR-D091</t>
  </si>
  <si>
    <t>476 Sqr Diamond SOFT LEAD 2 PR-D092</t>
  </si>
  <si>
    <t>477 Sinetific SOFT LEAD 2 PR-D093</t>
  </si>
  <si>
    <t>478 PeakArpSine SOFT LEAD 1 PR-D094</t>
  </si>
  <si>
    <t>479 Howards Lead SOFT LEAD 3 PR-D095</t>
  </si>
  <si>
    <t>480 SoloNzPeaker SOFT LEAD 1 PR-D096</t>
  </si>
  <si>
    <t>481 Juno SftLd SOFT LEAD 1 PR-D097</t>
  </si>
  <si>
    <t>482 R&amp;B TriLead SOFT LEAD 1 PR-D098</t>
  </si>
  <si>
    <t>483 R&amp;B Tri Ld2 SOFT LEAD 1 PR-D099</t>
  </si>
  <si>
    <t>484 Jupiter Lead SOFT LEAD 1 PR-D100</t>
  </si>
  <si>
    <t>485 Dig-n-Duke SOFT LEAD 2 PR-D101</t>
  </si>
  <si>
    <t>486 SC SoftLead SOFT LEAD 2 PR-D102</t>
  </si>
  <si>
    <t>487 Mid Saw Ld SOFT LEAD 4 PR-D103</t>
  </si>
  <si>
    <t>488 X-Pulse Lead SOFT LEAD 2 PR-D104</t>
  </si>
  <si>
    <t>489 Mild 2-SawLd SOFT LEAD 2 PR-D105</t>
  </si>
  <si>
    <t>490 Mew Lead SOFT LEAD 1 PR-D106</t>
  </si>
  <si>
    <t>491 Shy Soloist SOFT LEAD 1 PR-D107</t>
  </si>
  <si>
    <t>492 Theramax SOFT LEAD 1 PR-D108</t>
  </si>
  <si>
    <t>493 Therasqu SOFT LEAD 1 PR-D109</t>
  </si>
  <si>
    <t>494 GR Lead SOFT LEAD 2 PR-D110</t>
  </si>
  <si>
    <t>495 SH-2 Lead SOFT LEAD 2 PR-D111</t>
  </si>
  <si>
    <t>496 SC ResoLead SOFT LEAD 3 PR-D112</t>
  </si>
  <si>
    <t>497 Modulated Ld SOFT LEAD 1 PR-D113</t>
  </si>
  <si>
    <t>498 Synthi Fizz SOFT LEAD 2 PR-D114</t>
  </si>
  <si>
    <t>499 Waspy Lead SOFT LEAD 1 PR-D115</t>
  </si>
  <si>
    <t>500 Pulstar Ld SOFT LEAD 1 PR-D116</t>
  </si>
  <si>
    <t>501 Naked Lead SOFT LEAD 1 PR-D117</t>
  </si>
  <si>
    <t>502 Alpha Spit SOFT LEAD 1 PR-D118</t>
  </si>
  <si>
    <t>503 Vliolin Lead SOFT LEAD 2 PR-D119</t>
  </si>
  <si>
    <t>504 Mod Lead SOFT LEAD 4 PR-D120</t>
  </si>
  <si>
    <t>505 JP Saw Lead SOFT LEAD 2 PR-D121</t>
  </si>
  <si>
    <t>506 Tristar SOFT LEAD 2 PR-D122</t>
  </si>
  <si>
    <t>507 Chubby Lead SOFT LEAD 2 PR-D123</t>
  </si>
  <si>
    <t>508 Sneaky Leady SOFT LEAD 2 PR-D124</t>
  </si>
  <si>
    <t>509 Shaku Lead SOFT LEAD 5 PR-D125</t>
  </si>
  <si>
    <t>510 Legato Tkno SOFT LEAD 1 PR-D126</t>
  </si>
  <si>
    <t>511 SCResoSaw Ld SOFT LEAD 2 PR-D127</t>
  </si>
  <si>
    <t>512 SliCed Lead SOFT LEAD 2 PR-D128</t>
  </si>
  <si>
    <t>513 Mini Growl SOFT LEAD 2 PR-E001</t>
  </si>
  <si>
    <t>514 Evangelized SOFT LEAD 2 PR-E002</t>
  </si>
  <si>
    <t>515 Air Lead SOFT LEAD 4 PR-E003</t>
  </si>
  <si>
    <t>516 Juno-D Maj7 TECHNO SYNTH 4 PR-E004</t>
  </si>
  <si>
    <t>517 Sweet House TECHNO SYNTH 4 PR-E005</t>
  </si>
  <si>
    <t>518 Periscope TECHNO SYNTH 4 PR-E006</t>
  </si>
  <si>
    <t>519 5th Voice TECHNO SYNTH 6 PR-E007</t>
  </si>
  <si>
    <t>520 HPF Sweep TECHNO SYNTH 2 PR-E008</t>
  </si>
  <si>
    <t>521 BPF Saw TECHNO SYNTH 4 PR-E009</t>
  </si>
  <si>
    <t>522 Moon Synth TECHNO SYNTH 2 PR-E010</t>
  </si>
  <si>
    <t>523 DelyResoSaws TECHNO SYNTH 2 PR-E011</t>
  </si>
  <si>
    <t>524 R-Trance TECHNO SYNTH 7 PR-E012</t>
  </si>
  <si>
    <t>525 Braatz... TECHNO SYNTH 6 PR-E013</t>
  </si>
  <si>
    <t>526 AllinOneRiff TECHNO SYNTH 7 PR-E014</t>
  </si>
  <si>
    <t>527 YZ Again TECHNO SYNTH 7 PR-E015</t>
  </si>
  <si>
    <t>528 Flazzy Lead TECHNO SYNTH 8 PR-E016</t>
  </si>
  <si>
    <t>529 Coffee Bee TECHNO SYNTH 2 PR-E017</t>
  </si>
  <si>
    <t>530 SC-303 TECHNO SYNTH 1 PR-E018</t>
  </si>
  <si>
    <t>531 Dance Saws TECHNO SYNTH 8 PR-E019</t>
  </si>
  <si>
    <t>532 AluminmWires TECHNO SYNTH 3 PR-E020</t>
  </si>
  <si>
    <t>533 Fred&amp;Barney TECHNO SYNTH 6 PR-E021</t>
  </si>
  <si>
    <t>534 Electrostars TECHNO SYNTH 4 PR-E022</t>
  </si>
  <si>
    <t>535 LoFiSequence TECHNO SYNTH 2 PR-E023</t>
  </si>
  <si>
    <t>536 MelodicDrums TECHNO SYNTH 2 PR-E024</t>
  </si>
  <si>
    <t>537 TB Wah TECHNO SYNTH 1 PR-E025</t>
  </si>
  <si>
    <t>538 Waving TB303 TECHNO SYNTH 3 PR-E026</t>
  </si>
  <si>
    <t>539 Digi Seq TECHNO SYNTH 3 PR-E027</t>
  </si>
  <si>
    <t>540 Seq Saw TECHNO SYNTH 1 PR-E028</t>
  </si>
  <si>
    <t>541 Reso Seq Saw TECHNO SYNTH 1 PR-E029</t>
  </si>
  <si>
    <t>542 DetuneSeqSaw TECHNO SYNTH 2 PR-E030</t>
  </si>
  <si>
    <t>543 Technotribe TECHNO SYNTH 2 PR-E031</t>
  </si>
  <si>
    <t>544 Teethy Grit TECHNO SYNTH 3 PR-E032</t>
  </si>
  <si>
    <t>545 Repertition TECHNO SYNTH 4 PR-E033</t>
  </si>
  <si>
    <t>546 Killerbeez TECHNO SYNTH 4 PR-E034</t>
  </si>
  <si>
    <t>547 Acid Lead TECHNO SYNTH 2 PR-E035</t>
  </si>
  <si>
    <t>548 Tranceformer TECHNO SYNTH 1 PR-E036</t>
  </si>
  <si>
    <t>549 Anadroid TECHNO SYNTH 1 PR-E037</t>
  </si>
  <si>
    <t>550 Shroomy TECHNO SYNTH 3 PR-E038</t>
  </si>
  <si>
    <t>551 Noize R us TECHNO SYNTH 2 PR-E039</t>
  </si>
  <si>
    <t>552 Beep Melodie TECHNO SYNTH 4 PR-E040</t>
  </si>
  <si>
    <t>553 Morpher TECHNO SYNTH 8 PR-E041</t>
  </si>
  <si>
    <t>554 Uni-G TECHNO SYNTH 2 PR-E042</t>
  </si>
  <si>
    <t>555 Power Synth TECHNO SYNTH 4 PR-E043</t>
  </si>
  <si>
    <t>556 Hoover Again TECHNO SYNTH 4 PR-E044</t>
  </si>
  <si>
    <t>557 Alpha Said.. TECHNO SYNTH 2 PR-E045</t>
  </si>
  <si>
    <t>558 Ravers Awake TECHNO SYNTH 2 PR-E046</t>
  </si>
  <si>
    <t>559 Tekno Gargle TECHNO SYNTH 2 PR-E047</t>
  </si>
  <si>
    <t>560 Tranceiver TECHNO SYNTH 4 PR-E048</t>
  </si>
  <si>
    <t>561 Techno Dream TECHNO SYNTH 4 PR-E049</t>
  </si>
  <si>
    <t>562 Techno Pizz TECHNO SYNTH 4 PR-E050</t>
  </si>
  <si>
    <t>563 VirtualHuman PULSATING 4 PR-E051</t>
  </si>
  <si>
    <t>564 Strobot PULSATING 2 PR-E052</t>
  </si>
  <si>
    <t>565 SC Strobe PULSATING 4 PR-E053</t>
  </si>
  <si>
    <t>566 Strobe X PULSATING 5 PR-E054</t>
  </si>
  <si>
    <t>567 Rhythmic 5th PULSATING 4 PR-E055</t>
  </si>
  <si>
    <t>568 Cell Pad PULSATING 3 PR-E056</t>
  </si>
  <si>
    <t>569 DarknessSide PULSATING 6 PR-E057</t>
  </si>
  <si>
    <t>570 Shape of X PULSATING 5 PR-E058</t>
  </si>
  <si>
    <t>571 Sonic Dance PULSATING 5 PR-E059</t>
  </si>
  <si>
    <t>572 ShapeURMusic PULSATING 5 PR-E060</t>
  </si>
  <si>
    <t>573 Synth Force PULSATING 4 PR-E061</t>
  </si>
  <si>
    <t>574 Trance Split PULSATING 2 PR-E062</t>
  </si>
  <si>
    <t>575 Step Trance PULSATING 1 PR-E063</t>
  </si>
  <si>
    <t>576 Chop Synth PULSATING 2 PR-E064</t>
  </si>
  <si>
    <t>577 Euro Teuro PULSATING 6 PR-E065</t>
  </si>
  <si>
    <t>578 Auto Trance PULSATING 2 PR-E066</t>
  </si>
  <si>
    <t>579 Eureggae PULSATING 2 PR-E067</t>
  </si>
  <si>
    <t>580 Sorry4theDLY PULSATING 2 PR-E068</t>
  </si>
  <si>
    <t>581 Beat Pad PULSATING 3 PR-E069</t>
  </si>
  <si>
    <t>582 TMT Seq Pad PULSATING 4 PR-E070</t>
  </si>
  <si>
    <t>583 ForYourBreak PULSATING 4 PR-E071</t>
  </si>
  <si>
    <t>584 HPF Slicer PULSATING 3 PR-E072</t>
  </si>
  <si>
    <t>585 Sliced Choir PULSATING 6 PR-E073</t>
  </si>
  <si>
    <t>586 Digi-Doo PULSATING 2 PR-E074</t>
  </si>
  <si>
    <t>587 PanningFrmnt PULSATING 2 PR-E075</t>
  </si>
  <si>
    <t>588 Dirty Beat PULSATING 7 PR-E076</t>
  </si>
  <si>
    <t>589 Electrons PULSATING 1 PR-E077</t>
  </si>
  <si>
    <t>590 Protons PULSATING 2 PR-E078</t>
  </si>
  <si>
    <t>591 Brisk Vortex PULSATING 3 PR-E079</t>
  </si>
  <si>
    <t>592 SC Throbulax PULSATING 2 PR-E080</t>
  </si>
  <si>
    <t>593 SC Lonizer PULSATING 4 PR-E081</t>
  </si>
  <si>
    <t>594 diGital Pad PULSATING 4 PR-E082</t>
  </si>
  <si>
    <t>595 StepPitShift PULSATING 2 PR-E083</t>
  </si>
  <si>
    <t>596 Pad Pulses PULSATING 3 PR-E084</t>
  </si>
  <si>
    <t>597 Seq-Pad 2 PULSATING 8 PR-E085</t>
  </si>
  <si>
    <t>598 DSP Chaos PULSATING 1 PR-E086</t>
  </si>
  <si>
    <t>599 Dancefloor PULSATING 4 PR-E087</t>
  </si>
  <si>
    <t>600 Minor Thirds PULSATING 2 PR-E088</t>
  </si>
  <si>
    <t>601 FX World PULSATING 2 PR-E089</t>
  </si>
  <si>
    <t>602 Mr. Fourier PULSATING 3 PR-E090</t>
  </si>
  <si>
    <t>603 Nu Trance X PULSATING 2 PR-E091</t>
  </si>
  <si>
    <t>604 Auto 5thSaws PULSATING 4 PR-E092</t>
  </si>
  <si>
    <t>605 Cross Talk PULSATING 1 PR-E093</t>
  </si>
  <si>
    <t>606 Reanimation PULSATING 2 PR-E094</t>
  </si>
  <si>
    <t>607 VoX Chopper PULSATING 2 PR-E095</t>
  </si>
  <si>
    <t>608 Trevor's Pad PULSATING 4 PR-E096</t>
  </si>
  <si>
    <t>609 Fantomas Pad PULSATING 5 PR-E097</t>
  </si>
  <si>
    <t>610 Jazzy Arps PULSATING 4 PR-E098</t>
  </si>
  <si>
    <t>611 Keep Running PULSATING 4 PR-E099</t>
  </si>
  <si>
    <t>612 Step In PULSATING 4 PR-E100</t>
  </si>
  <si>
    <t>613 Echo Echo PULSATING 8 PR-E101</t>
  </si>
  <si>
    <t>614 Keep going PULSATING 4 PR-E102</t>
  </si>
  <si>
    <t>615 Arposphere PULSATING 4 PR-E103</t>
  </si>
  <si>
    <t>616 Voco Riff PULSATING 4 PR-E104</t>
  </si>
  <si>
    <t>617 Pulsator PULSATING 4 PR-E105</t>
  </si>
  <si>
    <t>618 Motion Bass PULSATING 2 PR-E106</t>
  </si>
  <si>
    <t>619 Sine Magic PULSATING 3 PR-E107</t>
  </si>
  <si>
    <t>620 Juno-D Slice PULSATING 3 PR-E108</t>
  </si>
  <si>
    <t>621 Pulsatron PULSATING 4 PR-E109</t>
  </si>
  <si>
    <t>622 Mega Sync PULSATING 2 PR-E110</t>
  </si>
  <si>
    <t>623 Passing by SYNTH FX 4 PR-E111</t>
  </si>
  <si>
    <t>624 Lazer Points SYNTH FX 2 PR-E112</t>
  </si>
  <si>
    <t>625 Retro Sci-Fi SYNTH FX 4 PR-E113</t>
  </si>
  <si>
    <t>626 Magic Chime SYNTH FX 4 PR-E114</t>
  </si>
  <si>
    <t>627 SC Try This! SYNTH FX 3 PR-E115</t>
  </si>
  <si>
    <t>628 New Planetz SYNTH FX 4 PR-E116</t>
  </si>
  <si>
    <t>629 Jet Noise SYNTH FX 4 PR-E117</t>
  </si>
  <si>
    <t>630 Chaos 2003 SYNTH FX 4 PR-E118</t>
  </si>
  <si>
    <t>631 Control Room SYNTH FX 4 PR-E119</t>
  </si>
  <si>
    <t>632 OutOf sortz SYNTH FX 5 PR-E120</t>
  </si>
  <si>
    <t>633 Scatter SYNTH FX 7 PR-E121</t>
  </si>
  <si>
    <t>634 Low Beat-S SYNTH FX 5 PR-E122</t>
  </si>
  <si>
    <t>635 WaitnOutside SYNTH FX 2 PR-E123</t>
  </si>
  <si>
    <t>636 Breath Echo SYNTH FX 1 PR-E124</t>
  </si>
  <si>
    <t>637 SoundStrange SYNTH FX 3 PR-E125</t>
  </si>
  <si>
    <t>638 Cosmic Pulse SYNTH FX 2 PR-E126</t>
  </si>
  <si>
    <t>639 Faked Piano SYNTH FX 4 PR-E127</t>
  </si>
  <si>
    <t>640 SC Crystal SYNTH FX 2 PR-E128</t>
  </si>
  <si>
    <t>PR-F (Preset F Group)</t>
  </si>
  <si>
    <t>641 ResoSweep Dn SYNTH FX 1 PR-F001</t>
  </si>
  <si>
    <t>642 Zap B3 &amp; C4 SYNTH FX 1 PR-F002</t>
  </si>
  <si>
    <t>643 PolySweep Nz SYNTH FX 4 PR-F003</t>
  </si>
  <si>
    <t>644 Strange Land SYNTH FX 6 PR-F004</t>
  </si>
  <si>
    <t>645 S&amp;H Voc SYNTH FX 2 PR-F005</t>
  </si>
  <si>
    <t>646 12th Planet SYNTH FX 2 PR-F006</t>
  </si>
  <si>
    <t>647 Scare SYNTH FX 7 PR-F007</t>
  </si>
  <si>
    <t>648 Hillside SYNTH FX 1 PR-F008</t>
  </si>
  <si>
    <t>649 Mod Scanner SYNTH FX 2 PR-F009</t>
  </si>
  <si>
    <t>650 SoundOnSound SYNTH FX 1 PR-F010</t>
  </si>
  <si>
    <t>651 Gasp SYNTH FX 8 PR-F011</t>
  </si>
  <si>
    <t>652 ResoSweep Up SYNTH FX 1 PR-F012</t>
  </si>
  <si>
    <t>653 Magic Wave SYNTH FX 2 PR-F013</t>
  </si>
  <si>
    <t>654 Shangri-La SYNTH FX 5 PR-F014</t>
  </si>
  <si>
    <t>655 CerealKiller SYNTH FX 1 PR-F015</t>
  </si>
  <si>
    <t>656 Cosmic Drops SYNTH FX 1 PR-F016</t>
  </si>
  <si>
    <t>657 Space Echo SYNTH FX 4 PR-F017</t>
  </si>
  <si>
    <t>658 Robot Sci-Fi SYNTH FX 4 PR-F018</t>
  </si>
  <si>
    <t>659 Stacc Heaven OTHER SYNTH 4 PR-F019</t>
  </si>
  <si>
    <t>660 Juno Poly OTHER SYNTH 4 PR-F020</t>
  </si>
  <si>
    <t>661 DigitalDream OTHER SYNTH 2 PR-F021</t>
  </si>
  <si>
    <t>662 Jucy Saw OTHER SYNTH 3 PR-F022</t>
  </si>
  <si>
    <t>663 Cue Tip OTHER SYNTH 1 PR-F023</t>
  </si>
  <si>
    <t>664 Waspy Synth OTHER SYNTH 2 PR-F024</t>
  </si>
  <si>
    <t>665 TB-Sequence OTHER SYNTH 1 PR-F025</t>
  </si>
  <si>
    <t>666 Europe Xpres OTHER SYNTH 2 PR-F026</t>
  </si>
  <si>
    <t>667 Squeepy OTHER SYNTH 1 PR-F027</t>
  </si>
  <si>
    <t>668 DOC Stack OTHER SYNTH 2 PR-F028</t>
  </si>
  <si>
    <t>669 Sweep Lead OTHER SYNTH 2 PR-F029</t>
  </si>
  <si>
    <t>670 80s Saws 1 OTHER SYNTH 8 PR-F030</t>
  </si>
  <si>
    <t>671 80s Saws 2 OTHER SYNTH 6 PR-F031</t>
  </si>
  <si>
    <t>672 80s Saws 3 OTHER SYNTH 5 PR-F032</t>
  </si>
  <si>
    <t>673 Digitaless OTHER SYNTH 2 PR-F033</t>
  </si>
  <si>
    <t>674 Flip Pad OTHER SYNTH 3 PR-F034</t>
  </si>
  <si>
    <t>675 Short Detune OTHER SYNTH 2 PR-F035</t>
  </si>
  <si>
    <t>676 forSequence OTHER SYNTH 2 PR-F036</t>
  </si>
  <si>
    <t>677 Memory Pluck OTHER SYNTH 2 PR-F037</t>
  </si>
  <si>
    <t>678 Metalic Bass OTHER SYNTH 2 PR-F038</t>
  </si>
  <si>
    <t>679 Aqua OTHER SYNTH 2 PR-F039</t>
  </si>
  <si>
    <t>680 Big Planet OTHER SYNTH 2 PR-F040</t>
  </si>
  <si>
    <t>681 Wet Atax OTHER SYNTH 2 PR-F041</t>
  </si>
  <si>
    <t>682 Houze Clavi OTHER SYNTH 2 PR-F042</t>
  </si>
  <si>
    <t>683 SuperSawSlow OTHER SYNTH 2 PR-F043</t>
  </si>
  <si>
    <t>684 Cell Trance OTHER SYNTH 3 PR-F044</t>
  </si>
  <si>
    <t>685 Trancy X OTHER SYNTH 4 PR-F045</t>
  </si>
  <si>
    <t>686 Trancy Synth OTHER SYNTH 2 PR-F046</t>
  </si>
  <si>
    <t>687 Juno Trnce OTHER SYNTH 4 PR-F047</t>
  </si>
  <si>
    <t>688 Saw Stack OTHER SYNTH 2 PR-F048</t>
  </si>
  <si>
    <t>689 Frgile Saws OTHER SYNTH 2 PR-F049</t>
  </si>
  <si>
    <t>690 Steamed Sawz OTHER SYNTH 2 PR-F050</t>
  </si>
  <si>
    <t>691 RAVtune OTHER SYNTH 2 PR-F051</t>
  </si>
  <si>
    <t>692 Bustranza OTHER SYNTH 2 PR-F052</t>
  </si>
  <si>
    <t>693 AftTch Ji-n OTHER SYNTH 2 PR-F053</t>
  </si>
  <si>
    <t>694 JP OctAttack OTHER SYNTH 2 PR-F054</t>
  </si>
  <si>
    <t>695 Oct Unison OTHER SYNTH 6 PR-F055</t>
  </si>
  <si>
    <t>696 Xtatic OTHER SYNTH 4 PR-F056</t>
  </si>
  <si>
    <t>697 Dirty Combo OTHER SYNTH 2 PR-F057</t>
  </si>
  <si>
    <t>698 FM's Attack OTHER SYNTH 3 PR-F058</t>
  </si>
  <si>
    <t>699 Digi-vox Syn OTHER SYNTH 1 PR-F059</t>
  </si>
  <si>
    <t>700 Fairy Factor OTHER SYNTH 6 PR-F060</t>
  </si>
  <si>
    <t>701 Tempest OTHER SYNTH 2 PR-F061</t>
  </si>
  <si>
    <t>702 X-Racer OTHER SYNTH 2 PR-F062</t>
  </si>
  <si>
    <t>703 TB Booster OTHER SYNTH 2 PR-F063</t>
  </si>
  <si>
    <t>704 Syn-Orch/Mod OTHER SYNTH 4 PR-F064</t>
  </si>
  <si>
    <t>705 Pressyn OTHER SYNTH 2 PR-F065</t>
  </si>
  <si>
    <t>706 High Five OTHER SYNTH 2 PR-F066</t>
  </si>
  <si>
    <t>707 4DaCommonManOTHER SYNTH 4 PR-F067</t>
  </si>
  <si>
    <t>708 Orgaenia OTHER SYNTH 5 PR-F068</t>
  </si>
  <si>
    <t>709 Sleeper OTHER SYNTH 4 PR-F069</t>
  </si>
  <si>
    <t>710 Sugar Synth OTHER SYNTH 5 PR-F070</t>
  </si>
  <si>
    <t>711 Ice Palace OTHER SYNTH 4 PR-F071</t>
  </si>
  <si>
    <t>712 Story Harp OTHER SYNTH 7 PR-F072</t>
  </si>
  <si>
    <t>713 LostParadise OTHER SYNTH 5 PR-F073</t>
  </si>
  <si>
    <t>714 Magnetic 5th OTHER SYNTH 2 PR-F074</t>
  </si>
  <si>
    <t>715 DigimaX OTHER SYNTH 2 PR-F075</t>
  </si>
  <si>
    <t>716 Exhale OTHER SYNTH 2 PR-F076</t>
  </si>
  <si>
    <t>717 X-panda OTHER SYNTH 2 PR-F077</t>
  </si>
  <si>
    <t>718 Saw Keystep OTHER SYNTH 2 PR-F078</t>
  </si>
  <si>
    <t>719 4mant Cycle OTHER SYNTH 1 PR-F079</t>
  </si>
  <si>
    <t>720 Modular OTHER SYNTH 2 PR-F080</t>
  </si>
  <si>
    <t>721 Angel Pipes OTHER SYNTH 2 PR-F081</t>
  </si>
  <si>
    <t>722 Wired Synth OTHER SYNTH 8 PR-F082</t>
  </si>
  <si>
    <t>723 Analog Dream OTHER SYNTH 3 PR-F083</t>
  </si>
  <si>
    <t>724 DCO Bell Pad OTHER SYNTH 4 PR-F084</t>
  </si>
  <si>
    <t>725 Cell Fanta OTHER SYNTH 3 PR-F085</t>
  </si>
  <si>
    <t>726 Juno 5th OTHER SYNTH 2 PR-F086</t>
  </si>
  <si>
    <t>727 DoubleBubble OTHER SYNTH 4 PR-F087</t>
  </si>
  <si>
    <t>728 Cell Comb BRIGHT PAD 3 PR-F088</t>
  </si>
  <si>
    <t>729 Super SynStr BRIGHT PAD 2 PR-F089</t>
  </si>
  <si>
    <t>730 80s Str BRIGHT PAD 8 PR-F090</t>
  </si>
  <si>
    <t>731 PhaseStrings BRIGHT PAD 2 PR-F091</t>
  </si>
  <si>
    <t>732 Voyager BRIGHT PAD 4 PR-F092</t>
  </si>
  <si>
    <t>733 Cosmic Rays BRIGHT PAD 4 PR-F093</t>
  </si>
  <si>
    <t>734 Stringship BRIGHT PAD 4 PR-F094</t>
  </si>
  <si>
    <t>735 Fat Stacks BRIGHT PAD 4 PR-F095</t>
  </si>
  <si>
    <t>736 Strings R Us BRIGHT PAD 2 PR-F096</t>
  </si>
  <si>
    <t>737 Electric Pad BRIGHT PAD 3 PR-F097</t>
  </si>
  <si>
    <t>738 Neo RS-202 BRIGHT PAD 2 PR-F098</t>
  </si>
  <si>
    <t>739 OB Rezo Pad BRIGHT PAD 3 PR-F099</t>
  </si>
  <si>
    <t>740 Synthi Ens BRIGHT PAD 4 PR-F100</t>
  </si>
  <si>
    <t>741 Giant Sweep BRIGHT PAD 2 PR-F101</t>
  </si>
  <si>
    <t>742 Mod Dare BRIGHT PAD 4 PR-F102</t>
  </si>
  <si>
    <t>743 Cell Space BRIGHT PAD 4 PR-F103</t>
  </si>
  <si>
    <t>744 Digi-Swell BRIGHT PAD 3 PR-F104</t>
  </si>
  <si>
    <t>745 Sonic Surfer BRIGHT PAD 2 PR-F105</t>
  </si>
  <si>
    <t>746 New Year Day BRIGHT PAD 4 PR-F106</t>
  </si>
  <si>
    <t>747 Polar Morn BRIGHT PAD 4 PR-F107</t>
  </si>
  <si>
    <t>748 Distant Sun BRIGHT PAD 4 PR-F108</t>
  </si>
  <si>
    <t>749 PG Chimes BRIGHT PAD 4 PR-F109</t>
  </si>
  <si>
    <t>750 Saturn Rings BRIGHT PAD 4 PR-F110</t>
  </si>
  <si>
    <t>751 Brusky BRIGHT PAD 4 PR-F111</t>
  </si>
  <si>
    <t>752 "2 Point 2" BRIGHT PAD 7 PR-F112</t>
  </si>
  <si>
    <t>753 2.2 Pad BRIGHT PAD 7 PR-F113</t>
  </si>
  <si>
    <t>754 two.two Pad BRIGHT PAD 4 PR-F114</t>
  </si>
  <si>
    <t>755 SaturnHolida BRIGHT PAD 2 PR-F115</t>
  </si>
  <si>
    <t>756 Neuro-Drone BRIGHT PAD 7 PR-F116</t>
  </si>
  <si>
    <t>757 In The Pass BRIGHT PAD 3 PR-F117</t>
  </si>
  <si>
    <t>758 Polar Night BRIGHT PAD 4 PR-F118</t>
  </si>
  <si>
    <t>759 Cell 5th BRIGHT PAD 3 PR-F119</t>
  </si>
  <si>
    <t>760 MistOver5ths BRIGHT PAD 4 PR-F120</t>
  </si>
  <si>
    <t>761 Gritty Pad BRIGHT PAD 1 PR-F121</t>
  </si>
  <si>
    <t>762 India Garden BRIGHT PAD 6 PR-F122</t>
  </si>
  <si>
    <t>763 BillionStars BRIGHT PAD 4 PR-F123</t>
  </si>
  <si>
    <t>764 Sand Pad BRIGHT PAD 2 PR-F124</t>
  </si>
  <si>
    <t>765 ReverseSweep BRIGHT PAD 2 PR-F125</t>
  </si>
  <si>
    <t>766 HugeSoundMod BRIGHT PAD 4 PR-F126</t>
  </si>
  <si>
    <t>767 Metal Swell BRIGHT PAD 5 PR-F127</t>
  </si>
  <si>
    <t>768 NuSoundtrack BRIGHT PAD 4 PR-F128</t>
  </si>
  <si>
    <t>PR-G (Preset G Group)</t>
  </si>
  <si>
    <t>769 Phat Strings BRIGHT PAD 4 PR-G001</t>
  </si>
  <si>
    <t>770 Soft OB Pad SOFT PAD 3 PR-G002</t>
  </si>
  <si>
    <t>771 SC Hollow SOFT PAD 4 PR-G003</t>
  </si>
  <si>
    <t>772 SC Sqr Pad SOFT PAD 4 PR-G004</t>
  </si>
  <si>
    <t>773 Silk Pad SOFT PAD 3 PR-G005</t>
  </si>
  <si>
    <t>774 WarmReso Pad SOFT PAD 2 PR-G006</t>
  </si>
  <si>
    <t>775 SC Soft Pad SOFT PAD 3 PR-G007</t>
  </si>
  <si>
    <t>776 Air Pad SOFT PAD 4 PR-G008</t>
  </si>
  <si>
    <t>777 Soft Breeze SOFT PAD 2 PR-G009</t>
  </si>
  <si>
    <t>778 JP Strings 1 SOFT PAD 3 PR-G010</t>
  </si>
  <si>
    <t>779 JP Strings 2 SOFT PAD 5 PR-G011</t>
  </si>
  <si>
    <t>780 DelayStrings SOFT PAD 3 PR-G012</t>
  </si>
  <si>
    <t>781 NorthStrings SOFT PAD 4 PR-G013</t>
  </si>
  <si>
    <t>782 SC Syn Str SOFT PAD 5 PR-G014</t>
  </si>
  <si>
    <t>783 Slow Saw Str SOFT PAD 2 PR-G015</t>
  </si>
  <si>
    <t>784 Syn Strings SOFT PAD 2 PR-G016</t>
  </si>
  <si>
    <t>785 OB Slow Str SOFT PAD 2 PR-G017</t>
  </si>
  <si>
    <t>786 Strings Pad SOFT PAD 2 PR-G018</t>
  </si>
  <si>
    <t>787 R&amp;B SoftPad SOFT PAD 2 PR-G019</t>
  </si>
  <si>
    <t>788 Reso Pad SOFT PAD 3 PR-G020</t>
  </si>
  <si>
    <t>789 Phat Pad SOFT PAD 2 PR-G021</t>
  </si>
  <si>
    <t>790 SC PhaserPad SOFT PAD 2 PR-G022</t>
  </si>
  <si>
    <t>791 Mystic Str SOFT PAD 5 PR-G023</t>
  </si>
  <si>
    <t>792 Glass Organ SOFT PAD 3 PR-G024</t>
  </si>
  <si>
    <t>793 Wind Pad SOFT PAD 4 PR-G025</t>
  </si>
  <si>
    <t>794 Combination SOFT PAD 4 PR-G026</t>
  </si>
  <si>
    <t>795 HumanKindnes SOFT PAD 4 PR-G027</t>
  </si>
  <si>
    <t>796 BeautyPad SOFT PAD 4 PR-G028</t>
  </si>
  <si>
    <t>797 Atmospherics SOFT PAD 2 PR-G029</t>
  </si>
  <si>
    <t>798 Terra Nostra SOFT PAD 8 PR-G030</t>
  </si>
  <si>
    <t>799 OB Aaahs SOFT PAD 4 PR-G031</t>
  </si>
  <si>
    <t>800 Vulcano Pad SOFT PAD 5 PR-G032</t>
  </si>
  <si>
    <t>801 Cloud #9 SOFT PAD 3 PR-G033</t>
  </si>
  <si>
    <t>802 Organic Pad SOFT PAD 3 PR-G034</t>
  </si>
  <si>
    <t>803 Hum Pad SOFT PAD 4 PR-G035</t>
  </si>
  <si>
    <t>804 Vox Pad SOFT PAD 4 PR-G036</t>
  </si>
  <si>
    <t>805 Digital Aahs SOFT PAD 3 PR-G037</t>
  </si>
  <si>
    <t>806 Tri 5th Pad SOFT PAD 4 PR-G038</t>
  </si>
  <si>
    <t>807 SC MovinPad SOFT PAD 8 PR-G039</t>
  </si>
  <si>
    <t>808 Seq-Pad 1 SOFT PAD 8 PR-G040</t>
  </si>
  <si>
    <t>809 Follow SOFT PAD 2 PR-G041</t>
  </si>
  <si>
    <t>810 Consolament SOFT PAD 3 PR-G042</t>
  </si>
  <si>
    <t>811 Spacious Pad SOFT PAD 4 PR-G043</t>
  </si>
  <si>
    <t>812 JD Pop Pad SOFT PAD 3 PR-G044</t>
  </si>
  <si>
    <t>813 JP-8 Phase SOFT PAD 4 PR-G045</t>
  </si>
  <si>
    <t>814 Nu Epic Pad SOFT PAD 2 PR-G046</t>
  </si>
  <si>
    <t>815 Forever SOFT PAD 5 PR-G047</t>
  </si>
  <si>
    <t>816 Flange Dream SOFT PAD 4 PR-G048</t>
  </si>
  <si>
    <t>817 Evolution X SOFT PAD 2 PR-G049</t>
  </si>
  <si>
    <t>818 Heaven Pad SOFT PAD 3 PR-G050</t>
  </si>
  <si>
    <t>819 Angelis Pad SOFT PAD 4 PR-G051</t>
  </si>
  <si>
    <t>820 Juno-106 Str SOFT PAD 1 PR-G052</t>
  </si>
  <si>
    <t>821 JupiterMoves SOFT PAD 2 PR-G053</t>
  </si>
  <si>
    <t>822 Oceanic Pad SOFT PAD 2 PR-G054</t>
  </si>
  <si>
    <t>823 Fairy's Song SOFT PAD 4 PR-G055</t>
  </si>
  <si>
    <t>824 Borealis SOFT PAD 2 PR-G056</t>
  </si>
  <si>
    <t>825 JX Warm Pad SOFT PAD 2 PR-G057</t>
  </si>
  <si>
    <t>826 Analog Bgrnd SOFT PAD 3 PR-G058</t>
  </si>
  <si>
    <t>827 Choir Aahs 1 VOX 4 PR-G059</t>
  </si>
  <si>
    <t>828 Choir Aahs 2 VOX 4 PR-G060</t>
  </si>
  <si>
    <t>829 ChoirOoh/Aft VOX 4 PR-G061</t>
  </si>
  <si>
    <t>830 Angels Choir VOX 4 PR-G062</t>
  </si>
  <si>
    <t>831 Angelique VOX 4 PR-G063</t>
  </si>
  <si>
    <t>832 Gospel Oohs VOX 2 PR-G064</t>
  </si>
  <si>
    <t>833 Choir&amp;Str VOX 7 PR-G065</t>
  </si>
  <si>
    <t>834 Aah Vox VOX 2 PR-G066</t>
  </si>
  <si>
    <t>835 Synvox VOX 2 PR-G067</t>
  </si>
  <si>
    <t>836 Uhmmm VOX 8 PR-G068</t>
  </si>
  <si>
    <t>837 Morning Star VOX 3 PR-G069</t>
  </si>
  <si>
    <t>838 Syn Opera VOX 4 PR-G070</t>
  </si>
  <si>
    <t>839 BeautifulOne VOX 4 PR-G071</t>
  </si>
  <si>
    <t>840 Ooze VOX 2 PR-G072</t>
  </si>
  <si>
    <t>841 Aerial Choir VOX 4 PR-G073</t>
  </si>
  <si>
    <t>842 3D Vox VOX 3 PR-G074</t>
  </si>
  <si>
    <t>843 Film Cue VOX 4 PR-G075</t>
  </si>
  <si>
    <t>844 Paradise VOX 4 PR-G076</t>
  </si>
  <si>
    <t>845 Sad ceremony VOX 8 PR-G077</t>
  </si>
  <si>
    <t>846 Lost Voices VOX 4 PR-G078</t>
  </si>
  <si>
    <t>847 Jazz Doos VOX 4 PR-G079</t>
  </si>
  <si>
    <t>848 Beat Vox VOX 1 PR-G080</t>
  </si>
  <si>
    <t>849 Talk 2 Me VOX 2 PR-G081</t>
  </si>
  <si>
    <t>850 FM Vox VOX 4 PR-G082</t>
  </si>
  <si>
    <t>851 Let's Talk! VOX 3 PR-G083</t>
  </si>
  <si>
    <t>852 Nice Kalimba PLUCKED 1 PR-G084</t>
  </si>
  <si>
    <t>853 Quiet River PLUCKED 4 PR-G085</t>
  </si>
  <si>
    <t>854 Teky Drop PLUCKED 4 PR-G086</t>
  </si>
  <si>
    <t>855 Pat is away PLUCKED 5 PR-G087</t>
  </si>
  <si>
    <t>856 SC Sitar 1 PLUCKED 4 PR-G088</t>
  </si>
  <si>
    <t>857 SC Sitar 2 PLUCKED 5 PR-G089</t>
  </si>
  <si>
    <t>858 Sitar on C PLUCKED 6 PR-G090</t>
  </si>
  <si>
    <t>859 Sitar Baby PLUCKED 1 PR-G091</t>
  </si>
  <si>
    <t>860 Elec Sitar PLUCKED 3 PR-G092</t>
  </si>
  <si>
    <t>861 Neo Sitar PLUCKED 2 PR-G093</t>
  </si>
  <si>
    <t>862 SaraswatiRvr PLUCKED 3 PR-G094</t>
  </si>
  <si>
    <t>863 Bosporus PLUCKED 3 PR-G095</t>
  </si>
  <si>
    <t>864 Santur Stack PLUCKED 4 PR-G096</t>
  </si>
  <si>
    <t>865 Aerial Harp PLUCKED 2 PR-G097</t>
  </si>
  <si>
    <t>866 Harpiness PLUCKED 2 PR-G098</t>
  </si>
  <si>
    <t>867 Skydiver PLUCKED 2 PR-G099</t>
  </si>
  <si>
    <t>868 TroubadorEns PLUCKED 4 PR-G100</t>
  </si>
  <si>
    <t>869 Jamisen PLUCKED 2 PR-G101</t>
  </si>
  <si>
    <t>870 Koto PLUCKED 8 PR-G102</t>
  </si>
  <si>
    <t>871 Monsoon PLUCKED 4 PR-G103</t>
  </si>
  <si>
    <t>872 Bend Koto PLUCKED 2 PR-G104</t>
  </si>
  <si>
    <t>873 LongDistance ETHNIC 1 PR-G105</t>
  </si>
  <si>
    <t>874 Ambi Shaku ETHNIC 3 PR-G106</t>
  </si>
  <si>
    <t>875 SC Lochscape ETHNIC 2 PR-G107</t>
  </si>
  <si>
    <t>876 SC PipeDream ETHNIC 4 PR-G108</t>
  </si>
  <si>
    <t>877 SC Far East ETHNIC 4 PR-G109</t>
  </si>
  <si>
    <t>878 Banjo FRETTED 2 PR-G110</t>
  </si>
  <si>
    <t>879 Timpani+Low PERCUSSION 4 PR-G111</t>
  </si>
  <si>
    <t>880 Timpani Roll PERCUSSION 2 PR-G112</t>
  </si>
  <si>
    <t>881 Bass Drum PERCUSSION 4 PR-G113</t>
  </si>
  <si>
    <t>882 Ambidextrous SOUND FX 2 PR-G114</t>
  </si>
  <si>
    <t>883 En-co-re SOUND FX 4 PR-G115</t>
  </si>
  <si>
    <t>884 Mobile Phone SOUND FX 1 PR-G116</t>
  </si>
  <si>
    <t>885 ElectroDisco BEAT&amp;GROOVE 5 PR-G117</t>
  </si>
  <si>
    <t>886 Groove 007 BEAT&amp;GROOVE 4 PR-G118</t>
  </si>
  <si>
    <t>887 In Da Groove BEAT&amp;GROOVE 4 PR-G119</t>
  </si>
  <si>
    <t>888 Sweet 80s BEAT&amp;GROOVE 4 PR-G120</t>
  </si>
  <si>
    <t>889 Autotrance BEAT&amp;GROOVE 4 PR-G121</t>
  </si>
  <si>
    <t>890 Juno Pop BEAT&amp;GROOVE 4 PR-G122</t>
  </si>
  <si>
    <t>891 Compusonic 1 BEAT&amp;GROOVE 4 PR-G123</t>
  </si>
  <si>
    <t>892 Compusonic 2 BEAT&amp;GROOVE 4 PR-G124</t>
  </si>
  <si>
    <t>893 80s Combo COMBINATION 3 PR-G125</t>
  </si>
  <si>
    <t>894 Analog Days COMBINATION 3 PR-G126</t>
  </si>
  <si>
    <t>895 Techno Craft COMBINATION 3 PR-G127</t>
  </si>
  <si>
    <t>896 Lounge Kit COMBINATION 2 PR-G128</t>
  </si>
  <si>
    <t>CARD</t>
  </si>
  <si>
    <t>001 UltimatGrand 2 AC.PIANO</t>
  </si>
  <si>
    <t>002 Strobot 2 PULSATING</t>
  </si>
  <si>
    <t>003 Full Strings 4 STRINGS</t>
  </si>
  <si>
    <t>004 The VorteX 2 SYNTH FX</t>
  </si>
  <si>
    <t>005 Purple Organ 5 ORGAN</t>
  </si>
  <si>
    <t>006 X Brs Sect 1 6 AC.BRASS</t>
  </si>
  <si>
    <t>007 FlamencoGt X 3 AC.GUITAR</t>
  </si>
  <si>
    <t>008 * EuroPhrSeq 6 BEAT&amp;GROOVE</t>
  </si>
  <si>
    <t>009 SquareSphere 2 PULSATING</t>
  </si>
  <si>
    <t>010 HimalayaThaw 4 BELL</t>
  </si>
  <si>
    <t>011 Nu RnB Bass 1 SYNTH BASS</t>
  </si>
  <si>
    <t>012 Killerbeez 4 TECHNO SYNTH</t>
  </si>
  <si>
    <t>013 Angel Pipes 2 OTHER SYNTH</t>
  </si>
  <si>
    <t>014 GTR Heroes 5 DIST.GUITAR</t>
  </si>
  <si>
    <t>015 Symphonika 8 ORCHESTRA</t>
  </si>
  <si>
    <t>016 Cut Thru Wah 2 EL.GUITAR</t>
  </si>
  <si>
    <t>017 Mr. Nasty 2 SYNTH BASS</t>
  </si>
  <si>
    <t>018 ParisRomance 4 ACCORDION</t>
  </si>
  <si>
    <t>019 Spr SideBand 6 BRIGHT PAD</t>
  </si>
  <si>
    <t>020 Tre EP 5 EL.PIANO</t>
  </si>
  <si>
    <t>021 Epic Lead 2 HARD LEAD</t>
  </si>
  <si>
    <t>022 Motion Pad 4 SOFT PAD</t>
  </si>
  <si>
    <t>023 VKHold4Speed 4 ORGAN</t>
  </si>
  <si>
    <t>024 Double Track 2 EL.GUITAR</t>
  </si>
  <si>
    <t>025 Nylon Gtr VS 2 AC.GUITAR</t>
  </si>
  <si>
    <t>026 AirPluck 4 MALLET</t>
  </si>
  <si>
    <t>027 Nu RnB Saw 1 4 SYNTH BASS</t>
  </si>
  <si>
    <t>028 X Finger Bs2 2 BASS</t>
  </si>
  <si>
    <t>029 SolarPleXus 2 SYNTH FX</t>
  </si>
  <si>
    <t>030 Arie Piano 4 AC.PIANO</t>
  </si>
  <si>
    <t>031 StellarTreck 4 PULSATING</t>
  </si>
  <si>
    <t>032 Larsen /Aft 2 DIST.GUITAR</t>
  </si>
  <si>
    <t>033 Moody Tron 3 STRINGS</t>
  </si>
  <si>
    <t>034 Magic Wave 2 SYNTH FX</t>
  </si>
  <si>
    <t>035 DigimaX 2 OTHER SYNTH</t>
  </si>
  <si>
    <t>036 X Perc Organ 3 ORGAN</t>
  </si>
  <si>
    <t>037 Mini Growl 2 SOFT LEAD</t>
  </si>
  <si>
    <t>038 Snappy Clav 2 KEYBOARDS</t>
  </si>
  <si>
    <t>039 Staccato VS 4 STRINGS</t>
  </si>
  <si>
    <t>040 Life-on 4 BRIGHT PAD</t>
  </si>
  <si>
    <t>041 Powerline 2 SYNTH BASS</t>
  </si>
  <si>
    <t>042 Disto Stab ! 5 HIT&amp;STAB</t>
  </si>
  <si>
    <t>043 Piano Oz 4 AC.PIANO</t>
  </si>
  <si>
    <t>044 Space &amp; Time 4 PULSATING</t>
  </si>
  <si>
    <t>045 Cello 1 STRINGS</t>
  </si>
  <si>
    <t>046 CerealKiller 1 SYNTH FX</t>
  </si>
  <si>
    <t>047 EP Belle 3 EL.PIANO</t>
  </si>
  <si>
    <t>048 Trancy X 4 OTHER SYNTH</t>
  </si>
  <si>
    <t>049 HimalayaPipe 4 FLUTE</t>
  </si>
  <si>
    <t>050 JP8000 Brass 7 SYNTH BRASS</t>
  </si>
  <si>
    <t>051 WithALtlHelp 5 AC.GUITAR</t>
  </si>
  <si>
    <t>052 Strobe X 5 PULSATING</t>
  </si>
  <si>
    <t>053 Trancepire 1 TECHNO SYNTH</t>
  </si>
  <si>
    <t>054 TubyRuesday 2 BELL</t>
  </si>
  <si>
    <t>055 Exhale 2 OTHER SYNTH</t>
  </si>
  <si>
    <t>056 Searing COSM 2 DIST.GUITAR</t>
  </si>
  <si>
    <t>057 Follow 2 SOFT PAD</t>
  </si>
  <si>
    <t>058 Grand Pipe 3 ORGAN</t>
  </si>
  <si>
    <t>059 Sad ceremony 8 VOX</t>
  </si>
  <si>
    <t>060 BodyElectric 3 HARD LEAD</t>
  </si>
  <si>
    <t>061 Doubled Bass 3 BASS</t>
  </si>
  <si>
    <t>062 Xtrem Sine 1 SOFT LEAD</t>
  </si>
  <si>
    <t>063 Mod Chord 2 HIT&amp;STAB</t>
  </si>
  <si>
    <t>064 Filament 5 SYNTH BASS</t>
  </si>
  <si>
    <t>065 SuperSawSlow 2 OTHER SYNTH</t>
  </si>
  <si>
    <t>066 FS Wurly 2 EL.PIANO</t>
  </si>
  <si>
    <t>067 Mash Pad 5 BRIGHT PAD</t>
  </si>
  <si>
    <t>068 Vocastic 8 PULSATING</t>
  </si>
  <si>
    <t>069 Bon Voyage 3 HARD LEAD</t>
  </si>
  <si>
    <t>070 Visionary 4 BRIGHT PAD</t>
  </si>
  <si>
    <t>071 So true... 2 AC.PIANO</t>
  </si>
  <si>
    <t>072 Are U ready? 4 PULSATING</t>
  </si>
  <si>
    <t>073 Mellow Tron 3 STRINGS</t>
  </si>
  <si>
    <t>074 Shangri-La 5 SYNTH FX</t>
  </si>
  <si>
    <t>075 BluesHrp V/S 1 HARMONICA</t>
  </si>
  <si>
    <t>076 EuronalSynth 2 SOFT LEAD</t>
  </si>
  <si>
    <t>077 Alto Sax 1 SAX</t>
  </si>
  <si>
    <t>078 SBF Nozer 2 TECHNO SYNTH</t>
  </si>
  <si>
    <t>079 Nu Romance 4 OTHER SYNTH</t>
  </si>
  <si>
    <t>080 Ring Worldz 2 BRIGHT PAD</t>
  </si>
  <si>
    <t>081 Rezo Sync 3 HARD LEAD</t>
  </si>
  <si>
    <t>082 Over-D6 3 KEYBOARDS</t>
  </si>
  <si>
    <t>083 Orange Skin 4 HIT&amp;STAB</t>
  </si>
  <si>
    <t>084 Atk Flute 2 FLUTE</t>
  </si>
  <si>
    <t>085 * FiestaBeat 4 BEAT&amp;GROOVE</t>
  </si>
  <si>
    <t>086 Lounge Kit 2 COMBINATION</t>
  </si>
  <si>
    <t>087 Galaxadin 2 PULSATING</t>
  </si>
  <si>
    <t>088 Tornrubber 2 SYNTH BASS</t>
  </si>
  <si>
    <t>089 Comp Stl Gtr 2 AC.GUITAR</t>
  </si>
  <si>
    <t>090 Pop Brs Stac 2 AC.BRASS</t>
  </si>
  <si>
    <t>091 Sweet House 4 TECHNO SYNTH</t>
  </si>
  <si>
    <t>092 Celebrated 4 SYNTH FX</t>
  </si>
  <si>
    <t>093 Digitvox 2 BRIGHT PAD</t>
  </si>
  <si>
    <t>094 Viola 3 STRINGS</t>
  </si>
  <si>
    <t>095 Optik’Synth 2 HARD LEAD</t>
  </si>
  <si>
    <t>096 Crystal EP 2 EL.PIANO</t>
  </si>
  <si>
    <t>097 xcultural 3 COMBINATION</t>
  </si>
  <si>
    <t>098 Control Room 4 SYNTH FX</t>
  </si>
  <si>
    <t>099 Pearly Harp 4 PLUCKED</t>
  </si>
  <si>
    <t>100 Machine Str 2 STRINGS</t>
  </si>
  <si>
    <t>101 X Mute Bass 2 BASS</t>
  </si>
  <si>
    <t>102 Bass Drive 3 SYNTH BASS</t>
  </si>
  <si>
    <t>103 Dance Steam 2 HIT&amp;STAB</t>
  </si>
  <si>
    <t>104 Riven Pad 5 SOFT PAD</t>
  </si>
  <si>
    <t>105 Vint Clavier 3 OTHER SYNTH</t>
  </si>
  <si>
    <t>106 Jazz Guitar 1 EL.GUITAR</t>
  </si>
  <si>
    <t>107 When I’m 64 2 COMBINATION</t>
  </si>
  <si>
    <t>108 SideBandBell 4 BELL</t>
  </si>
  <si>
    <t>109 D n’ Bass 1 SYNTH BASS</t>
  </si>
  <si>
    <t>110 La Seine 4 ACCORDION</t>
  </si>
  <si>
    <t>111 InfinitePhsr 6 BRIGHT PAD</t>
  </si>
  <si>
    <t>112 Wired Synth 8 OTHER SYNTH</t>
  </si>
  <si>
    <t>113 5th Pad X 5 SOFT PAD</t>
  </si>
  <si>
    <t>114 FS SoapOpera 1 ORGAN</t>
  </si>
  <si>
    <t>115 NylonGt /HO 1 AC.GUITAR</t>
  </si>
  <si>
    <t>116 Dark Grand 4 AC.PIANO</t>
  </si>
  <si>
    <t>117 Auto Sync 2 PULSATING</t>
  </si>
  <si>
    <t>118 Film Cue 4 VOX</t>
  </si>
  <si>
    <t>119 Violin 1 STRINGS</t>
  </si>
  <si>
    <t>120 Minty Fresh 3 PULSATING</t>
  </si>
  <si>
    <t>121 StakDraw Org 4 ORGAN</t>
  </si>
  <si>
    <t>122 F.Horns Sect 3 AC.BRASS</t>
  </si>
  <si>
    <t>123 Wind &amp; Str 1 7 ORCHESTRA</t>
  </si>
  <si>
    <t>124 FS 12str Gtr 3 AC.GUITAR</t>
  </si>
  <si>
    <t>125 Comp Picker 2 BASS</t>
  </si>
  <si>
    <t>126 eXisDance 4 PULSATING</t>
  </si>
  <si>
    <t>127 Dreaming Box 4 BELL</t>
  </si>
  <si>
    <t>128 Andes Mood 1 FLUTE</t>
  </si>
  <si>
    <t>129 Dust Bass 4 SYNTH BASS</t>
  </si>
  <si>
    <t>130 Survivoz 4 BRIGHT PAD</t>
  </si>
  <si>
    <t>131 Backing PhEP 2 EL.PIANO</t>
  </si>
  <si>
    <t>132 Tutti 8 HIT&amp;STAB</t>
  </si>
  <si>
    <t>133 ActualAnalog 2 HARD LEAD</t>
  </si>
  <si>
    <t>134 TrnsSweepPad 6 SOFT PAD</t>
  </si>
  <si>
    <t>135 Ivan’s 4 TECHNO SYNTH</t>
  </si>
  <si>
    <t>136 Triple X 2 OTHER SYNTH</t>
  </si>
  <si>
    <t>137 DelicatePizz 4 STRINGS</t>
  </si>
  <si>
    <t>138 SubOscar 3 SYNTH BASS</t>
  </si>
  <si>
    <t>139 FS Sitar 1 4 PLUCKED</t>
  </si>
  <si>
    <t>140 Punker 1 2 DIST.GUITAR</t>
  </si>
  <si>
    <t>141 Ooh La La 5 BRIGHT PAD</t>
  </si>
  <si>
    <t>142 Solo Tb 1 AC.BRASS</t>
  </si>
  <si>
    <t>143 Psycho EP 4 EL.PIANO</t>
  </si>
  <si>
    <t>144 SBF Lead 4 HARD LEAD</t>
  </si>
  <si>
    <t>145 Flange Dream 4 SOFT PAD</t>
  </si>
  <si>
    <t>146 X Picked Bs 2 BASS</t>
  </si>
  <si>
    <t>147 Classic Lead 4 HARD LEAD</t>
  </si>
  <si>
    <t>148 LongDistance 1 ETHNIC</t>
  </si>
  <si>
    <t>149 X Pure Grand 2 AC.PIANO</t>
  </si>
  <si>
    <t>150 Da Chronic 2 SYNTH BASS</t>
  </si>
  <si>
    <t>151 Tenor Sax 2 SAX</t>
  </si>
  <si>
    <t>152 Dancefloor 4 PULSATING</t>
  </si>
  <si>
    <t>153 Shroomy 3 TECHNO SYNTH</t>
  </si>
  <si>
    <t>154 Ethno Keys 2 MALLET</t>
  </si>
  <si>
    <t>155 Simply Nasty 4 HARD LEAD</t>
  </si>
  <si>
    <t>156 Beat Vox 1 VOX</t>
  </si>
  <si>
    <t>157 AMP EP 5 EL.PIANO</t>
  </si>
  <si>
    <t>158 Contrabass 4 STRINGS</t>
  </si>
  <si>
    <t>159 Bend SynBrs 4 SYNTH BRASS</t>
  </si>
  <si>
    <t>160 Modular 2 OTHER SYNTH</t>
  </si>
  <si>
    <t>161 Dirty D/A 3 SOFT LEAD</t>
  </si>
  <si>
    <t>162 Tekno Tone 1 PULSATING</t>
  </si>
  <si>
    <t>163 Nu Bace 2 SYNTH BASS</t>
  </si>
  <si>
    <t>164 Mod Scanner 2 SYNTH FX</t>
  </si>
  <si>
    <t>165 Fantomas Pad 5 PULSATING</t>
  </si>
  <si>
    <t>166 FS Fretnot 1 2 BASS</t>
  </si>
  <si>
    <t>167 Solo Tp 2 AC.BRASS</t>
  </si>
  <si>
    <t>168 Farewell 6 ORCHESTRA</t>
  </si>
  <si>
    <t>169 Wezcoast 2 HARD LEAD</t>
  </si>
  <si>
    <t>170 FS Flute 2 FLUTE</t>
  </si>
  <si>
    <t>171 Theramax 1 SOFT LEAD</t>
  </si>
  <si>
    <t>172 Mojo Man 2 HIT&amp;STAB</t>
  </si>
  <si>
    <t>173 Solo Sop Sax 1 SAX</t>
  </si>
  <si>
    <t>174 Timeline 4 BRIGHT PAD</t>
  </si>
  <si>
    <t>175 Wet TC 1 EL.GUITAR</t>
  </si>
  <si>
    <t>176 Underneath 4 SYNTH BASS</t>
  </si>
  <si>
    <t>177 Lazer Points 2 SYNTH FX</t>
  </si>
  <si>
    <t>178 Wire Sync 3 HARD LEAD</t>
  </si>
  <si>
    <t>179 JD-800 Piano 1 AC.PIANO</t>
  </si>
  <si>
    <t>180 Cross Talk 1 PULSATING</t>
  </si>
  <si>
    <t>181 Nu Pad 2 PULSATING</t>
  </si>
  <si>
    <t>182 Phase Clavi 2 KEYBOARDS</t>
  </si>
  <si>
    <t>183 Anadroid 1 TECHNO SYNTH</t>
  </si>
  <si>
    <t>184 Phono Organ 2 ORGAN</t>
  </si>
  <si>
    <t>185 Dirt &amp; Grime 3 SYNTH BASS</t>
  </si>
  <si>
    <t>186 Rockin’ Dly 3 DIST.GUITAR</t>
  </si>
  <si>
    <t>187 Mr. Fourier 3 PULSATING</t>
  </si>
  <si>
    <t>188 NewAge Frtls 3 BASS</t>
  </si>
  <si>
    <t>189 Evolution X 2 SOFT PAD</t>
  </si>
  <si>
    <t>190 Baritone Sax 1 SAX</t>
  </si>
  <si>
    <t>191 Hall Oboe 1 WIND</t>
  </si>
  <si>
    <t>192 TB-Sequence 1 OTHER SYNTH</t>
  </si>
  <si>
    <t>193 GuitaratiuG 3 EL.GUITAR</t>
  </si>
  <si>
    <t>194 Alpha Hoover 1 TECHNO SYNTH</t>
  </si>
  <si>
    <t>195 ChoruSE ONE 1 SYNTH BASS</t>
  </si>
  <si>
    <t>196 Sinetific 2 SOFT LEAD</t>
  </si>
  <si>
    <t>197 Wired Rez 3 TECHNO SYNTH</t>
  </si>
  <si>
    <t>198 FS Marimba 1 MALLET</t>
  </si>
  <si>
    <t>199 SlippingSaws 3 HARD LEAD</t>
  </si>
  <si>
    <t>200 Choral Sweep 3 VOX</t>
  </si>
  <si>
    <t>201 Flugel Horn 1 AC.BRASS</t>
  </si>
  <si>
    <t>202 TDreamTouch 3 OTHER SYNTH</t>
  </si>
  <si>
    <t>203 Polar Morn 4 BRIGHT PAD</t>
  </si>
  <si>
    <t>204 Drop Bass 3 SYNTH BASS</t>
  </si>
  <si>
    <t>205 Pop Orch 7 ORCHESTRA</t>
  </si>
  <si>
    <t>206 Nyl-Intro 2 AC.GUITAR</t>
  </si>
  <si>
    <t>207 Morph Filter 3 SOFT PAD</t>
  </si>
  <si>
    <t>208 Kinda Kurt 2 EL.GUITAR</t>
  </si>
  <si>
    <t>209 Downright Bs 3 BASS</t>
  </si>
  <si>
    <t>210 50`SteelDrms 4 MALLET</t>
  </si>
  <si>
    <t>211 Reso SynBass 3 SYNTH BASS</t>
  </si>
  <si>
    <t>212 South Pole 2 SYNTH FX</t>
  </si>
  <si>
    <t>213 Studio Grand 2 AC.PIANO</t>
  </si>
  <si>
    <t>214 VirtualHuman 4 PULSATING</t>
  </si>
  <si>
    <t>215 Darmstrat X 5 DIST.GUITAR</t>
  </si>
  <si>
    <t>216 Ending Scene 4 ORCHESTRA</t>
  </si>
  <si>
    <t>217 Distro FXM 3 HARD LEAD</t>
  </si>
  <si>
    <t>218 FullDraw Org 3 ORGAN</t>
  </si>
  <si>
    <t>219 Alien Voice 2 SYNTH FX</t>
  </si>
  <si>
    <t>220 Stadium SBF 1 OTHER SYNTH</t>
  </si>
  <si>
    <t>221 Good Old Day 3 WIND</t>
  </si>
  <si>
    <t>222 FS Slap Bass 2 BASS</t>
  </si>
  <si>
    <t>223 Skydiver 2 PLUCKED</t>
  </si>
  <si>
    <t>224 Harmon Mute 1 AC.BRASS</t>
  </si>
  <si>
    <t>225 PeakArpSine 1 SOFT LEAD</t>
  </si>
  <si>
    <t>226 Alien Bubble 1 TECHNO SYNTH</t>
  </si>
  <si>
    <t>227 Twin StratsB 2 EL.GUITAR</t>
  </si>
  <si>
    <t>228 Orbiting 3 PULSATING</t>
  </si>
  <si>
    <t>229 Sahara Str 4 STRINGS</t>
  </si>
  <si>
    <t>230 Fundamental 3 SYNTH BASS</t>
  </si>
  <si>
    <t>231 SA Dance Pno 2 AC.PIANO</t>
  </si>
  <si>
    <t>232 Dirty Saw 2 HARD LEAD</t>
  </si>
  <si>
    <t>233 X-panda 2 OTHER SYNTH</t>
  </si>
  <si>
    <t>234 Saturn Siren 5 BRIGHT PAD</t>
  </si>
  <si>
    <t>235 Orch &amp; Horns 5 ORCHESTRA</t>
  </si>
  <si>
    <t>236 Amore Story 4 AC.GUITAR</t>
  </si>
  <si>
    <t>237 Raven Chord 4 TECHNO SYNTH</t>
  </si>
  <si>
    <t>238 Soulfinger 2 BASS</t>
  </si>
  <si>
    <t>239 Landing Pad 3 SYNTH FX</t>
  </si>
  <si>
    <t>240 Virtual RnBs 2 SYNTH BASS</t>
  </si>
  <si>
    <t>241 Clarence.net 2 WIND</t>
  </si>
  <si>
    <t>242 PanningFrmnt 2 PULSATING</t>
  </si>
  <si>
    <t>243 Quiet River 4 PLUCKED</t>
  </si>
  <si>
    <t>244 OB Slow Str 2 SOFT PAD</t>
  </si>
  <si>
    <t>245 FS Loud Gtr 3 DIST.GUITAR</t>
  </si>
  <si>
    <t>246 X Finger Bs1 2 BASS</t>
  </si>
  <si>
    <t>247 VelPanWurly 2 EL.PIANO</t>
  </si>
  <si>
    <t>248 Syn Opera 4 VOX</t>
  </si>
  <si>
    <t>249 Modular Lead 3 SOFT LEAD</t>
  </si>
  <si>
    <t>250 With Love 4 AC.GUITAR</t>
  </si>
  <si>
    <t>251 JP-8 Phase 4 SOFT PAD</t>
  </si>
  <si>
    <t>252 Pop Brs wAtk 4 AC.BRASS</t>
  </si>
  <si>
    <t>253 Cicada Piano 4 AC.PIANO</t>
  </si>
  <si>
    <t>254 X StrSection 4 STRINGS</t>
  </si>
  <si>
    <t>255 Jupiter-X 5 SOFT PAD</t>
  </si>
  <si>
    <t>256 Bending Logo 8 SYNTH FX</t>
  </si>
  <si>
    <t>013 FS 70'EP 5 EL.PIANO</t>
  </si>
  <si>
    <t>014 StageEP Trem 2 EL.PIANO</t>
  </si>
  <si>
    <t>016 Tine EP 1 EL.PIANO</t>
  </si>
  <si>
    <t>017 LEO EP 4 EL.PIANO</t>
  </si>
  <si>
    <t>019 Age’n’Tines 2 EL.PIANO</t>
  </si>
  <si>
    <t>021 Crystal EP 2 EL.PIANO</t>
  </si>
  <si>
    <t>035 FM EP 5 EL.PIANO</t>
  </si>
  <si>
    <t>088 60’s Org 1 2 ORGAN</t>
  </si>
  <si>
    <t>089 60’s Org 2 2 ORGAN</t>
  </si>
  <si>
    <t>098 Harmonderca 2 HARMONICA</t>
  </si>
  <si>
    <t>113 StratSeq’nce 3 EL.GUITAR</t>
  </si>
  <si>
    <t>121 Plug n’ Gig 1 EL.GUITAR</t>
  </si>
  <si>
    <t>008 Hurting Gtr 3 DIST.GUITAR</t>
  </si>
  <si>
    <t>019 Comp’d JBass 2 BASS</t>
  </si>
  <si>
    <t>067 Kickin’ Bass 2 SYNTH BASS</t>
  </si>
  <si>
    <t>066 Violin Lead 2 SOFT LEAD</t>
  </si>
  <si>
    <t>090 Q DualSaws 2 HARD LEAD</t>
  </si>
  <si>
    <t>005 Alfa Retro 3 TECHNO SYNTH</t>
  </si>
  <si>
    <t>016 Loonacy 6 TECHNO SYNTH</t>
  </si>
  <si>
    <t>065 FM’s Attack 3 OTHER SYNTH</t>
  </si>
  <si>
    <t>011 2 Point 2 7 BRIGHT PAD</t>
  </si>
  <si>
    <t>054 FS Alfa Rave 5 PULSATING</t>
  </si>
  <si>
    <t>006 EP mkI 3 EL.PIANO</t>
  </si>
  <si>
    <t>007 Stage EP 4 EL.PIANO</t>
  </si>
  <si>
    <t>008 MKS20EnsemEP 4 EL.PIANO</t>
  </si>
  <si>
    <t>009 UltimatGrand 2 AC.PIANO</t>
  </si>
  <si>
    <t>010 X Pure Grand 2 AC.PIANO</t>
  </si>
  <si>
    <t>011 Studio Grand 2 AC.PIANO</t>
  </si>
  <si>
    <t>012 88ConcertPno 2 AC.PIANO</t>
  </si>
  <si>
    <t>013 DryStudio88 4 AC.PIANO</t>
  </si>
  <si>
    <t>014 First Choice 2 AC.PIANO</t>
  </si>
  <si>
    <t>015 Rokkin’ pF 2 AC.PIANO</t>
  </si>
  <si>
    <t>016 Dark Grand 4 AC.PIANO</t>
  </si>
  <si>
    <t>017 Piano Oz 4 AC.PIANO</t>
  </si>
  <si>
    <t>018 Grand Hall 5 AC.PIANO</t>
  </si>
  <si>
    <t>019 X Piano +Str 4 AC.PIANO</t>
  </si>
  <si>
    <t>020 Arie Piano 4 AC.PIANO</t>
  </si>
  <si>
    <t>021 Cicada Piano 4 AC.PIANO</t>
  </si>
  <si>
    <t>022 Clare Voyent 5 AC.PIANO</t>
  </si>
  <si>
    <t>023 X Piano +Pad 4 AC.PIANO</t>
  </si>
  <si>
    <t>024 X Piano +Vox 4 AC.PIANO</t>
  </si>
  <si>
    <t>025 FX Piano 4 AC.PIANO</t>
  </si>
  <si>
    <t>026 AmbientPiano 4 AC.PIANO</t>
  </si>
  <si>
    <t>027 Tre EP 5 EL.PIANO</t>
  </si>
  <si>
    <t>028 Stage Phazer 2 EL.PIANO</t>
  </si>
  <si>
    <t>029 StageCabinet 2 EL.PIANO</t>
  </si>
  <si>
    <t>030 AMP EP 5 EL.PIANO</t>
  </si>
  <si>
    <t>031 VelPanWurly 2 EL.PIANO</t>
  </si>
  <si>
    <t>032 Mr.AXXE 3 EL.PIANO</t>
  </si>
  <si>
    <t>033 1983 EP 4 EL.PIANO</t>
  </si>
  <si>
    <t>034 EP Stack 4 EL.PIANO</t>
  </si>
  <si>
    <t>035 EP Belle 3 EL.PIANO</t>
  </si>
  <si>
    <t>036 Chocolate EP 6 EL.PIANO</t>
  </si>
  <si>
    <t>037 Abstract EP 3 EL.PIANO</t>
  </si>
  <si>
    <t>038 Ringy EP 2 EL.PIANO</t>
  </si>
  <si>
    <t>039 Hipchord 4 EL.PIANO</t>
  </si>
  <si>
    <t>040 Snappy Clav 2 KEYBOARDS</t>
  </si>
  <si>
    <t>041 Over-D6 3 KEYBOARDS</t>
  </si>
  <si>
    <t>042 CoupleHarpsi 7 KEYBOARDS</t>
  </si>
  <si>
    <t>043 HimalayaThaw 4 BELL</t>
  </si>
  <si>
    <t>044 Ballad Bells 4 BELL</t>
  </si>
  <si>
    <t>045 Bell Monitor 2 BELL</t>
  </si>
  <si>
    <t>046 SideBandBell 4 BELL</t>
  </si>
  <si>
    <t>047 SBF Saw Bell 4 BELL</t>
  </si>
  <si>
    <t>048 TubyRuesday 2 BELL</t>
  </si>
  <si>
    <t>049 Music Box 2 2 BELL</t>
  </si>
  <si>
    <t>050 AirPluck 4 MALLET</t>
  </si>
  <si>
    <t>051 Airie Vibez 4 MALLET</t>
  </si>
  <si>
    <t>052 Ringy Vibes 2 MALLET</t>
  </si>
  <si>
    <t>053 50`SteelDrms 4 MALLET</t>
  </si>
  <si>
    <t>054 VKHold4Speed 4 ORGAN</t>
  </si>
  <si>
    <t>055 X Perc Organ 3 ORGAN</t>
  </si>
  <si>
    <t>056 Rocky Organ 2 ORGAN</t>
  </si>
  <si>
    <t>057 Purple Organ 5 ORGAN</t>
  </si>
  <si>
    <t>058 Phono Organ 2 ORGAN</t>
  </si>
  <si>
    <t>059 Mid Pipe Org 4 ORGAN</t>
  </si>
  <si>
    <t>060 ParisRomance 4 ACCORDION</t>
  </si>
  <si>
    <t>061 La Seine 4 ACCORDION</t>
  </si>
  <si>
    <t>062 VntgAccrdion 3 ACCORDION</t>
  </si>
  <si>
    <t>063 Oktoberfest 3 ACCORDION</t>
  </si>
  <si>
    <t>064 NaturalNylon 2 AC.GUITAR</t>
  </si>
  <si>
    <t>065 Nylon Gtr VS 2 AC.GUITAR</t>
  </si>
  <si>
    <t>066 Double Nylon 4 AC.GUITAR</t>
  </si>
  <si>
    <t>067 Mellow Nylon 2 AC.GUITAR</t>
  </si>
  <si>
    <t>068 FlamencoGt X 3 AC.GUITAR</t>
  </si>
  <si>
    <t>069 El Toro Gtr 2 AC.GUITAR</t>
  </si>
  <si>
    <t>070 Dyna Nylon 2 AC.GUITAR</t>
  </si>
  <si>
    <t>071 NylonGt /HO 1 AC.GUITAR</t>
  </si>
  <si>
    <t>072 Nylon 4way 1 AC.GUITAR</t>
  </si>
  <si>
    <t>073 Nyl-Intro 2 AC.GUITAR</t>
  </si>
  <si>
    <t>074 Nylon Dreams 4 AC.GUITAR</t>
  </si>
  <si>
    <t>075 With Love 4 AC.GUITAR</t>
  </si>
  <si>
    <t>076 Amore Story 4 AC.GUITAR</t>
  </si>
  <si>
    <t>077 Interlude 5 AC.GUITAR</t>
  </si>
  <si>
    <t>078 Sweet Tears 4 AC.GUITAR</t>
  </si>
  <si>
    <t>079 WithALtlHelp 5 AC.GUITAR</t>
  </si>
  <si>
    <t>080 Double Track 2 EL.GUITAR</t>
  </si>
  <si>
    <t>081 Mystic Gtr 2 EL.GUITAR</t>
  </si>
  <si>
    <t>082 Cut Thru Wah 2 EL.GUITAR</t>
  </si>
  <si>
    <t>083 GuitaratiuG 3 EL.GUITAR</t>
  </si>
  <si>
    <t>084 WahGt Riff 1 EL.GUITAR</t>
  </si>
  <si>
    <t>085 Larsen /Aft 2 DIST.GUITAR</t>
  </si>
  <si>
    <t>086 Darmstrat X 5 DIST.GUITAR</t>
  </si>
  <si>
    <t>087 Rockin’ Dly 3 DIST.GUITAR</t>
  </si>
  <si>
    <t>088 DistGt Mt 2 DIST.GUITAR</t>
  </si>
  <si>
    <t>089 GTR Heroes 5 DIST.GUITAR</t>
  </si>
  <si>
    <t>090 X Mute Bass 2 BASS</t>
  </si>
  <si>
    <t>091 Nu Finger Bs 1 BASS</t>
  </si>
  <si>
    <t>092 Soulfinger 2 BASS</t>
  </si>
  <si>
    <t>093 X Finger Bs1 2 BASS</t>
  </si>
  <si>
    <t>094 StickyOctave 3 BASS</t>
  </si>
  <si>
    <t>095 Bass &amp; Amp 2 BASS</t>
  </si>
  <si>
    <t>096 Chorus Bass 2 BASS</t>
  </si>
  <si>
    <t>097 X 5String Bs 2 BASS</t>
  </si>
  <si>
    <t>098 6-Pack Stick 2 BASS</t>
  </si>
  <si>
    <t>099 Nu Pick Bass 2 BASS</t>
  </si>
  <si>
    <t>100 Comp Picker 2 BASS</t>
  </si>
  <si>
    <t>101 X Finger Bs2 2 BASS</t>
  </si>
  <si>
    <t>102 X Picked Bs 2 BASS</t>
  </si>
  <si>
    <t>103 Mutation 2 BASS</t>
  </si>
  <si>
    <t>104 X Slap Bass 3 BASS</t>
  </si>
  <si>
    <t>105 Fuzz Mute 2 BASS</t>
  </si>
  <si>
    <t>106 Doubled Bass 3 BASS</t>
  </si>
  <si>
    <t>107 NewAge Frtls 3 BASS</t>
  </si>
  <si>
    <t>108 Powerline 2 SYNTH BASS</t>
  </si>
  <si>
    <t>109 Reso SynBass 3 SYNTH BASS</t>
  </si>
  <si>
    <t>110 Synth Bassic 2 SYNTH BASS</t>
  </si>
  <si>
    <t>111 Down 4 It 1 SYNTH BASS</t>
  </si>
  <si>
    <t>112 Glider Bass 1 SYNTH BASS</t>
  </si>
  <si>
    <t>113 Fundamental 3 SYNTH BASS</t>
  </si>
  <si>
    <t>114 Artus Bass 3 SYNTH BASS</t>
  </si>
  <si>
    <t>115 Sweet &amp; Low 2 SYNTH BASS</t>
  </si>
  <si>
    <t>116 Change It 3 SYNTH BASS</t>
  </si>
  <si>
    <t>117 the ONE 1 SYNTH BASS</t>
  </si>
  <si>
    <t>118 ChoruSE ONE 1 SYNTH BASS</t>
  </si>
  <si>
    <t>119 Eyes Bass 2 SYNTH BASS</t>
  </si>
  <si>
    <t>120 Secret Bass 3 SYNTH BASS</t>
  </si>
  <si>
    <t>121 Base BoX 2 SYNTH BASS</t>
  </si>
  <si>
    <t>122 Nu RnB Bass 1 SYNTH BASS</t>
  </si>
  <si>
    <t>123 D n’ Bass 1 SYNTH BASS</t>
  </si>
  <si>
    <t>124 DnB Bass 1 2 SYNTH BASS</t>
  </si>
  <si>
    <t>125 Fat Bottom 4 SYNTH BASS</t>
  </si>
  <si>
    <t>126 Deep S-E 1 SYNTH BASS</t>
  </si>
  <si>
    <t>127 Nu Bace 2 SYNTH BASS</t>
  </si>
  <si>
    <t>128 Mini Like! 2 SYNTH BASS</t>
  </si>
  <si>
    <t>PR-H (Preset H Group)</t>
  </si>
  <si>
    <t>001 Da Chronic 2 SYNTH BASS</t>
  </si>
  <si>
    <t>002 Virtual RnBs 2 SYNTH BASS</t>
  </si>
  <si>
    <t>003 Not a Bass 2 SYNTH BASS</t>
  </si>
  <si>
    <t>004 Nu RnB Saw 1 4 SYNTH BASS</t>
  </si>
  <si>
    <t>005 Nu RnB Saw 2 4 SYNTH BASS</t>
  </si>
  <si>
    <t>006 Buzzy Bs 2 SYNTH BASS</t>
  </si>
  <si>
    <t>007 SBF Saw Bs 3 SYNTH BASS</t>
  </si>
  <si>
    <t>008 Party Bass 3 SYNTH BASS</t>
  </si>
  <si>
    <t>009 Tornrubber 2 SYNTH BASS</t>
  </si>
  <si>
    <t>010 Drop Bass 3 SYNTH BASS</t>
  </si>
  <si>
    <t>011 Filament 5 SYNTH BASS</t>
  </si>
  <si>
    <t>012 Dust Bass 4 SYNTH BASS</t>
  </si>
  <si>
    <t>013 Mr. Nasty 2 SYNTH BASS</t>
  </si>
  <si>
    <t>014 Bass Drive 3 SYNTH BASS</t>
  </si>
  <si>
    <t>015 Underneath 4 SYNTH BASS</t>
  </si>
  <si>
    <t>016 Dirt &amp; Grime 3 SYNTH BASS</t>
  </si>
  <si>
    <t>017 Down &amp; Dirty 2 SYNTH BASS</t>
  </si>
  <si>
    <t>018 SubOscar 3 SYNTH BASS</t>
  </si>
  <si>
    <t>019 Full Strings 4 STRINGS</t>
  </si>
  <si>
    <t>020 X StrSection 4 STRINGS</t>
  </si>
  <si>
    <t>021 Oct Strings 6 STRINGS</t>
  </si>
  <si>
    <t>022 Sahara Str 4 STRINGS</t>
  </si>
  <si>
    <t>023 Random Mood 6 STRINGS</t>
  </si>
  <si>
    <t>024 X Hall Str 8 STRINGS</t>
  </si>
  <si>
    <t>025 Strings Flow 4 STRINGS</t>
  </si>
  <si>
    <t>026 Biggie Bows 6 STRINGS</t>
  </si>
  <si>
    <t>027 Staccato VS 4 STRINGS</t>
  </si>
  <si>
    <t>028 So Staccato 4 STRINGS</t>
  </si>
  <si>
    <t>029 Pizz’Stac VS 6 STRINGS</t>
  </si>
  <si>
    <t>030 Mellow Tron 3 STRINGS</t>
  </si>
  <si>
    <t>031 Moody Tron 3 STRINGS</t>
  </si>
  <si>
    <t>032 Tronic Str 2 STRINGS</t>
  </si>
  <si>
    <t>033 Machine Str 2 STRINGS</t>
  </si>
  <si>
    <t>034 Symphonika 8 ORCHESTRA</t>
  </si>
  <si>
    <t>035 Pop Orch 7 ORCHESTRA</t>
  </si>
  <si>
    <t>036 Contemp’Orch 8 ORCHESTRA</t>
  </si>
  <si>
    <t>037 Orange Skin 4 HIT&amp;STAB</t>
  </si>
  <si>
    <t>038 Tutti 8 HIT&amp;STAB</t>
  </si>
  <si>
    <t>039 Brass Ditt 2 HIT&amp;STAB</t>
  </si>
  <si>
    <t>040 Housechord 3 HIT&amp;STAB</t>
  </si>
  <si>
    <t>041 Mod Chord 2 HIT&amp;STAB</t>
  </si>
  <si>
    <t>042 Dance Steam 2 HIT&amp;STAB</t>
  </si>
  <si>
    <t>043 Disto Stab ! 5 HIT&amp;STAB</t>
  </si>
  <si>
    <t>044 Fairy Flute 3 FLUTE</t>
  </si>
  <si>
    <t>045 Chiffed Toot 1 FLUTE</t>
  </si>
  <si>
    <t>046 Hop Flute 2 FLUTE</t>
  </si>
  <si>
    <t>047 HimalayaPipe 4 FLUTE</t>
  </si>
  <si>
    <t>048 X Brs Sect 1 6 AC.BRASS</t>
  </si>
  <si>
    <t>049 Pop Stak Brs 8 AC.BRASS</t>
  </si>
  <si>
    <t>050 X Brs Sect 2 4 AC.BRASS</t>
  </si>
  <si>
    <t>051 Pop Brs wAtk 4 AC.BRASS</t>
  </si>
  <si>
    <t>052 Hybrid Brass 8 AC.BRASS</t>
  </si>
  <si>
    <t>053 Nu Stab Brs 5 AC.BRASS</t>
  </si>
  <si>
    <t>054 Heavy Brs 1 3 AC.BRASS</t>
  </si>
  <si>
    <t>055 Heavy Brs 2 4 AC.BRASS</t>
  </si>
  <si>
    <t>056 Wonder Brass 6 AC.BRASS</t>
  </si>
  <si>
    <t>057 Pop Brs Sfz 4 AC.BRASS</t>
  </si>
  <si>
    <t>058 Pop Brs Stac 2 AC.BRASS</t>
  </si>
  <si>
    <t>059 Brass Fall / 2 AC.BRASS</t>
  </si>
  <si>
    <t>060 X-Saw Brass1 2 SYNTH BRASS</t>
  </si>
  <si>
    <t>061 JP8000 Brass 7 SYNTH BRASS</t>
  </si>
  <si>
    <t>062 X-Saw Brass2 4 SYNTH BRASS</t>
  </si>
  <si>
    <t>063 Bend SynBrs 4 SYNTH BRASS</t>
  </si>
  <si>
    <t>064 Sax Heavy 6 SAX</t>
  </si>
  <si>
    <t>065 FXM Alto Sax 1 SAX</t>
  </si>
  <si>
    <t>066 Simply Nasty 4 HARD LEAD</t>
  </si>
  <si>
    <t>067 Deep Wine 3 HARD LEAD</t>
  </si>
  <si>
    <t>068 Bon Voyage 3 HARD LEAD</t>
  </si>
  <si>
    <t>069 Xpress Lead 2 HARD LEAD</t>
  </si>
  <si>
    <t>070 BodyElectric 3 HARD LEAD</t>
  </si>
  <si>
    <t>071 Classic Lead 4 HARD LEAD</t>
  </si>
  <si>
    <t>072 Optik’Synth 2 HARD LEAD</t>
  </si>
  <si>
    <t>073 Feat Lead 2 HARD LEAD</t>
  </si>
  <si>
    <t>074 X Sync Mod 2 HARD LEAD</t>
  </si>
  <si>
    <t>075 SBF Lead 4 HARD LEAD</t>
  </si>
  <si>
    <t>076 Hard Sync 4 HARD LEAD</t>
  </si>
  <si>
    <t>077 Rezo Sync 3 HARD LEAD</t>
  </si>
  <si>
    <t>078 Wire Sync 3 HARD LEAD</t>
  </si>
  <si>
    <t>079 Distro FXM 3 HARD LEAD</t>
  </si>
  <si>
    <t>080 Epic Lead 2 HARD LEAD</t>
  </si>
  <si>
    <t>081 Crumble Syn 2 HARD LEAD</t>
  </si>
  <si>
    <t>082 SlippingSaws 3 HARD LEAD</t>
  </si>
  <si>
    <t>083 Bag Lead 3 HARD LEAD</t>
  </si>
  <si>
    <t>084 Dirty Saw 2 HARD LEAD</t>
  </si>
  <si>
    <t>085 Wezcoast 2 HARD LEAD</t>
  </si>
  <si>
    <t>086 X-Saw Lead 2 HARD LEAD</t>
  </si>
  <si>
    <t>087 ActualAnalog 2 HARD LEAD</t>
  </si>
  <si>
    <t>088 SBF Reso 4 HARD LEAD</t>
  </si>
  <si>
    <t>089 SliCed Lead 2 SOFT LEAD</t>
  </si>
  <si>
    <t>090 Synthi Fizz 2 SOFT LEAD</t>
  </si>
  <si>
    <t>091 Mini Growl 2 SOFT LEAD</t>
  </si>
  <si>
    <t>092 Jupiter Lead 1 SOFT LEAD</t>
  </si>
  <si>
    <t>093 X-Pulse Lead 2 SOFT LEAD</t>
  </si>
  <si>
    <t>094 Jupi Square 2 SOFT LEAD</t>
  </si>
  <si>
    <t>095 TriStac Lead 2 SOFT LEAD</t>
  </si>
  <si>
    <t>096 Modular Lead 3 SOFT LEAD</t>
  </si>
  <si>
    <t>097 Sinetific 2 SOFT LEAD</t>
  </si>
  <si>
    <t>098 Dirty D/A 3 SOFT LEAD</t>
  </si>
  <si>
    <t>099 EuronalSynth 2 SOFT LEAD</t>
  </si>
  <si>
    <t>100 Xtrem Sine 1 SOFT LEAD</t>
  </si>
  <si>
    <t>101 Killerbeez 4 TECHNO SYNTH</t>
  </si>
  <si>
    <t>102 Freeze Synth 5 TECHNO SYNTH</t>
  </si>
  <si>
    <t>103 JamPacked! 4 TECHNO SYNTH</t>
  </si>
  <si>
    <t>104 SawStac Chd 3 TECHNO SYNTH</t>
  </si>
  <si>
    <t>105 Trancepire 1 TECHNO SYNTH</t>
  </si>
  <si>
    <t>106 Acid Lead 2 TECHNO SYNTH</t>
  </si>
  <si>
    <t>107 Tranceformer 1 TECHNO SYNTH</t>
  </si>
  <si>
    <t>108 Anadroid 1 TECHNO SYNTH</t>
  </si>
  <si>
    <t>109 Shroomy 3 TECHNO SYNTH</t>
  </si>
  <si>
    <t>110 SBF Nozer 2 TECHNO SYNTH</t>
  </si>
  <si>
    <t>111 Voxulizer 2 TECHNO SYNTH</t>
  </si>
  <si>
    <t>112 Wired Rez 3 TECHNO SYNTH</t>
  </si>
  <si>
    <t>113 Noize R us 2 TECHNO SYNTH</t>
  </si>
  <si>
    <t>114 Inner Voices 4 TECHNO SYNTH</t>
  </si>
  <si>
    <t>115 Beep Melodie 4 TECHNO SYNTH</t>
  </si>
  <si>
    <t>116 Alpha Hoover 1 TECHNO SYNTH</t>
  </si>
  <si>
    <t>117 Steel Wire 2 TECHNO SYNTH</t>
  </si>
  <si>
    <t>118 Rav-i-Toid 3 TECHNO SYNTH</t>
  </si>
  <si>
    <t>119 Rez Therapy 4 TECHNO SYNTH</t>
  </si>
  <si>
    <t>120 Ivan’s 4 TECHNO SYNTH</t>
  </si>
  <si>
    <t>121 Morpher 8 TECHNO SYNTH</t>
  </si>
  <si>
    <t>122 StellarTreck 4 PULSATING</t>
  </si>
  <si>
    <t>123 Tekno Tone 1 PULSATING</t>
  </si>
  <si>
    <t>124 Generator 2 PULSATING</t>
  </si>
  <si>
    <t>125 ARP x Race 1 PULSATING</t>
  </si>
  <si>
    <t>126 DSP Chaos 1 PULSATING</t>
  </si>
  <si>
    <t>127 Phraserblade 2 PULSATING</t>
  </si>
  <si>
    <t>128 Dancefloor 4 PULSATING</t>
  </si>
  <si>
    <t>001 Minor Thirds 2 PULSATING</t>
  </si>
  <si>
    <t>002 Strobe X 5 PULSATING</t>
  </si>
  <si>
    <t>003 Orbiting 3 PULSATING</t>
  </si>
  <si>
    <t>004 FX World 2 PULSATING</t>
  </si>
  <si>
    <t>005 Mr. Fourier 3 PULSATING</t>
  </si>
  <si>
    <t>006 Nu Trance X 2 PULSATING</t>
  </si>
  <si>
    <t>007 eXisDance 4 PULSATING</t>
  </si>
  <si>
    <t>008 Are U ready? 4 PULSATING</t>
  </si>
  <si>
    <t>009 Minty Fresh 3 PULSATING</t>
  </si>
  <si>
    <t>010 Spectrums 4 PULSATING</t>
  </si>
  <si>
    <t>011 Shape of X 5 PULSATING</t>
  </si>
  <si>
    <t>012 Auto 5thSaws 4 PULSATING</t>
  </si>
  <si>
    <t>013 Strobot 2 PULSATING</t>
  </si>
  <si>
    <t>014 Dreamswirl 3 PULSATING</t>
  </si>
  <si>
    <t>015 Galaxadin 2 PULSATING</t>
  </si>
  <si>
    <t>016 Welcome2X 1 PULSATING</t>
  </si>
  <si>
    <t>017 Space &amp; Time 4 PULSATING</t>
  </si>
  <si>
    <t>018 Cross Talk 1 PULSATING</t>
  </si>
  <si>
    <t>019 Lava Flows 6 PULSATING</t>
  </si>
  <si>
    <t>020 Steppin Faze 2 PULSATING</t>
  </si>
  <si>
    <t>021 Reanimation 2 PULSATING</t>
  </si>
  <si>
    <t>022 VoX Chopper 2 PULSATING</t>
  </si>
  <si>
    <t>023 SquareSphere 2 PULSATING</t>
  </si>
  <si>
    <t>024 Auto Sync 2 PULSATING</t>
  </si>
  <si>
    <t>025 Vocastic 8 PULSATING</t>
  </si>
  <si>
    <t>026 Bending Logo 8 SYNTH FX</t>
  </si>
  <si>
    <t>027 SolarPleXus 2 SYNTH FX</t>
  </si>
  <si>
    <t>028 Scare 7 SYNTH FX</t>
  </si>
  <si>
    <t>029 Chaoism 3 SYNTH FX</t>
  </si>
  <si>
    <t>030 Hillside 1 SYNTH FX</t>
  </si>
  <si>
    <t>031 Alien Voice 2 SYNTH FX</t>
  </si>
  <si>
    <t>032 What What? 4 SYNTH FX</t>
  </si>
  <si>
    <t>033 Beyond Here 3 SYNTH FX</t>
  </si>
  <si>
    <t>034 Mod Scanner 2 SYNTH FX</t>
  </si>
  <si>
    <t>035 Gasp 8 SYNTH FX</t>
  </si>
  <si>
    <t>036 Neverville 6 SYNTH FX</t>
  </si>
  <si>
    <t>037 Landing Pad 3 SYNTH FX</t>
  </si>
  <si>
    <t>038 Celebrated 4 SYNTH FX</t>
  </si>
  <si>
    <t>039 ResoSweep Up 1 SYNTH FX</t>
  </si>
  <si>
    <t>040 The VorteX 2 SYNTH FX</t>
  </si>
  <si>
    <t>041 Magic Wave 2 SYNTH FX</t>
  </si>
  <si>
    <t>042 Shangri-La 5 SYNTH FX</t>
  </si>
  <si>
    <t>043 CerealKiller 1 SYNTH FX</t>
  </si>
  <si>
    <t>044 DigimaX 2 OTHER SYNTH</t>
  </si>
  <si>
    <t>045 Trancy X 4 OTHER SYNTH</t>
  </si>
  <si>
    <t>046 X Sweep Saws 3 OTHER SYNTH</t>
  </si>
  <si>
    <t>047 X-Trance 3 OTHER SYNTH</t>
  </si>
  <si>
    <t>048 JP-8000 Saws 2 OTHER SYNTH</t>
  </si>
  <si>
    <t>049 X Super Saws 3 OTHER SYNTH</t>
  </si>
  <si>
    <t>050 Exhale 2 OTHER SYNTH</t>
  </si>
  <si>
    <t>051 SBF Voices 2 OTHER SYNTH</t>
  </si>
  <si>
    <t>052 Stadium SBF 1 OTHER SYNTH</t>
  </si>
  <si>
    <t>053 Master X 4 OTHER SYNTH</t>
  </si>
  <si>
    <t>054 X-panda 2 OTHER SYNTH</t>
  </si>
  <si>
    <t>055 TDreamTouch 3 OTHER SYNTH</t>
  </si>
  <si>
    <t>056 Smooth Synth 3 OTHER SYNTH</t>
  </si>
  <si>
    <t>057 Stereotype 2 OTHER SYNTH</t>
  </si>
  <si>
    <t>058 Saw Keystep 2 OTHER SYNTH</t>
  </si>
  <si>
    <t>059 4mant Cycle 1 OTHER SYNTH</t>
  </si>
  <si>
    <t>060 Trance Sweep 3 OTHER SYNTH</t>
  </si>
  <si>
    <t>061 Modular 2 OTHER SYNTH</t>
  </si>
  <si>
    <t>062 Triple X 2 OTHER SYNTH</t>
  </si>
  <si>
    <t>063 Angel Pipes 2 OTHER SYNTH</t>
  </si>
  <si>
    <t>064 Vint Clavier 3 OTHER SYNTH</t>
  </si>
  <si>
    <t>065 Wired Synth 8 OTHER SYNTH</t>
  </si>
  <si>
    <t>066 Nu Romance 4 OTHER SYNTH</t>
  </si>
  <si>
    <t>067 Survivoz 4 BRIGHT PAD</t>
  </si>
  <si>
    <t>068 Ring Worldz 2 BRIGHT PAD</t>
  </si>
  <si>
    <t>069 Mashed!? :0) 4 BRIGHT PAD</t>
  </si>
  <si>
    <t>070 Saturn Siren 5 BRIGHT PAD</t>
  </si>
  <si>
    <t>071 Side Band X 5 BRIGHT PAD</t>
  </si>
  <si>
    <t>072 Mashy Scene 4 BRIGHT PAD</t>
  </si>
  <si>
    <t>073 Spr SideBand 6 BRIGHT PAD</t>
  </si>
  <si>
    <t>074 Digitvox 2 BRIGHT PAD</t>
  </si>
  <si>
    <t>075 Oral eXam 4 BRIGHT PAD</t>
  </si>
  <si>
    <t>076 Timeline 4 BRIGHT PAD</t>
  </si>
  <si>
    <t>077 Whisper Pad 3 BRIGHT PAD</t>
  </si>
  <si>
    <t>078 Orchipad 5 BRIGHT PAD</t>
  </si>
  <si>
    <t>079 Visionary 4 BRIGHT PAD</t>
  </si>
  <si>
    <t>080 Rave Stringy 4 BRIGHT PAD</t>
  </si>
  <si>
    <t>081 InfinitePhsr 6 BRIGHT PAD</t>
  </si>
  <si>
    <t>082 Jupiter 2004 4 BRIGHT PAD</t>
  </si>
  <si>
    <t>083 Light Phaser 5 BRIGHT PAD</t>
  </si>
  <si>
    <t>084 Life-on 4 BRIGHT PAD</t>
  </si>
  <si>
    <t>085 Polar Morn 4 BRIGHT PAD</t>
  </si>
  <si>
    <t>086 Saturn Rings 4 BRIGHT PAD</t>
  </si>
  <si>
    <t>087 Ooh La La 5 BRIGHT PAD</t>
  </si>
  <si>
    <t>088 Flying X 5 BRIGHT PAD</t>
  </si>
  <si>
    <t>089 Motion Pad 4 SOFT PAD</t>
  </si>
  <si>
    <t>090 Mash Pad 5 BRIGHT PAD</t>
  </si>
  <si>
    <t>091 Xtragalactic 4 SOFT PAD</t>
  </si>
  <si>
    <t>092 Morph Filter 3 SOFT PAD</t>
  </si>
  <si>
    <t>093 TrnsSweepPad 6 SOFT PAD</t>
  </si>
  <si>
    <t>094 Follow 2 SOFT PAD</t>
  </si>
  <si>
    <t>095 Jupiter-X 5 SOFT PAD</t>
  </si>
  <si>
    <t>096 Riven Pad 5 SOFT PAD</t>
  </si>
  <si>
    <t>097 Consolament 3 SOFT PAD</t>
  </si>
  <si>
    <t>098 Spacious Pad 4 SOFT PAD</t>
  </si>
  <si>
    <t>099 JD Pop Pad 3 SOFT PAD</t>
  </si>
  <si>
    <t>100 Silhouette 3 SOFT PAD</t>
  </si>
  <si>
    <t>101 JP-8 Phase 4 SOFT PAD</t>
  </si>
  <si>
    <t>102 Nu Epic Pad 2 SOFT PAD</t>
  </si>
  <si>
    <t>103 Forever 5 SOFT PAD</t>
  </si>
  <si>
    <t>104 Flange Dream 4 SOFT PAD</t>
  </si>
  <si>
    <t>105 Guild Vox 3 SOFT PAD</t>
  </si>
  <si>
    <t>106 5th Pad X 5 SOFT PAD</t>
  </si>
  <si>
    <t>107 Evolution X 2 SOFT PAD</t>
  </si>
  <si>
    <t>108 Chariots 4 SOFT PAD</t>
  </si>
  <si>
    <t>109 Trevor’s Pad 4 PULSATING</t>
  </si>
  <si>
    <t>110 Nu Pad 2 PULSATING</t>
  </si>
  <si>
    <t>111 Fantomas Pad 5 PULSATING</t>
  </si>
  <si>
    <t>112 Film Cue 4 VOX</t>
  </si>
  <si>
    <t>113 Choral Sweep 3 VOX</t>
  </si>
  <si>
    <t>114 Paradise 4 VOX</t>
  </si>
  <si>
    <t>115 Sad ceremony 8 VOX</t>
  </si>
  <si>
    <t>116 Lost Voices 4 VOX</t>
  </si>
  <si>
    <t>117 Talk 2 Me 2 VOX</t>
  </si>
  <si>
    <t>118 Pearly Harp 4 PLUCKED</t>
  </si>
  <si>
    <t>119 Nylon Harp 3 PLUCKED</t>
  </si>
  <si>
    <t>120 Skydiver 2 PLUCKED</t>
  </si>
  <si>
    <t>121 Unpluck’d 3 PLUCKED</t>
  </si>
  <si>
    <t>122 Ethno Plucks 3 PLUCKED</t>
  </si>
  <si>
    <t>123 SaraswatiRvr 3 PLUCKED</t>
  </si>
  <si>
    <t>124 Drone X 4 PLUCKED</t>
  </si>
  <si>
    <t>125 Lounge Kit 2 COMBINATION</t>
  </si>
  <si>
    <t>126 Gospel Trio 3 COMBINATION</t>
  </si>
  <si>
    <t>127 xcultural 3 COMBINATION</t>
  </si>
  <si>
    <t>128 When I’m 64 2 COMBINATION</t>
  </si>
  <si>
    <t>SRX---</t>
  </si>
  <si>
    <t>SRX-01 Patch 1-41</t>
  </si>
  <si>
    <t>SRX-02 Patch 1-50</t>
  </si>
  <si>
    <t>SRX-97 Patch 1-12</t>
  </si>
  <si>
    <t>SRX-98 Patch 1-78</t>
  </si>
  <si>
    <t>SRX-03 Patch 1-128</t>
  </si>
  <si>
    <t>SRX-04 Patch 1-128</t>
  </si>
  <si>
    <t>SRX-05 Patch 1-128</t>
  </si>
  <si>
    <t>SRX-05 Patch 129-256</t>
  </si>
  <si>
    <t>SRX-06 Patch 129-256</t>
  </si>
  <si>
    <t>SRX-07 Patch 129-256</t>
  </si>
  <si>
    <t>SRX-08 Patch 129-256</t>
  </si>
  <si>
    <t>SRX-09 Patch 129-256</t>
  </si>
  <si>
    <t>SRX-06 Patch 1-128</t>
  </si>
  <si>
    <t>SRX-07 Patch 1-128</t>
  </si>
  <si>
    <t>SRX-08 Patch 1-128</t>
  </si>
  <si>
    <t>SRX-09 Patch 1-128</t>
  </si>
  <si>
    <t>SRX-10 Patch 1-100</t>
  </si>
  <si>
    <t>SRX-11 Patch 1-42</t>
  </si>
  <si>
    <t>SRX-12 Patch 1-105</t>
  </si>
  <si>
    <t>SRX-09 Patch 257-384</t>
  </si>
  <si>
    <t>SRX-08 Patch 257-384</t>
  </si>
  <si>
    <t>SRX-07 Patch 257-384</t>
  </si>
  <si>
    <t>SRX-06 Patch 257-384</t>
  </si>
  <si>
    <t>SRX-05 Patch 257-312</t>
  </si>
  <si>
    <t>SRX-06 Patch 385-449</t>
  </si>
  <si>
    <t>SRX-07 Patch 385-475</t>
  </si>
  <si>
    <t>SRX-08 Patch 385-448</t>
  </si>
  <si>
    <t>SRX-09 Patch 385-414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</si>
</sst>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49" fontId="0" fillId="0" borderId="0" xfId="0" applyNumberFormat="1"/>
    <xf numFmtId="0" fontId="0" fillId="0" borderId="1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49" fontId="0" fillId="0" borderId="11" xfId="0" applyNumberFormat="1" applyBorder="1"/>
    <xf numFmtId="0" fontId="0" fillId="0" borderId="12" xfId="0" applyBorder="1"/>
    <xf numFmtId="49" fontId="0" fillId="0" borderId="13" xfId="0" applyNumberFormat="1" applyBorder="1"/>
    <xf numFmtId="0" fontId="0" fillId="0" borderId="14" xfId="0" applyBorder="1"/>
    <xf numFmtId="49" fontId="0" fillId="0" borderId="9" xfId="0" applyNumberFormat="1" applyBorder="1"/>
    <xf numFmtId="0" fontId="0" fillId="0" borderId="15" xfId="0" applyBorder="1"/>
    <xf numFmtId="0" fontId="0" fillId="0" borderId="16" xfId="0" applyBorder="1"/>
    <xf numFmtId="0" fontId="0" fillId="0" borderId="11" xfId="0" applyBorder="1"/>
    <xf numFmtId="0" fontId="0" fillId="0" borderId="13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4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17" fontId="0" fillId="0" borderId="0" xfId="0" applyNumberFormat="1"/>
    <xf numFmtId="16" fontId="0" fillId="0" borderId="0" xfId="0" applyNumberFormat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E6CD1-0693-452C-B0A2-D4AC4798A042}">
  <dimension ref="A1:A173"/>
  <sheetViews>
    <sheetView tabSelected="1" workbookViewId="0">
      <selection activeCell="A99" sqref="A1:A99"/>
    </sheetView>
  </sheetViews>
  <sheetFormatPr defaultRowHeight="15" x14ac:dyDescent="0.25"/>
  <cols>
    <col min="1" max="1" width="22" customWidth="1"/>
  </cols>
  <sheetData>
    <row r="1" spans="1:1" x14ac:dyDescent="0.25">
      <c r="A1" t="s">
        <v>6317</v>
      </c>
    </row>
    <row r="2" spans="1:1" x14ac:dyDescent="0.25">
      <c r="A2" s="33" t="s">
        <v>6318</v>
      </c>
    </row>
    <row r="3" spans="1:1" x14ac:dyDescent="0.25">
      <c r="A3" t="s">
        <v>6321</v>
      </c>
    </row>
    <row r="4" spans="1:1" x14ac:dyDescent="0.25">
      <c r="A4" t="s">
        <v>6322</v>
      </c>
    </row>
    <row r="5" spans="1:1" x14ac:dyDescent="0.25">
      <c r="A5" s="33" t="s">
        <v>6323</v>
      </c>
    </row>
    <row r="6" spans="1:1" x14ac:dyDescent="0.25">
      <c r="A6" t="s">
        <v>6324</v>
      </c>
    </row>
    <row r="7" spans="1:1" x14ac:dyDescent="0.25">
      <c r="A7" t="s">
        <v>6340</v>
      </c>
    </row>
    <row r="8" spans="1:1" x14ac:dyDescent="0.25">
      <c r="A8" s="33" t="s">
        <v>6329</v>
      </c>
    </row>
    <row r="9" spans="1:1" x14ac:dyDescent="0.25">
      <c r="A9" t="s">
        <v>6325</v>
      </c>
    </row>
    <row r="10" spans="1:1" x14ac:dyDescent="0.25">
      <c r="A10" t="s">
        <v>6339</v>
      </c>
    </row>
    <row r="11" spans="1:1" x14ac:dyDescent="0.25">
      <c r="A11" s="33" t="s">
        <v>6341</v>
      </c>
    </row>
    <row r="12" spans="1:1" x14ac:dyDescent="0.25">
      <c r="A12" t="s">
        <v>6330</v>
      </c>
    </row>
    <row r="13" spans="1:1" x14ac:dyDescent="0.25">
      <c r="A13" t="s">
        <v>6326</v>
      </c>
    </row>
    <row r="14" spans="1:1" x14ac:dyDescent="0.25">
      <c r="A14" t="s">
        <v>6338</v>
      </c>
    </row>
    <row r="15" spans="1:1" x14ac:dyDescent="0.25">
      <c r="A15" t="s">
        <v>6342</v>
      </c>
    </row>
    <row r="16" spans="1:1" x14ac:dyDescent="0.25">
      <c r="A16" t="s">
        <v>6331</v>
      </c>
    </row>
    <row r="17" spans="1:1" x14ac:dyDescent="0.25">
      <c r="A17" t="s">
        <v>6327</v>
      </c>
    </row>
    <row r="18" spans="1:1" x14ac:dyDescent="0.25">
      <c r="A18" t="s">
        <v>6337</v>
      </c>
    </row>
    <row r="19" spans="1:1" x14ac:dyDescent="0.25">
      <c r="A19" t="s">
        <v>6343</v>
      </c>
    </row>
    <row r="20" spans="1:1" x14ac:dyDescent="0.25">
      <c r="A20" t="s">
        <v>6332</v>
      </c>
    </row>
    <row r="21" spans="1:1" x14ac:dyDescent="0.25">
      <c r="A21" t="s">
        <v>6328</v>
      </c>
    </row>
    <row r="22" spans="1:1" x14ac:dyDescent="0.25">
      <c r="A22" t="s">
        <v>6336</v>
      </c>
    </row>
    <row r="23" spans="1:1" x14ac:dyDescent="0.25">
      <c r="A23" t="s">
        <v>6344</v>
      </c>
    </row>
    <row r="24" spans="1:1" x14ac:dyDescent="0.25">
      <c r="A24" t="s">
        <v>6333</v>
      </c>
    </row>
    <row r="25" spans="1:1" x14ac:dyDescent="0.25">
      <c r="A25" t="s">
        <v>6334</v>
      </c>
    </row>
    <row r="26" spans="1:1" x14ac:dyDescent="0.25">
      <c r="A26" t="s">
        <v>6335</v>
      </c>
    </row>
    <row r="27" spans="1:1" x14ac:dyDescent="0.25">
      <c r="A27" t="s">
        <v>6316</v>
      </c>
    </row>
    <row r="28" spans="1:1" x14ac:dyDescent="0.25">
      <c r="A28" t="s">
        <v>6316</v>
      </c>
    </row>
    <row r="29" spans="1:1" x14ac:dyDescent="0.25">
      <c r="A29" t="s">
        <v>6316</v>
      </c>
    </row>
    <row r="30" spans="1:1" x14ac:dyDescent="0.25">
      <c r="A30" t="s">
        <v>6316</v>
      </c>
    </row>
    <row r="31" spans="1:1" x14ac:dyDescent="0.25">
      <c r="A31" t="s">
        <v>6316</v>
      </c>
    </row>
    <row r="32" spans="1:1" x14ac:dyDescent="0.25">
      <c r="A32" t="s">
        <v>6316</v>
      </c>
    </row>
    <row r="33" spans="1:1" x14ac:dyDescent="0.25">
      <c r="A33" t="s">
        <v>6316</v>
      </c>
    </row>
    <row r="34" spans="1:1" x14ac:dyDescent="0.25">
      <c r="A34" t="s">
        <v>6316</v>
      </c>
    </row>
    <row r="35" spans="1:1" x14ac:dyDescent="0.25">
      <c r="A35" t="s">
        <v>6316</v>
      </c>
    </row>
    <row r="36" spans="1:1" x14ac:dyDescent="0.25">
      <c r="A36" t="s">
        <v>6316</v>
      </c>
    </row>
    <row r="37" spans="1:1" x14ac:dyDescent="0.25">
      <c r="A37" t="s">
        <v>6316</v>
      </c>
    </row>
    <row r="38" spans="1:1" x14ac:dyDescent="0.25">
      <c r="A38" t="s">
        <v>6316</v>
      </c>
    </row>
    <row r="39" spans="1:1" x14ac:dyDescent="0.25">
      <c r="A39" t="s">
        <v>6316</v>
      </c>
    </row>
    <row r="40" spans="1:1" x14ac:dyDescent="0.25">
      <c r="A40" t="s">
        <v>6316</v>
      </c>
    </row>
    <row r="41" spans="1:1" x14ac:dyDescent="0.25">
      <c r="A41" t="s">
        <v>6316</v>
      </c>
    </row>
    <row r="42" spans="1:1" x14ac:dyDescent="0.25">
      <c r="A42" t="s">
        <v>6316</v>
      </c>
    </row>
    <row r="43" spans="1:1" x14ac:dyDescent="0.25">
      <c r="A43" t="s">
        <v>6316</v>
      </c>
    </row>
    <row r="44" spans="1:1" x14ac:dyDescent="0.25">
      <c r="A44" t="s">
        <v>6316</v>
      </c>
    </row>
    <row r="45" spans="1:1" x14ac:dyDescent="0.25">
      <c r="A45" t="s">
        <v>6316</v>
      </c>
    </row>
    <row r="46" spans="1:1" x14ac:dyDescent="0.25">
      <c r="A46" t="s">
        <v>6316</v>
      </c>
    </row>
    <row r="47" spans="1:1" x14ac:dyDescent="0.25">
      <c r="A47" t="s">
        <v>6316</v>
      </c>
    </row>
    <row r="48" spans="1:1" x14ac:dyDescent="0.25">
      <c r="A48" t="s">
        <v>6316</v>
      </c>
    </row>
    <row r="49" spans="1:1" x14ac:dyDescent="0.25">
      <c r="A49" t="s">
        <v>6316</v>
      </c>
    </row>
    <row r="50" spans="1:1" x14ac:dyDescent="0.25">
      <c r="A50" t="s">
        <v>6316</v>
      </c>
    </row>
    <row r="51" spans="1:1" x14ac:dyDescent="0.25">
      <c r="A51" t="s">
        <v>6316</v>
      </c>
    </row>
    <row r="52" spans="1:1" x14ac:dyDescent="0.25">
      <c r="A52" t="s">
        <v>6316</v>
      </c>
    </row>
    <row r="53" spans="1:1" x14ac:dyDescent="0.25">
      <c r="A53" t="s">
        <v>6316</v>
      </c>
    </row>
    <row r="54" spans="1:1" x14ac:dyDescent="0.25">
      <c r="A54" t="s">
        <v>6316</v>
      </c>
    </row>
    <row r="55" spans="1:1" x14ac:dyDescent="0.25">
      <c r="A55" t="s">
        <v>6316</v>
      </c>
    </row>
    <row r="56" spans="1:1" x14ac:dyDescent="0.25">
      <c r="A56" t="s">
        <v>6316</v>
      </c>
    </row>
    <row r="57" spans="1:1" x14ac:dyDescent="0.25">
      <c r="A57" t="s">
        <v>6316</v>
      </c>
    </row>
    <row r="58" spans="1:1" x14ac:dyDescent="0.25">
      <c r="A58" t="s">
        <v>6316</v>
      </c>
    </row>
    <row r="59" spans="1:1" x14ac:dyDescent="0.25">
      <c r="A59" t="s">
        <v>6316</v>
      </c>
    </row>
    <row r="60" spans="1:1" x14ac:dyDescent="0.25">
      <c r="A60" t="s">
        <v>6316</v>
      </c>
    </row>
    <row r="61" spans="1:1" x14ac:dyDescent="0.25">
      <c r="A61" t="s">
        <v>6316</v>
      </c>
    </row>
    <row r="62" spans="1:1" x14ac:dyDescent="0.25">
      <c r="A62" t="s">
        <v>6316</v>
      </c>
    </row>
    <row r="63" spans="1:1" x14ac:dyDescent="0.25">
      <c r="A63" t="s">
        <v>6316</v>
      </c>
    </row>
    <row r="64" spans="1:1" x14ac:dyDescent="0.25">
      <c r="A64" t="s">
        <v>6316</v>
      </c>
    </row>
    <row r="65" spans="1:1" x14ac:dyDescent="0.25">
      <c r="A65" t="s">
        <v>6316</v>
      </c>
    </row>
    <row r="66" spans="1:1" x14ac:dyDescent="0.25">
      <c r="A66" t="s">
        <v>6316</v>
      </c>
    </row>
    <row r="67" spans="1:1" x14ac:dyDescent="0.25">
      <c r="A67" t="s">
        <v>6316</v>
      </c>
    </row>
    <row r="68" spans="1:1" x14ac:dyDescent="0.25">
      <c r="A68" t="s">
        <v>6316</v>
      </c>
    </row>
    <row r="69" spans="1:1" x14ac:dyDescent="0.25">
      <c r="A69" t="s">
        <v>6316</v>
      </c>
    </row>
    <row r="70" spans="1:1" x14ac:dyDescent="0.25">
      <c r="A70" t="s">
        <v>6316</v>
      </c>
    </row>
    <row r="71" spans="1:1" x14ac:dyDescent="0.25">
      <c r="A71" t="s">
        <v>6316</v>
      </c>
    </row>
    <row r="72" spans="1:1" x14ac:dyDescent="0.25">
      <c r="A72" t="s">
        <v>6316</v>
      </c>
    </row>
    <row r="73" spans="1:1" x14ac:dyDescent="0.25">
      <c r="A73" t="s">
        <v>6316</v>
      </c>
    </row>
    <row r="74" spans="1:1" x14ac:dyDescent="0.25">
      <c r="A74" t="s">
        <v>6316</v>
      </c>
    </row>
    <row r="75" spans="1:1" x14ac:dyDescent="0.25">
      <c r="A75" t="s">
        <v>6316</v>
      </c>
    </row>
    <row r="76" spans="1:1" x14ac:dyDescent="0.25">
      <c r="A76" t="s">
        <v>6316</v>
      </c>
    </row>
    <row r="77" spans="1:1" x14ac:dyDescent="0.25">
      <c r="A77" t="s">
        <v>6316</v>
      </c>
    </row>
    <row r="78" spans="1:1" x14ac:dyDescent="0.25">
      <c r="A78" t="s">
        <v>6316</v>
      </c>
    </row>
    <row r="79" spans="1:1" x14ac:dyDescent="0.25">
      <c r="A79" t="s">
        <v>6316</v>
      </c>
    </row>
    <row r="80" spans="1:1" x14ac:dyDescent="0.25">
      <c r="A80" t="s">
        <v>6316</v>
      </c>
    </row>
    <row r="81" spans="1:1" x14ac:dyDescent="0.25">
      <c r="A81" t="s">
        <v>6316</v>
      </c>
    </row>
    <row r="82" spans="1:1" x14ac:dyDescent="0.25">
      <c r="A82" t="s">
        <v>6316</v>
      </c>
    </row>
    <row r="83" spans="1:1" x14ac:dyDescent="0.25">
      <c r="A83" t="s">
        <v>6316</v>
      </c>
    </row>
    <row r="84" spans="1:1" x14ac:dyDescent="0.25">
      <c r="A84" t="s">
        <v>6316</v>
      </c>
    </row>
    <row r="85" spans="1:1" x14ac:dyDescent="0.25">
      <c r="A85" t="s">
        <v>6316</v>
      </c>
    </row>
    <row r="86" spans="1:1" x14ac:dyDescent="0.25">
      <c r="A86" t="s">
        <v>6316</v>
      </c>
    </row>
    <row r="87" spans="1:1" x14ac:dyDescent="0.25">
      <c r="A87" t="s">
        <v>6316</v>
      </c>
    </row>
    <row r="88" spans="1:1" x14ac:dyDescent="0.25">
      <c r="A88" t="s">
        <v>6316</v>
      </c>
    </row>
    <row r="89" spans="1:1" x14ac:dyDescent="0.25">
      <c r="A89" t="s">
        <v>6316</v>
      </c>
    </row>
    <row r="90" spans="1:1" x14ac:dyDescent="0.25">
      <c r="A90" t="s">
        <v>6316</v>
      </c>
    </row>
    <row r="91" spans="1:1" x14ac:dyDescent="0.25">
      <c r="A91" t="s">
        <v>6316</v>
      </c>
    </row>
    <row r="92" spans="1:1" x14ac:dyDescent="0.25">
      <c r="A92" t="s">
        <v>6316</v>
      </c>
    </row>
    <row r="93" spans="1:1" x14ac:dyDescent="0.25">
      <c r="A93" t="s">
        <v>6316</v>
      </c>
    </row>
    <row r="94" spans="1:1" x14ac:dyDescent="0.25">
      <c r="A94" t="s">
        <v>6316</v>
      </c>
    </row>
    <row r="95" spans="1:1" x14ac:dyDescent="0.25">
      <c r="A95" t="s">
        <v>6316</v>
      </c>
    </row>
    <row r="96" spans="1:1" x14ac:dyDescent="0.25">
      <c r="A96" t="s">
        <v>6316</v>
      </c>
    </row>
    <row r="97" spans="1:1" x14ac:dyDescent="0.25">
      <c r="A97" t="s">
        <v>6316</v>
      </c>
    </row>
    <row r="98" spans="1:1" x14ac:dyDescent="0.25">
      <c r="A98" t="s">
        <v>6319</v>
      </c>
    </row>
    <row r="99" spans="1:1" x14ac:dyDescent="0.25">
      <c r="A99" t="s">
        <v>6320</v>
      </c>
    </row>
    <row r="113" spans="1:1" x14ac:dyDescent="0.25">
      <c r="A113" s="33"/>
    </row>
    <row r="137" spans="1:1" x14ac:dyDescent="0.25">
      <c r="A137" s="33"/>
    </row>
    <row r="152" spans="1:1" x14ac:dyDescent="0.25">
      <c r="A152" s="33"/>
    </row>
    <row r="155" spans="1:1" x14ac:dyDescent="0.25">
      <c r="A155" s="33"/>
    </row>
    <row r="164" spans="1:1" x14ac:dyDescent="0.25">
      <c r="A164" s="34"/>
    </row>
    <row r="167" spans="1:1" x14ac:dyDescent="0.25">
      <c r="A167" s="34"/>
    </row>
    <row r="170" spans="1:1" x14ac:dyDescent="0.25">
      <c r="A170" s="33"/>
    </row>
    <row r="173" spans="1:1" x14ac:dyDescent="0.25">
      <c r="A173" s="3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87378-7DBF-46C1-8FF3-7420B280392D}">
  <dimension ref="A1:A1228"/>
  <sheetViews>
    <sheetView topLeftCell="A1192" workbookViewId="0">
      <selection sqref="A1:A1228"/>
    </sheetView>
  </sheetViews>
  <sheetFormatPr defaultRowHeight="15" x14ac:dyDescent="0.25"/>
  <cols>
    <col min="1" max="1" width="29.5703125" customWidth="1"/>
  </cols>
  <sheetData>
    <row r="1" spans="1:1" x14ac:dyDescent="0.25">
      <c r="A1" s="1" t="s">
        <v>1401</v>
      </c>
    </row>
    <row r="2" spans="1:1" x14ac:dyDescent="0.25">
      <c r="A2" s="1" t="s">
        <v>1402</v>
      </c>
    </row>
    <row r="3" spans="1:1" x14ac:dyDescent="0.25">
      <c r="A3" s="1" t="s">
        <v>1403</v>
      </c>
    </row>
    <row r="4" spans="1:1" x14ac:dyDescent="0.25">
      <c r="A4" s="1" t="s">
        <v>1404</v>
      </c>
    </row>
    <row r="5" spans="1:1" x14ac:dyDescent="0.25">
      <c r="A5" s="1" t="s">
        <v>1405</v>
      </c>
    </row>
    <row r="6" spans="1:1" x14ac:dyDescent="0.25">
      <c r="A6" s="1" t="s">
        <v>1406</v>
      </c>
    </row>
    <row r="7" spans="1:1" x14ac:dyDescent="0.25">
      <c r="A7" s="1" t="s">
        <v>1407</v>
      </c>
    </row>
    <row r="8" spans="1:1" x14ac:dyDescent="0.25">
      <c r="A8" s="1" t="s">
        <v>1408</v>
      </c>
    </row>
    <row r="9" spans="1:1" x14ac:dyDescent="0.25">
      <c r="A9" s="1" t="s">
        <v>1409</v>
      </c>
    </row>
    <row r="10" spans="1:1" x14ac:dyDescent="0.25">
      <c r="A10" s="1" t="s">
        <v>1410</v>
      </c>
    </row>
    <row r="11" spans="1:1" x14ac:dyDescent="0.25">
      <c r="A11" s="1" t="s">
        <v>1411</v>
      </c>
    </row>
    <row r="12" spans="1:1" x14ac:dyDescent="0.25">
      <c r="A12" s="1" t="s">
        <v>1412</v>
      </c>
    </row>
    <row r="13" spans="1:1" x14ac:dyDescent="0.25">
      <c r="A13" s="1" t="s">
        <v>1413</v>
      </c>
    </row>
    <row r="14" spans="1:1" x14ac:dyDescent="0.25">
      <c r="A14" s="1" t="s">
        <v>1414</v>
      </c>
    </row>
    <row r="15" spans="1:1" x14ac:dyDescent="0.25">
      <c r="A15" s="1" t="s">
        <v>1415</v>
      </c>
    </row>
    <row r="16" spans="1:1" x14ac:dyDescent="0.25">
      <c r="A16" s="1" t="s">
        <v>1416</v>
      </c>
    </row>
    <row r="17" spans="1:1" x14ac:dyDescent="0.25">
      <c r="A17" s="1" t="s">
        <v>1417</v>
      </c>
    </row>
    <row r="18" spans="1:1" x14ac:dyDescent="0.25">
      <c r="A18" s="1" t="s">
        <v>1418</v>
      </c>
    </row>
    <row r="19" spans="1:1" x14ac:dyDescent="0.25">
      <c r="A19" s="1" t="s">
        <v>1419</v>
      </c>
    </row>
    <row r="20" spans="1:1" x14ac:dyDescent="0.25">
      <c r="A20" s="1" t="s">
        <v>1420</v>
      </c>
    </row>
    <row r="21" spans="1:1" x14ac:dyDescent="0.25">
      <c r="A21" s="1" t="s">
        <v>1421</v>
      </c>
    </row>
    <row r="22" spans="1:1" x14ac:dyDescent="0.25">
      <c r="A22" s="1" t="s">
        <v>1422</v>
      </c>
    </row>
    <row r="23" spans="1:1" x14ac:dyDescent="0.25">
      <c r="A23" s="1" t="s">
        <v>1423</v>
      </c>
    </row>
    <row r="24" spans="1:1" x14ac:dyDescent="0.25">
      <c r="A24" s="1" t="s">
        <v>1424</v>
      </c>
    </row>
    <row r="25" spans="1:1" x14ac:dyDescent="0.25">
      <c r="A25" s="1" t="s">
        <v>1425</v>
      </c>
    </row>
    <row r="26" spans="1:1" x14ac:dyDescent="0.25">
      <c r="A26" s="1" t="s">
        <v>1426</v>
      </c>
    </row>
    <row r="27" spans="1:1" x14ac:dyDescent="0.25">
      <c r="A27" s="1" t="s">
        <v>1427</v>
      </c>
    </row>
    <row r="28" spans="1:1" x14ac:dyDescent="0.25">
      <c r="A28" s="1" t="s">
        <v>1428</v>
      </c>
    </row>
    <row r="29" spans="1:1" x14ac:dyDescent="0.25">
      <c r="A29" s="1" t="s">
        <v>1429</v>
      </c>
    </row>
    <row r="30" spans="1:1" x14ac:dyDescent="0.25">
      <c r="A30" s="1" t="s">
        <v>1430</v>
      </c>
    </row>
    <row r="31" spans="1:1" x14ac:dyDescent="0.25">
      <c r="A31" s="1" t="s">
        <v>1431</v>
      </c>
    </row>
    <row r="32" spans="1:1" x14ac:dyDescent="0.25">
      <c r="A32" s="1" t="s">
        <v>1432</v>
      </c>
    </row>
    <row r="33" spans="1:1" x14ac:dyDescent="0.25">
      <c r="A33" s="1" t="s">
        <v>1433</v>
      </c>
    </row>
    <row r="34" spans="1:1" x14ac:dyDescent="0.25">
      <c r="A34" s="1" t="s">
        <v>1434</v>
      </c>
    </row>
    <row r="35" spans="1:1" x14ac:dyDescent="0.25">
      <c r="A35" s="1" t="s">
        <v>1435</v>
      </c>
    </row>
    <row r="36" spans="1:1" x14ac:dyDescent="0.25">
      <c r="A36" s="1" t="s">
        <v>1436</v>
      </c>
    </row>
    <row r="37" spans="1:1" x14ac:dyDescent="0.25">
      <c r="A37" s="1" t="s">
        <v>1437</v>
      </c>
    </row>
    <row r="38" spans="1:1" x14ac:dyDescent="0.25">
      <c r="A38" s="1" t="s">
        <v>1438</v>
      </c>
    </row>
    <row r="39" spans="1:1" x14ac:dyDescent="0.25">
      <c r="A39" s="1" t="s">
        <v>1439</v>
      </c>
    </row>
    <row r="40" spans="1:1" x14ac:dyDescent="0.25">
      <c r="A40" s="1" t="s">
        <v>1440</v>
      </c>
    </row>
    <row r="41" spans="1:1" x14ac:dyDescent="0.25">
      <c r="A41" s="1" t="s">
        <v>1441</v>
      </c>
    </row>
    <row r="42" spans="1:1" x14ac:dyDescent="0.25">
      <c r="A42" s="1" t="s">
        <v>1442</v>
      </c>
    </row>
    <row r="43" spans="1:1" x14ac:dyDescent="0.25">
      <c r="A43" s="1" t="s">
        <v>1443</v>
      </c>
    </row>
    <row r="44" spans="1:1" x14ac:dyDescent="0.25">
      <c r="A44" s="1" t="s">
        <v>1444</v>
      </c>
    </row>
    <row r="45" spans="1:1" x14ac:dyDescent="0.25">
      <c r="A45" s="1" t="s">
        <v>1445</v>
      </c>
    </row>
    <row r="46" spans="1:1" x14ac:dyDescent="0.25">
      <c r="A46" s="1" t="s">
        <v>1446</v>
      </c>
    </row>
    <row r="47" spans="1:1" x14ac:dyDescent="0.25">
      <c r="A47" s="1" t="s">
        <v>1447</v>
      </c>
    </row>
    <row r="48" spans="1:1" x14ac:dyDescent="0.25">
      <c r="A48" s="1" t="s">
        <v>1448</v>
      </c>
    </row>
    <row r="49" spans="1:1" x14ac:dyDescent="0.25">
      <c r="A49" s="1" t="s">
        <v>1449</v>
      </c>
    </row>
    <row r="50" spans="1:1" x14ac:dyDescent="0.25">
      <c r="A50" s="1" t="s">
        <v>1450</v>
      </c>
    </row>
    <row r="51" spans="1:1" x14ac:dyDescent="0.25">
      <c r="A51" s="1" t="s">
        <v>1451</v>
      </c>
    </row>
    <row r="52" spans="1:1" x14ac:dyDescent="0.25">
      <c r="A52" s="1" t="s">
        <v>1452</v>
      </c>
    </row>
    <row r="53" spans="1:1" x14ac:dyDescent="0.25">
      <c r="A53" s="1" t="s">
        <v>1453</v>
      </c>
    </row>
    <row r="54" spans="1:1" x14ac:dyDescent="0.25">
      <c r="A54" s="1" t="s">
        <v>1454</v>
      </c>
    </row>
    <row r="55" spans="1:1" x14ac:dyDescent="0.25">
      <c r="A55" s="1" t="s">
        <v>1455</v>
      </c>
    </row>
    <row r="56" spans="1:1" x14ac:dyDescent="0.25">
      <c r="A56" s="1" t="s">
        <v>1456</v>
      </c>
    </row>
    <row r="57" spans="1:1" x14ac:dyDescent="0.25">
      <c r="A57" s="1" t="s">
        <v>1457</v>
      </c>
    </row>
    <row r="58" spans="1:1" x14ac:dyDescent="0.25">
      <c r="A58" s="1" t="s">
        <v>1458</v>
      </c>
    </row>
    <row r="59" spans="1:1" x14ac:dyDescent="0.25">
      <c r="A59" s="1" t="s">
        <v>1459</v>
      </c>
    </row>
    <row r="60" spans="1:1" x14ac:dyDescent="0.25">
      <c r="A60" s="1" t="s">
        <v>1460</v>
      </c>
    </row>
    <row r="61" spans="1:1" x14ac:dyDescent="0.25">
      <c r="A61" s="1" t="s">
        <v>1461</v>
      </c>
    </row>
    <row r="62" spans="1:1" x14ac:dyDescent="0.25">
      <c r="A62" s="1" t="s">
        <v>1462</v>
      </c>
    </row>
    <row r="63" spans="1:1" x14ac:dyDescent="0.25">
      <c r="A63" s="1" t="s">
        <v>1463</v>
      </c>
    </row>
    <row r="64" spans="1:1" x14ac:dyDescent="0.25">
      <c r="A64" s="1" t="s">
        <v>1464</v>
      </c>
    </row>
    <row r="65" spans="1:1" x14ac:dyDescent="0.25">
      <c r="A65" s="1" t="s">
        <v>1465</v>
      </c>
    </row>
    <row r="66" spans="1:1" x14ac:dyDescent="0.25">
      <c r="A66" s="1" t="s">
        <v>1466</v>
      </c>
    </row>
    <row r="67" spans="1:1" x14ac:dyDescent="0.25">
      <c r="A67" s="1" t="s">
        <v>1467</v>
      </c>
    </row>
    <row r="68" spans="1:1" x14ac:dyDescent="0.25">
      <c r="A68" s="1" t="s">
        <v>1468</v>
      </c>
    </row>
    <row r="69" spans="1:1" x14ac:dyDescent="0.25">
      <c r="A69" s="1" t="s">
        <v>1469</v>
      </c>
    </row>
    <row r="70" spans="1:1" x14ac:dyDescent="0.25">
      <c r="A70" s="1" t="s">
        <v>1470</v>
      </c>
    </row>
    <row r="71" spans="1:1" x14ac:dyDescent="0.25">
      <c r="A71" s="1" t="s">
        <v>1471</v>
      </c>
    </row>
    <row r="72" spans="1:1" x14ac:dyDescent="0.25">
      <c r="A72" s="1" t="s">
        <v>1472</v>
      </c>
    </row>
    <row r="73" spans="1:1" x14ac:dyDescent="0.25">
      <c r="A73" s="1" t="s">
        <v>1473</v>
      </c>
    </row>
    <row r="74" spans="1:1" x14ac:dyDescent="0.25">
      <c r="A74" s="1" t="s">
        <v>1474</v>
      </c>
    </row>
    <row r="75" spans="1:1" x14ac:dyDescent="0.25">
      <c r="A75" s="1" t="s">
        <v>1475</v>
      </c>
    </row>
    <row r="76" spans="1:1" x14ac:dyDescent="0.25">
      <c r="A76" s="1" t="s">
        <v>1476</v>
      </c>
    </row>
    <row r="77" spans="1:1" x14ac:dyDescent="0.25">
      <c r="A77" s="1" t="s">
        <v>1477</v>
      </c>
    </row>
    <row r="78" spans="1:1" x14ac:dyDescent="0.25">
      <c r="A78" s="1" t="s">
        <v>1478</v>
      </c>
    </row>
    <row r="79" spans="1:1" x14ac:dyDescent="0.25">
      <c r="A79" s="1" t="s">
        <v>1479</v>
      </c>
    </row>
    <row r="80" spans="1:1" x14ac:dyDescent="0.25">
      <c r="A80" s="1" t="s">
        <v>1480</v>
      </c>
    </row>
    <row r="81" spans="1:1" x14ac:dyDescent="0.25">
      <c r="A81" s="1" t="s">
        <v>1481</v>
      </c>
    </row>
    <row r="82" spans="1:1" x14ac:dyDescent="0.25">
      <c r="A82" s="1" t="s">
        <v>1482</v>
      </c>
    </row>
    <row r="83" spans="1:1" x14ac:dyDescent="0.25">
      <c r="A83" s="1" t="s">
        <v>1483</v>
      </c>
    </row>
    <row r="84" spans="1:1" x14ac:dyDescent="0.25">
      <c r="A84" s="1" t="s">
        <v>1484</v>
      </c>
    </row>
    <row r="85" spans="1:1" x14ac:dyDescent="0.25">
      <c r="A85" s="1" t="s">
        <v>1485</v>
      </c>
    </row>
    <row r="86" spans="1:1" x14ac:dyDescent="0.25">
      <c r="A86" s="1" t="s">
        <v>1486</v>
      </c>
    </row>
    <row r="87" spans="1:1" x14ac:dyDescent="0.25">
      <c r="A87" s="1" t="s">
        <v>1487</v>
      </c>
    </row>
    <row r="88" spans="1:1" x14ac:dyDescent="0.25">
      <c r="A88" s="1" t="s">
        <v>1488</v>
      </c>
    </row>
    <row r="89" spans="1:1" x14ac:dyDescent="0.25">
      <c r="A89" s="1" t="s">
        <v>1489</v>
      </c>
    </row>
    <row r="90" spans="1:1" x14ac:dyDescent="0.25">
      <c r="A90" s="1" t="s">
        <v>1490</v>
      </c>
    </row>
    <row r="91" spans="1:1" x14ac:dyDescent="0.25">
      <c r="A91" s="1" t="s">
        <v>1491</v>
      </c>
    </row>
    <row r="92" spans="1:1" x14ac:dyDescent="0.25">
      <c r="A92" s="1" t="s">
        <v>1492</v>
      </c>
    </row>
    <row r="93" spans="1:1" x14ac:dyDescent="0.25">
      <c r="A93" s="1" t="s">
        <v>1493</v>
      </c>
    </row>
    <row r="94" spans="1:1" x14ac:dyDescent="0.25">
      <c r="A94" s="1" t="s">
        <v>1494</v>
      </c>
    </row>
    <row r="95" spans="1:1" x14ac:dyDescent="0.25">
      <c r="A95" s="1" t="s">
        <v>1495</v>
      </c>
    </row>
    <row r="96" spans="1:1" x14ac:dyDescent="0.25">
      <c r="A96" s="1" t="s">
        <v>1496</v>
      </c>
    </row>
    <row r="97" spans="1:1" x14ac:dyDescent="0.25">
      <c r="A97" s="1" t="s">
        <v>1497</v>
      </c>
    </row>
    <row r="98" spans="1:1" x14ac:dyDescent="0.25">
      <c r="A98" s="1" t="s">
        <v>1498</v>
      </c>
    </row>
    <row r="99" spans="1:1" x14ac:dyDescent="0.25">
      <c r="A99" s="1" t="s">
        <v>1499</v>
      </c>
    </row>
    <row r="100" spans="1:1" x14ac:dyDescent="0.25">
      <c r="A100" s="1" t="s">
        <v>1500</v>
      </c>
    </row>
    <row r="101" spans="1:1" x14ac:dyDescent="0.25">
      <c r="A101" s="1" t="s">
        <v>1501</v>
      </c>
    </row>
    <row r="102" spans="1:1" x14ac:dyDescent="0.25">
      <c r="A102" s="1" t="s">
        <v>1502</v>
      </c>
    </row>
    <row r="103" spans="1:1" x14ac:dyDescent="0.25">
      <c r="A103" s="1" t="s">
        <v>1503</v>
      </c>
    </row>
    <row r="104" spans="1:1" x14ac:dyDescent="0.25">
      <c r="A104" s="1" t="s">
        <v>1504</v>
      </c>
    </row>
    <row r="105" spans="1:1" x14ac:dyDescent="0.25">
      <c r="A105" s="1" t="s">
        <v>1505</v>
      </c>
    </row>
    <row r="106" spans="1:1" x14ac:dyDescent="0.25">
      <c r="A106" s="1" t="s">
        <v>1506</v>
      </c>
    </row>
    <row r="107" spans="1:1" x14ac:dyDescent="0.25">
      <c r="A107" s="1" t="s">
        <v>1507</v>
      </c>
    </row>
    <row r="108" spans="1:1" x14ac:dyDescent="0.25">
      <c r="A108" s="1" t="s">
        <v>1508</v>
      </c>
    </row>
    <row r="109" spans="1:1" x14ac:dyDescent="0.25">
      <c r="A109" s="1" t="s">
        <v>1509</v>
      </c>
    </row>
    <row r="110" spans="1:1" x14ac:dyDescent="0.25">
      <c r="A110" s="1" t="s">
        <v>1510</v>
      </c>
    </row>
    <row r="111" spans="1:1" x14ac:dyDescent="0.25">
      <c r="A111" s="1" t="s">
        <v>1511</v>
      </c>
    </row>
    <row r="112" spans="1:1" x14ac:dyDescent="0.25">
      <c r="A112" s="1" t="s">
        <v>1512</v>
      </c>
    </row>
    <row r="113" spans="1:1" x14ac:dyDescent="0.25">
      <c r="A113" s="1" t="s">
        <v>1513</v>
      </c>
    </row>
    <row r="114" spans="1:1" x14ac:dyDescent="0.25">
      <c r="A114" s="1" t="s">
        <v>1514</v>
      </c>
    </row>
    <row r="115" spans="1:1" x14ac:dyDescent="0.25">
      <c r="A115" s="1" t="s">
        <v>1515</v>
      </c>
    </row>
    <row r="116" spans="1:1" x14ac:dyDescent="0.25">
      <c r="A116" s="1" t="s">
        <v>1516</v>
      </c>
    </row>
    <row r="117" spans="1:1" x14ac:dyDescent="0.25">
      <c r="A117" s="1" t="s">
        <v>1517</v>
      </c>
    </row>
    <row r="118" spans="1:1" x14ac:dyDescent="0.25">
      <c r="A118" s="1" t="s">
        <v>1518</v>
      </c>
    </row>
    <row r="119" spans="1:1" x14ac:dyDescent="0.25">
      <c r="A119" s="1" t="s">
        <v>1519</v>
      </c>
    </row>
    <row r="120" spans="1:1" x14ac:dyDescent="0.25">
      <c r="A120" s="1" t="s">
        <v>1520</v>
      </c>
    </row>
    <row r="121" spans="1:1" x14ac:dyDescent="0.25">
      <c r="A121" s="1" t="s">
        <v>1521</v>
      </c>
    </row>
    <row r="122" spans="1:1" x14ac:dyDescent="0.25">
      <c r="A122" s="1" t="s">
        <v>1522</v>
      </c>
    </row>
    <row r="123" spans="1:1" x14ac:dyDescent="0.25">
      <c r="A123" s="1" t="s">
        <v>1523</v>
      </c>
    </row>
    <row r="124" spans="1:1" x14ac:dyDescent="0.25">
      <c r="A124" s="1" t="s">
        <v>1524</v>
      </c>
    </row>
    <row r="125" spans="1:1" x14ac:dyDescent="0.25">
      <c r="A125" s="1" t="s">
        <v>1525</v>
      </c>
    </row>
    <row r="126" spans="1:1" x14ac:dyDescent="0.25">
      <c r="A126" s="1" t="s">
        <v>1526</v>
      </c>
    </row>
    <row r="127" spans="1:1" x14ac:dyDescent="0.25">
      <c r="A127" s="1" t="s">
        <v>1527</v>
      </c>
    </row>
    <row r="128" spans="1:1" x14ac:dyDescent="0.25">
      <c r="A128" s="1" t="s">
        <v>1528</v>
      </c>
    </row>
    <row r="129" spans="1:1" x14ac:dyDescent="0.25">
      <c r="A129" s="1" t="s">
        <v>1529</v>
      </c>
    </row>
    <row r="130" spans="1:1" x14ac:dyDescent="0.25">
      <c r="A130" s="1" t="s">
        <v>1530</v>
      </c>
    </row>
    <row r="131" spans="1:1" x14ac:dyDescent="0.25">
      <c r="A131" s="1" t="s">
        <v>1531</v>
      </c>
    </row>
    <row r="132" spans="1:1" x14ac:dyDescent="0.25">
      <c r="A132" s="1" t="s">
        <v>1532</v>
      </c>
    </row>
    <row r="133" spans="1:1" x14ac:dyDescent="0.25">
      <c r="A133" s="1" t="s">
        <v>1533</v>
      </c>
    </row>
    <row r="134" spans="1:1" x14ac:dyDescent="0.25">
      <c r="A134" s="1" t="s">
        <v>1534</v>
      </c>
    </row>
    <row r="135" spans="1:1" x14ac:dyDescent="0.25">
      <c r="A135" s="1" t="s">
        <v>1535</v>
      </c>
    </row>
    <row r="136" spans="1:1" x14ac:dyDescent="0.25">
      <c r="A136" s="1" t="s">
        <v>1536</v>
      </c>
    </row>
    <row r="137" spans="1:1" x14ac:dyDescent="0.25">
      <c r="A137" s="1" t="s">
        <v>1537</v>
      </c>
    </row>
    <row r="138" spans="1:1" x14ac:dyDescent="0.25">
      <c r="A138" s="1" t="s">
        <v>1538</v>
      </c>
    </row>
    <row r="139" spans="1:1" x14ac:dyDescent="0.25">
      <c r="A139" s="1" t="s">
        <v>1539</v>
      </c>
    </row>
    <row r="140" spans="1:1" x14ac:dyDescent="0.25">
      <c r="A140" s="1" t="s">
        <v>1540</v>
      </c>
    </row>
    <row r="141" spans="1:1" x14ac:dyDescent="0.25">
      <c r="A141" s="1" t="s">
        <v>1541</v>
      </c>
    </row>
    <row r="142" spans="1:1" x14ac:dyDescent="0.25">
      <c r="A142" s="1" t="s">
        <v>1542</v>
      </c>
    </row>
    <row r="143" spans="1:1" x14ac:dyDescent="0.25">
      <c r="A143" s="1" t="s">
        <v>1543</v>
      </c>
    </row>
    <row r="144" spans="1:1" x14ac:dyDescent="0.25">
      <c r="A144" s="1" t="s">
        <v>1544</v>
      </c>
    </row>
    <row r="145" spans="1:1" x14ac:dyDescent="0.25">
      <c r="A145" s="1" t="s">
        <v>1545</v>
      </c>
    </row>
    <row r="146" spans="1:1" x14ac:dyDescent="0.25">
      <c r="A146" s="1" t="s">
        <v>1546</v>
      </c>
    </row>
    <row r="147" spans="1:1" x14ac:dyDescent="0.25">
      <c r="A147" s="1" t="s">
        <v>1547</v>
      </c>
    </row>
    <row r="148" spans="1:1" x14ac:dyDescent="0.25">
      <c r="A148" s="1" t="s">
        <v>1548</v>
      </c>
    </row>
    <row r="149" spans="1:1" x14ac:dyDescent="0.25">
      <c r="A149" s="1" t="s">
        <v>1549</v>
      </c>
    </row>
    <row r="150" spans="1:1" x14ac:dyDescent="0.25">
      <c r="A150" s="1" t="s">
        <v>1550</v>
      </c>
    </row>
    <row r="151" spans="1:1" x14ac:dyDescent="0.25">
      <c r="A151" s="1" t="s">
        <v>1551</v>
      </c>
    </row>
    <row r="152" spans="1:1" x14ac:dyDescent="0.25">
      <c r="A152" s="1" t="s">
        <v>1552</v>
      </c>
    </row>
    <row r="153" spans="1:1" x14ac:dyDescent="0.25">
      <c r="A153" s="1" t="s">
        <v>1553</v>
      </c>
    </row>
    <row r="154" spans="1:1" x14ac:dyDescent="0.25">
      <c r="A154" s="1" t="s">
        <v>1554</v>
      </c>
    </row>
    <row r="155" spans="1:1" x14ac:dyDescent="0.25">
      <c r="A155" s="1" t="s">
        <v>1555</v>
      </c>
    </row>
    <row r="156" spans="1:1" x14ac:dyDescent="0.25">
      <c r="A156" s="1" t="s">
        <v>1556</v>
      </c>
    </row>
    <row r="157" spans="1:1" x14ac:dyDescent="0.25">
      <c r="A157" s="1" t="s">
        <v>1557</v>
      </c>
    </row>
    <row r="158" spans="1:1" x14ac:dyDescent="0.25">
      <c r="A158" s="1" t="s">
        <v>1558</v>
      </c>
    </row>
    <row r="159" spans="1:1" x14ac:dyDescent="0.25">
      <c r="A159" s="1" t="s">
        <v>1559</v>
      </c>
    </row>
    <row r="160" spans="1:1" x14ac:dyDescent="0.25">
      <c r="A160" s="1" t="s">
        <v>1560</v>
      </c>
    </row>
    <row r="161" spans="1:1" x14ac:dyDescent="0.25">
      <c r="A161" s="1" t="s">
        <v>1561</v>
      </c>
    </row>
    <row r="162" spans="1:1" x14ac:dyDescent="0.25">
      <c r="A162" s="1" t="s">
        <v>1562</v>
      </c>
    </row>
    <row r="163" spans="1:1" x14ac:dyDescent="0.25">
      <c r="A163" s="1" t="s">
        <v>1563</v>
      </c>
    </row>
    <row r="164" spans="1:1" x14ac:dyDescent="0.25">
      <c r="A164" s="1" t="s">
        <v>1564</v>
      </c>
    </row>
    <row r="165" spans="1:1" x14ac:dyDescent="0.25">
      <c r="A165" s="1" t="s">
        <v>1565</v>
      </c>
    </row>
    <row r="166" spans="1:1" x14ac:dyDescent="0.25">
      <c r="A166" s="1" t="s">
        <v>1566</v>
      </c>
    </row>
    <row r="167" spans="1:1" x14ac:dyDescent="0.25">
      <c r="A167" s="1" t="s">
        <v>1567</v>
      </c>
    </row>
    <row r="168" spans="1:1" x14ac:dyDescent="0.25">
      <c r="A168" s="1" t="s">
        <v>1568</v>
      </c>
    </row>
    <row r="169" spans="1:1" x14ac:dyDescent="0.25">
      <c r="A169" s="1" t="s">
        <v>1569</v>
      </c>
    </row>
    <row r="170" spans="1:1" x14ac:dyDescent="0.25">
      <c r="A170" s="1" t="s">
        <v>1570</v>
      </c>
    </row>
    <row r="171" spans="1:1" x14ac:dyDescent="0.25">
      <c r="A171" s="1" t="s">
        <v>1571</v>
      </c>
    </row>
    <row r="172" spans="1:1" x14ac:dyDescent="0.25">
      <c r="A172" s="1" t="s">
        <v>1572</v>
      </c>
    </row>
    <row r="173" spans="1:1" x14ac:dyDescent="0.25">
      <c r="A173" s="1" t="s">
        <v>1573</v>
      </c>
    </row>
    <row r="174" spans="1:1" x14ac:dyDescent="0.25">
      <c r="A174" s="1" t="s">
        <v>1574</v>
      </c>
    </row>
    <row r="175" spans="1:1" x14ac:dyDescent="0.25">
      <c r="A175" s="1" t="s">
        <v>1575</v>
      </c>
    </row>
    <row r="176" spans="1:1" x14ac:dyDescent="0.25">
      <c r="A176" s="1" t="s">
        <v>1576</v>
      </c>
    </row>
    <row r="177" spans="1:1" x14ac:dyDescent="0.25">
      <c r="A177" s="1" t="s">
        <v>1577</v>
      </c>
    </row>
    <row r="178" spans="1:1" x14ac:dyDescent="0.25">
      <c r="A178" s="1" t="s">
        <v>1578</v>
      </c>
    </row>
    <row r="179" spans="1:1" x14ac:dyDescent="0.25">
      <c r="A179" s="1" t="s">
        <v>1579</v>
      </c>
    </row>
    <row r="180" spans="1:1" x14ac:dyDescent="0.25">
      <c r="A180" s="1" t="s">
        <v>1580</v>
      </c>
    </row>
    <row r="181" spans="1:1" x14ac:dyDescent="0.25">
      <c r="A181" s="1" t="s">
        <v>1581</v>
      </c>
    </row>
    <row r="182" spans="1:1" x14ac:dyDescent="0.25">
      <c r="A182" s="1" t="s">
        <v>1582</v>
      </c>
    </row>
    <row r="183" spans="1:1" x14ac:dyDescent="0.25">
      <c r="A183" s="1" t="s">
        <v>1583</v>
      </c>
    </row>
    <row r="184" spans="1:1" x14ac:dyDescent="0.25">
      <c r="A184" s="1" t="s">
        <v>1584</v>
      </c>
    </row>
    <row r="185" spans="1:1" x14ac:dyDescent="0.25">
      <c r="A185" s="1" t="s">
        <v>1585</v>
      </c>
    </row>
    <row r="186" spans="1:1" x14ac:dyDescent="0.25">
      <c r="A186" s="1" t="s">
        <v>1586</v>
      </c>
    </row>
    <row r="187" spans="1:1" x14ac:dyDescent="0.25">
      <c r="A187" s="1" t="s">
        <v>1587</v>
      </c>
    </row>
    <row r="188" spans="1:1" x14ac:dyDescent="0.25">
      <c r="A188" s="1" t="s">
        <v>1588</v>
      </c>
    </row>
    <row r="189" spans="1:1" x14ac:dyDescent="0.25">
      <c r="A189" s="1" t="s">
        <v>1589</v>
      </c>
    </row>
    <row r="190" spans="1:1" x14ac:dyDescent="0.25">
      <c r="A190" s="1" t="s">
        <v>1590</v>
      </c>
    </row>
    <row r="191" spans="1:1" x14ac:dyDescent="0.25">
      <c r="A191" s="1" t="s">
        <v>1591</v>
      </c>
    </row>
    <row r="192" spans="1:1" x14ac:dyDescent="0.25">
      <c r="A192" s="1" t="s">
        <v>1592</v>
      </c>
    </row>
    <row r="193" spans="1:1" x14ac:dyDescent="0.25">
      <c r="A193" s="1" t="s">
        <v>1593</v>
      </c>
    </row>
    <row r="194" spans="1:1" x14ac:dyDescent="0.25">
      <c r="A194" s="1" t="s">
        <v>1594</v>
      </c>
    </row>
    <row r="195" spans="1:1" x14ac:dyDescent="0.25">
      <c r="A195" s="1" t="s">
        <v>1595</v>
      </c>
    </row>
    <row r="196" spans="1:1" x14ac:dyDescent="0.25">
      <c r="A196" s="1" t="s">
        <v>1596</v>
      </c>
    </row>
    <row r="197" spans="1:1" x14ac:dyDescent="0.25">
      <c r="A197" s="1" t="s">
        <v>1597</v>
      </c>
    </row>
    <row r="198" spans="1:1" x14ac:dyDescent="0.25">
      <c r="A198" s="1" t="s">
        <v>1598</v>
      </c>
    </row>
    <row r="199" spans="1:1" x14ac:dyDescent="0.25">
      <c r="A199" s="1" t="s">
        <v>1599</v>
      </c>
    </row>
    <row r="200" spans="1:1" x14ac:dyDescent="0.25">
      <c r="A200" s="1" t="s">
        <v>1600</v>
      </c>
    </row>
    <row r="201" spans="1:1" x14ac:dyDescent="0.25">
      <c r="A201" s="1" t="s">
        <v>1601</v>
      </c>
    </row>
    <row r="202" spans="1:1" x14ac:dyDescent="0.25">
      <c r="A202" s="1" t="s">
        <v>1602</v>
      </c>
    </row>
    <row r="203" spans="1:1" x14ac:dyDescent="0.25">
      <c r="A203" s="1" t="s">
        <v>1603</v>
      </c>
    </row>
    <row r="204" spans="1:1" x14ac:dyDescent="0.25">
      <c r="A204" s="1" t="s">
        <v>1604</v>
      </c>
    </row>
    <row r="205" spans="1:1" x14ac:dyDescent="0.25">
      <c r="A205" s="1" t="s">
        <v>1605</v>
      </c>
    </row>
    <row r="206" spans="1:1" x14ac:dyDescent="0.25">
      <c r="A206" s="1" t="s">
        <v>1606</v>
      </c>
    </row>
    <row r="207" spans="1:1" x14ac:dyDescent="0.25">
      <c r="A207" s="1" t="s">
        <v>1607</v>
      </c>
    </row>
    <row r="208" spans="1:1" x14ac:dyDescent="0.25">
      <c r="A208" s="1" t="s">
        <v>1608</v>
      </c>
    </row>
    <row r="209" spans="1:1" x14ac:dyDescent="0.25">
      <c r="A209" s="1" t="s">
        <v>1609</v>
      </c>
    </row>
    <row r="210" spans="1:1" x14ac:dyDescent="0.25">
      <c r="A210" s="1" t="s">
        <v>1610</v>
      </c>
    </row>
    <row r="211" spans="1:1" x14ac:dyDescent="0.25">
      <c r="A211" s="1" t="s">
        <v>1611</v>
      </c>
    </row>
    <row r="212" spans="1:1" x14ac:dyDescent="0.25">
      <c r="A212" s="1" t="s">
        <v>1612</v>
      </c>
    </row>
    <row r="213" spans="1:1" x14ac:dyDescent="0.25">
      <c r="A213" s="1" t="s">
        <v>1613</v>
      </c>
    </row>
    <row r="214" spans="1:1" x14ac:dyDescent="0.25">
      <c r="A214" s="1" t="s">
        <v>1614</v>
      </c>
    </row>
    <row r="215" spans="1:1" x14ac:dyDescent="0.25">
      <c r="A215" s="1" t="s">
        <v>1615</v>
      </c>
    </row>
    <row r="216" spans="1:1" x14ac:dyDescent="0.25">
      <c r="A216" s="1" t="s">
        <v>1616</v>
      </c>
    </row>
    <row r="217" spans="1:1" x14ac:dyDescent="0.25">
      <c r="A217" s="1" t="s">
        <v>1617</v>
      </c>
    </row>
    <row r="218" spans="1:1" x14ac:dyDescent="0.25">
      <c r="A218" s="1" t="s">
        <v>1618</v>
      </c>
    </row>
    <row r="219" spans="1:1" x14ac:dyDescent="0.25">
      <c r="A219" s="1" t="s">
        <v>1619</v>
      </c>
    </row>
    <row r="220" spans="1:1" x14ac:dyDescent="0.25">
      <c r="A220" s="1" t="s">
        <v>1620</v>
      </c>
    </row>
    <row r="221" spans="1:1" x14ac:dyDescent="0.25">
      <c r="A221" s="1" t="s">
        <v>1621</v>
      </c>
    </row>
    <row r="222" spans="1:1" x14ac:dyDescent="0.25">
      <c r="A222" s="1" t="s">
        <v>1622</v>
      </c>
    </row>
    <row r="223" spans="1:1" x14ac:dyDescent="0.25">
      <c r="A223" s="1" t="s">
        <v>1623</v>
      </c>
    </row>
    <row r="224" spans="1:1" x14ac:dyDescent="0.25">
      <c r="A224" s="1" t="s">
        <v>1624</v>
      </c>
    </row>
    <row r="225" spans="1:1" x14ac:dyDescent="0.25">
      <c r="A225" s="1" t="s">
        <v>1625</v>
      </c>
    </row>
    <row r="226" spans="1:1" x14ac:dyDescent="0.25">
      <c r="A226" s="1" t="s">
        <v>1626</v>
      </c>
    </row>
    <row r="227" spans="1:1" x14ac:dyDescent="0.25">
      <c r="A227" s="1" t="s">
        <v>1627</v>
      </c>
    </row>
    <row r="228" spans="1:1" x14ac:dyDescent="0.25">
      <c r="A228" s="1" t="s">
        <v>1628</v>
      </c>
    </row>
    <row r="229" spans="1:1" x14ac:dyDescent="0.25">
      <c r="A229" s="1" t="s">
        <v>1629</v>
      </c>
    </row>
    <row r="230" spans="1:1" x14ac:dyDescent="0.25">
      <c r="A230" s="1" t="s">
        <v>1630</v>
      </c>
    </row>
    <row r="231" spans="1:1" x14ac:dyDescent="0.25">
      <c r="A231" s="1" t="s">
        <v>1631</v>
      </c>
    </row>
    <row r="232" spans="1:1" x14ac:dyDescent="0.25">
      <c r="A232" s="1" t="s">
        <v>1632</v>
      </c>
    </row>
    <row r="233" spans="1:1" x14ac:dyDescent="0.25">
      <c r="A233" s="1" t="s">
        <v>1633</v>
      </c>
    </row>
    <row r="234" spans="1:1" x14ac:dyDescent="0.25">
      <c r="A234" s="1" t="s">
        <v>1634</v>
      </c>
    </row>
    <row r="235" spans="1:1" x14ac:dyDescent="0.25">
      <c r="A235" s="1" t="s">
        <v>1635</v>
      </c>
    </row>
    <row r="236" spans="1:1" x14ac:dyDescent="0.25">
      <c r="A236" s="1" t="s">
        <v>1636</v>
      </c>
    </row>
    <row r="237" spans="1:1" x14ac:dyDescent="0.25">
      <c r="A237" s="1" t="s">
        <v>1637</v>
      </c>
    </row>
    <row r="238" spans="1:1" x14ac:dyDescent="0.25">
      <c r="A238" s="1" t="s">
        <v>1638</v>
      </c>
    </row>
    <row r="239" spans="1:1" x14ac:dyDescent="0.25">
      <c r="A239" s="1" t="s">
        <v>1639</v>
      </c>
    </row>
    <row r="240" spans="1:1" x14ac:dyDescent="0.25">
      <c r="A240" s="1" t="s">
        <v>1640</v>
      </c>
    </row>
    <row r="241" spans="1:1" x14ac:dyDescent="0.25">
      <c r="A241" s="1" t="s">
        <v>1641</v>
      </c>
    </row>
    <row r="242" spans="1:1" x14ac:dyDescent="0.25">
      <c r="A242" s="1" t="s">
        <v>1642</v>
      </c>
    </row>
    <row r="243" spans="1:1" x14ac:dyDescent="0.25">
      <c r="A243" s="1" t="s">
        <v>1643</v>
      </c>
    </row>
    <row r="244" spans="1:1" x14ac:dyDescent="0.25">
      <c r="A244" s="1" t="s">
        <v>1644</v>
      </c>
    </row>
    <row r="245" spans="1:1" x14ac:dyDescent="0.25">
      <c r="A245" s="1" t="s">
        <v>1645</v>
      </c>
    </row>
    <row r="246" spans="1:1" x14ac:dyDescent="0.25">
      <c r="A246" s="1" t="s">
        <v>1646</v>
      </c>
    </row>
    <row r="247" spans="1:1" x14ac:dyDescent="0.25">
      <c r="A247" s="1" t="s">
        <v>1647</v>
      </c>
    </row>
    <row r="248" spans="1:1" x14ac:dyDescent="0.25">
      <c r="A248" s="1" t="s">
        <v>1648</v>
      </c>
    </row>
    <row r="249" spans="1:1" x14ac:dyDescent="0.25">
      <c r="A249" s="1" t="s">
        <v>1649</v>
      </c>
    </row>
    <row r="250" spans="1:1" x14ac:dyDescent="0.25">
      <c r="A250" s="1" t="s">
        <v>1650</v>
      </c>
    </row>
    <row r="251" spans="1:1" x14ac:dyDescent="0.25">
      <c r="A251" s="1" t="s">
        <v>1651</v>
      </c>
    </row>
    <row r="252" spans="1:1" x14ac:dyDescent="0.25">
      <c r="A252" s="1" t="s">
        <v>1652</v>
      </c>
    </row>
    <row r="253" spans="1:1" x14ac:dyDescent="0.25">
      <c r="A253" s="1" t="s">
        <v>1653</v>
      </c>
    </row>
    <row r="254" spans="1:1" x14ac:dyDescent="0.25">
      <c r="A254" s="1" t="s">
        <v>1654</v>
      </c>
    </row>
    <row r="255" spans="1:1" x14ac:dyDescent="0.25">
      <c r="A255" s="1" t="s">
        <v>1655</v>
      </c>
    </row>
    <row r="256" spans="1:1" x14ac:dyDescent="0.25">
      <c r="A256" s="1" t="s">
        <v>1656</v>
      </c>
    </row>
    <row r="257" spans="1:1" x14ac:dyDescent="0.25">
      <c r="A257" s="1" t="s">
        <v>1657</v>
      </c>
    </row>
    <row r="258" spans="1:1" x14ac:dyDescent="0.25">
      <c r="A258" s="1" t="s">
        <v>1658</v>
      </c>
    </row>
    <row r="259" spans="1:1" x14ac:dyDescent="0.25">
      <c r="A259" s="1" t="s">
        <v>1659</v>
      </c>
    </row>
    <row r="260" spans="1:1" x14ac:dyDescent="0.25">
      <c r="A260" s="1" t="s">
        <v>1660</v>
      </c>
    </row>
    <row r="261" spans="1:1" x14ac:dyDescent="0.25">
      <c r="A261" s="1" t="s">
        <v>1661</v>
      </c>
    </row>
    <row r="262" spans="1:1" x14ac:dyDescent="0.25">
      <c r="A262" s="1" t="s">
        <v>1662</v>
      </c>
    </row>
    <row r="263" spans="1:1" x14ac:dyDescent="0.25">
      <c r="A263" s="1" t="s">
        <v>1663</v>
      </c>
    </row>
    <row r="264" spans="1:1" x14ac:dyDescent="0.25">
      <c r="A264" s="1" t="s">
        <v>1664</v>
      </c>
    </row>
    <row r="265" spans="1:1" x14ac:dyDescent="0.25">
      <c r="A265" s="1" t="s">
        <v>1665</v>
      </c>
    </row>
    <row r="266" spans="1:1" x14ac:dyDescent="0.25">
      <c r="A266" s="1" t="s">
        <v>1666</v>
      </c>
    </row>
    <row r="267" spans="1:1" x14ac:dyDescent="0.25">
      <c r="A267" s="1" t="s">
        <v>1667</v>
      </c>
    </row>
    <row r="268" spans="1:1" x14ac:dyDescent="0.25">
      <c r="A268" s="1" t="s">
        <v>1668</v>
      </c>
    </row>
    <row r="269" spans="1:1" x14ac:dyDescent="0.25">
      <c r="A269" s="1" t="s">
        <v>1669</v>
      </c>
    </row>
    <row r="270" spans="1:1" x14ac:dyDescent="0.25">
      <c r="A270" s="1" t="s">
        <v>1670</v>
      </c>
    </row>
    <row r="271" spans="1:1" x14ac:dyDescent="0.25">
      <c r="A271" s="1" t="s">
        <v>1671</v>
      </c>
    </row>
    <row r="272" spans="1:1" x14ac:dyDescent="0.25">
      <c r="A272" s="1" t="s">
        <v>1672</v>
      </c>
    </row>
    <row r="273" spans="1:1" x14ac:dyDescent="0.25">
      <c r="A273" s="1" t="s">
        <v>1673</v>
      </c>
    </row>
    <row r="274" spans="1:1" x14ac:dyDescent="0.25">
      <c r="A274" s="1" t="s">
        <v>1674</v>
      </c>
    </row>
    <row r="275" spans="1:1" x14ac:dyDescent="0.25">
      <c r="A275" s="1" t="s">
        <v>1675</v>
      </c>
    </row>
    <row r="276" spans="1:1" x14ac:dyDescent="0.25">
      <c r="A276" s="1" t="s">
        <v>1676</v>
      </c>
    </row>
    <row r="277" spans="1:1" x14ac:dyDescent="0.25">
      <c r="A277" s="1" t="s">
        <v>1677</v>
      </c>
    </row>
    <row r="278" spans="1:1" x14ac:dyDescent="0.25">
      <c r="A278" s="1" t="s">
        <v>1678</v>
      </c>
    </row>
    <row r="279" spans="1:1" x14ac:dyDescent="0.25">
      <c r="A279" s="1" t="s">
        <v>1679</v>
      </c>
    </row>
    <row r="280" spans="1:1" x14ac:dyDescent="0.25">
      <c r="A280" s="1" t="s">
        <v>1680</v>
      </c>
    </row>
    <row r="281" spans="1:1" x14ac:dyDescent="0.25">
      <c r="A281" s="1" t="s">
        <v>1681</v>
      </c>
    </row>
    <row r="282" spans="1:1" x14ac:dyDescent="0.25">
      <c r="A282" s="1" t="s">
        <v>1682</v>
      </c>
    </row>
    <row r="283" spans="1:1" x14ac:dyDescent="0.25">
      <c r="A283" s="1" t="s">
        <v>1683</v>
      </c>
    </row>
    <row r="284" spans="1:1" x14ac:dyDescent="0.25">
      <c r="A284" s="1" t="s">
        <v>1684</v>
      </c>
    </row>
    <row r="285" spans="1:1" x14ac:dyDescent="0.25">
      <c r="A285" s="1" t="s">
        <v>1685</v>
      </c>
    </row>
    <row r="286" spans="1:1" x14ac:dyDescent="0.25">
      <c r="A286" s="1" t="s">
        <v>1686</v>
      </c>
    </row>
    <row r="287" spans="1:1" x14ac:dyDescent="0.25">
      <c r="A287" s="1" t="s">
        <v>1687</v>
      </c>
    </row>
    <row r="288" spans="1:1" x14ac:dyDescent="0.25">
      <c r="A288" s="1" t="s">
        <v>1688</v>
      </c>
    </row>
    <row r="289" spans="1:1" x14ac:dyDescent="0.25">
      <c r="A289" s="1" t="s">
        <v>1689</v>
      </c>
    </row>
    <row r="290" spans="1:1" x14ac:dyDescent="0.25">
      <c r="A290" s="1" t="s">
        <v>1690</v>
      </c>
    </row>
    <row r="291" spans="1:1" x14ac:dyDescent="0.25">
      <c r="A291" s="1" t="s">
        <v>1691</v>
      </c>
    </row>
    <row r="292" spans="1:1" x14ac:dyDescent="0.25">
      <c r="A292" s="1" t="s">
        <v>1692</v>
      </c>
    </row>
    <row r="293" spans="1:1" x14ac:dyDescent="0.25">
      <c r="A293" s="1" t="s">
        <v>1693</v>
      </c>
    </row>
    <row r="294" spans="1:1" x14ac:dyDescent="0.25">
      <c r="A294" s="1" t="s">
        <v>1694</v>
      </c>
    </row>
    <row r="295" spans="1:1" x14ac:dyDescent="0.25">
      <c r="A295" s="1" t="s">
        <v>1695</v>
      </c>
    </row>
    <row r="296" spans="1:1" x14ac:dyDescent="0.25">
      <c r="A296" s="1" t="s">
        <v>1696</v>
      </c>
    </row>
    <row r="297" spans="1:1" x14ac:dyDescent="0.25">
      <c r="A297" s="1" t="s">
        <v>1697</v>
      </c>
    </row>
    <row r="298" spans="1:1" x14ac:dyDescent="0.25">
      <c r="A298" s="1" t="s">
        <v>1698</v>
      </c>
    </row>
    <row r="299" spans="1:1" x14ac:dyDescent="0.25">
      <c r="A299" s="1" t="s">
        <v>1699</v>
      </c>
    </row>
    <row r="300" spans="1:1" x14ac:dyDescent="0.25">
      <c r="A300" s="1" t="s">
        <v>1700</v>
      </c>
    </row>
    <row r="301" spans="1:1" x14ac:dyDescent="0.25">
      <c r="A301" s="1" t="s">
        <v>1701</v>
      </c>
    </row>
    <row r="302" spans="1:1" x14ac:dyDescent="0.25">
      <c r="A302" s="1" t="s">
        <v>1702</v>
      </c>
    </row>
    <row r="303" spans="1:1" x14ac:dyDescent="0.25">
      <c r="A303" s="1" t="s">
        <v>1703</v>
      </c>
    </row>
    <row r="304" spans="1:1" x14ac:dyDescent="0.25">
      <c r="A304" s="1" t="s">
        <v>1704</v>
      </c>
    </row>
    <row r="305" spans="1:1" x14ac:dyDescent="0.25">
      <c r="A305" s="1" t="s">
        <v>1705</v>
      </c>
    </row>
    <row r="306" spans="1:1" x14ac:dyDescent="0.25">
      <c r="A306" s="1" t="s">
        <v>1706</v>
      </c>
    </row>
    <row r="307" spans="1:1" x14ac:dyDescent="0.25">
      <c r="A307" s="1" t="s">
        <v>1707</v>
      </c>
    </row>
    <row r="308" spans="1:1" x14ac:dyDescent="0.25">
      <c r="A308" s="1" t="s">
        <v>1708</v>
      </c>
    </row>
    <row r="309" spans="1:1" x14ac:dyDescent="0.25">
      <c r="A309" s="1" t="s">
        <v>1709</v>
      </c>
    </row>
    <row r="310" spans="1:1" x14ac:dyDescent="0.25">
      <c r="A310" s="1" t="s">
        <v>1710</v>
      </c>
    </row>
    <row r="311" spans="1:1" x14ac:dyDescent="0.25">
      <c r="A311" s="1" t="s">
        <v>1711</v>
      </c>
    </row>
    <row r="312" spans="1:1" x14ac:dyDescent="0.25">
      <c r="A312" s="1" t="s">
        <v>1712</v>
      </c>
    </row>
    <row r="313" spans="1:1" x14ac:dyDescent="0.25">
      <c r="A313" s="1" t="s">
        <v>1713</v>
      </c>
    </row>
    <row r="314" spans="1:1" x14ac:dyDescent="0.25">
      <c r="A314" s="1" t="s">
        <v>1714</v>
      </c>
    </row>
    <row r="315" spans="1:1" x14ac:dyDescent="0.25">
      <c r="A315" s="1" t="s">
        <v>1715</v>
      </c>
    </row>
    <row r="316" spans="1:1" x14ac:dyDescent="0.25">
      <c r="A316" s="1" t="s">
        <v>1716</v>
      </c>
    </row>
    <row r="317" spans="1:1" x14ac:dyDescent="0.25">
      <c r="A317" s="1" t="s">
        <v>1717</v>
      </c>
    </row>
    <row r="318" spans="1:1" x14ac:dyDescent="0.25">
      <c r="A318" s="1" t="s">
        <v>1718</v>
      </c>
    </row>
    <row r="319" spans="1:1" x14ac:dyDescent="0.25">
      <c r="A319" s="1" t="s">
        <v>1719</v>
      </c>
    </row>
    <row r="320" spans="1:1" x14ac:dyDescent="0.25">
      <c r="A320" s="1" t="s">
        <v>1720</v>
      </c>
    </row>
    <row r="321" spans="1:1" x14ac:dyDescent="0.25">
      <c r="A321" s="1" t="s">
        <v>1721</v>
      </c>
    </row>
    <row r="322" spans="1:1" x14ac:dyDescent="0.25">
      <c r="A322" s="1" t="s">
        <v>1722</v>
      </c>
    </row>
    <row r="323" spans="1:1" x14ac:dyDescent="0.25">
      <c r="A323" s="1" t="s">
        <v>1723</v>
      </c>
    </row>
    <row r="324" spans="1:1" x14ac:dyDescent="0.25">
      <c r="A324" s="1" t="s">
        <v>1724</v>
      </c>
    </row>
    <row r="325" spans="1:1" x14ac:dyDescent="0.25">
      <c r="A325" s="1" t="s">
        <v>1725</v>
      </c>
    </row>
    <row r="326" spans="1:1" x14ac:dyDescent="0.25">
      <c r="A326" s="1" t="s">
        <v>1726</v>
      </c>
    </row>
    <row r="327" spans="1:1" x14ac:dyDescent="0.25">
      <c r="A327" s="1" t="s">
        <v>1727</v>
      </c>
    </row>
    <row r="328" spans="1:1" x14ac:dyDescent="0.25">
      <c r="A328" s="1" t="s">
        <v>1728</v>
      </c>
    </row>
    <row r="329" spans="1:1" x14ac:dyDescent="0.25">
      <c r="A329" s="1" t="s">
        <v>1729</v>
      </c>
    </row>
    <row r="330" spans="1:1" x14ac:dyDescent="0.25">
      <c r="A330" s="1" t="s">
        <v>1730</v>
      </c>
    </row>
    <row r="331" spans="1:1" x14ac:dyDescent="0.25">
      <c r="A331" s="1" t="s">
        <v>1731</v>
      </c>
    </row>
    <row r="332" spans="1:1" x14ac:dyDescent="0.25">
      <c r="A332" s="1" t="s">
        <v>1732</v>
      </c>
    </row>
    <row r="333" spans="1:1" x14ac:dyDescent="0.25">
      <c r="A333" s="1" t="s">
        <v>1733</v>
      </c>
    </row>
    <row r="334" spans="1:1" x14ac:dyDescent="0.25">
      <c r="A334" s="1" t="s">
        <v>1734</v>
      </c>
    </row>
    <row r="335" spans="1:1" x14ac:dyDescent="0.25">
      <c r="A335" s="1" t="s">
        <v>1735</v>
      </c>
    </row>
    <row r="336" spans="1:1" x14ac:dyDescent="0.25">
      <c r="A336" s="1" t="s">
        <v>1736</v>
      </c>
    </row>
    <row r="337" spans="1:1" x14ac:dyDescent="0.25">
      <c r="A337" s="1" t="s">
        <v>1737</v>
      </c>
    </row>
    <row r="338" spans="1:1" x14ac:dyDescent="0.25">
      <c r="A338" s="1" t="s">
        <v>1738</v>
      </c>
    </row>
    <row r="339" spans="1:1" x14ac:dyDescent="0.25">
      <c r="A339" s="1" t="s">
        <v>1739</v>
      </c>
    </row>
    <row r="340" spans="1:1" x14ac:dyDescent="0.25">
      <c r="A340" s="1" t="s">
        <v>1740</v>
      </c>
    </row>
    <row r="341" spans="1:1" x14ac:dyDescent="0.25">
      <c r="A341" s="1" t="s">
        <v>1741</v>
      </c>
    </row>
    <row r="342" spans="1:1" x14ac:dyDescent="0.25">
      <c r="A342" s="1" t="s">
        <v>1742</v>
      </c>
    </row>
    <row r="343" spans="1:1" x14ac:dyDescent="0.25">
      <c r="A343" s="1" t="s">
        <v>1743</v>
      </c>
    </row>
    <row r="344" spans="1:1" x14ac:dyDescent="0.25">
      <c r="A344" s="1" t="s">
        <v>1744</v>
      </c>
    </row>
    <row r="345" spans="1:1" x14ac:dyDescent="0.25">
      <c r="A345" s="1" t="s">
        <v>1745</v>
      </c>
    </row>
    <row r="346" spans="1:1" x14ac:dyDescent="0.25">
      <c r="A346" s="1" t="s">
        <v>1746</v>
      </c>
    </row>
    <row r="347" spans="1:1" x14ac:dyDescent="0.25">
      <c r="A347" s="1" t="s">
        <v>1747</v>
      </c>
    </row>
    <row r="348" spans="1:1" x14ac:dyDescent="0.25">
      <c r="A348" s="1" t="s">
        <v>1748</v>
      </c>
    </row>
    <row r="349" spans="1:1" x14ac:dyDescent="0.25">
      <c r="A349" s="1" t="s">
        <v>1749</v>
      </c>
    </row>
    <row r="350" spans="1:1" x14ac:dyDescent="0.25">
      <c r="A350" s="1" t="s">
        <v>1750</v>
      </c>
    </row>
    <row r="351" spans="1:1" x14ac:dyDescent="0.25">
      <c r="A351" s="1" t="s">
        <v>1751</v>
      </c>
    </row>
    <row r="352" spans="1:1" x14ac:dyDescent="0.25">
      <c r="A352" s="1" t="s">
        <v>1752</v>
      </c>
    </row>
    <row r="353" spans="1:1" x14ac:dyDescent="0.25">
      <c r="A353" s="1" t="s">
        <v>1753</v>
      </c>
    </row>
    <row r="354" spans="1:1" x14ac:dyDescent="0.25">
      <c r="A354" s="1" t="s">
        <v>1754</v>
      </c>
    </row>
    <row r="355" spans="1:1" x14ac:dyDescent="0.25">
      <c r="A355" s="1" t="s">
        <v>1755</v>
      </c>
    </row>
    <row r="356" spans="1:1" x14ac:dyDescent="0.25">
      <c r="A356" s="1" t="s">
        <v>1756</v>
      </c>
    </row>
    <row r="357" spans="1:1" x14ac:dyDescent="0.25">
      <c r="A357" s="1" t="s">
        <v>1757</v>
      </c>
    </row>
    <row r="358" spans="1:1" x14ac:dyDescent="0.25">
      <c r="A358" s="1" t="s">
        <v>1758</v>
      </c>
    </row>
    <row r="359" spans="1:1" x14ac:dyDescent="0.25">
      <c r="A359" s="1" t="s">
        <v>1759</v>
      </c>
    </row>
    <row r="360" spans="1:1" x14ac:dyDescent="0.25">
      <c r="A360" s="1" t="s">
        <v>1760</v>
      </c>
    </row>
    <row r="361" spans="1:1" x14ac:dyDescent="0.25">
      <c r="A361" s="1" t="s">
        <v>1761</v>
      </c>
    </row>
    <row r="362" spans="1:1" x14ac:dyDescent="0.25">
      <c r="A362" s="1" t="s">
        <v>1762</v>
      </c>
    </row>
    <row r="363" spans="1:1" x14ac:dyDescent="0.25">
      <c r="A363" s="1" t="s">
        <v>1763</v>
      </c>
    </row>
    <row r="364" spans="1:1" x14ac:dyDescent="0.25">
      <c r="A364" s="1" t="s">
        <v>1764</v>
      </c>
    </row>
    <row r="365" spans="1:1" x14ac:dyDescent="0.25">
      <c r="A365" s="1" t="s">
        <v>1765</v>
      </c>
    </row>
    <row r="366" spans="1:1" x14ac:dyDescent="0.25">
      <c r="A366" s="1" t="s">
        <v>1766</v>
      </c>
    </row>
    <row r="367" spans="1:1" x14ac:dyDescent="0.25">
      <c r="A367" s="1" t="s">
        <v>1767</v>
      </c>
    </row>
    <row r="368" spans="1:1" x14ac:dyDescent="0.25">
      <c r="A368" s="1" t="s">
        <v>1768</v>
      </c>
    </row>
    <row r="369" spans="1:1" x14ac:dyDescent="0.25">
      <c r="A369" s="1" t="s">
        <v>1769</v>
      </c>
    </row>
    <row r="370" spans="1:1" x14ac:dyDescent="0.25">
      <c r="A370" s="1" t="s">
        <v>1770</v>
      </c>
    </row>
    <row r="371" spans="1:1" x14ac:dyDescent="0.25">
      <c r="A371" s="1" t="s">
        <v>1771</v>
      </c>
    </row>
    <row r="372" spans="1:1" x14ac:dyDescent="0.25">
      <c r="A372" s="1" t="s">
        <v>1772</v>
      </c>
    </row>
    <row r="373" spans="1:1" x14ac:dyDescent="0.25">
      <c r="A373" s="1" t="s">
        <v>1773</v>
      </c>
    </row>
    <row r="374" spans="1:1" x14ac:dyDescent="0.25">
      <c r="A374" s="1" t="s">
        <v>1774</v>
      </c>
    </row>
    <row r="375" spans="1:1" x14ac:dyDescent="0.25">
      <c r="A375" s="1" t="s">
        <v>1775</v>
      </c>
    </row>
    <row r="376" spans="1:1" x14ac:dyDescent="0.25">
      <c r="A376" s="1" t="s">
        <v>1776</v>
      </c>
    </row>
    <row r="377" spans="1:1" x14ac:dyDescent="0.25">
      <c r="A377" s="1" t="s">
        <v>1777</v>
      </c>
    </row>
    <row r="378" spans="1:1" x14ac:dyDescent="0.25">
      <c r="A378" s="1" t="s">
        <v>1778</v>
      </c>
    </row>
    <row r="379" spans="1:1" x14ac:dyDescent="0.25">
      <c r="A379" s="1" t="s">
        <v>1779</v>
      </c>
    </row>
    <row r="380" spans="1:1" x14ac:dyDescent="0.25">
      <c r="A380" s="1" t="s">
        <v>1780</v>
      </c>
    </row>
    <row r="381" spans="1:1" x14ac:dyDescent="0.25">
      <c r="A381" s="1" t="s">
        <v>1781</v>
      </c>
    </row>
    <row r="382" spans="1:1" x14ac:dyDescent="0.25">
      <c r="A382" s="1" t="s">
        <v>1782</v>
      </c>
    </row>
    <row r="383" spans="1:1" x14ac:dyDescent="0.25">
      <c r="A383" s="1" t="s">
        <v>1783</v>
      </c>
    </row>
    <row r="384" spans="1:1" x14ac:dyDescent="0.25">
      <c r="A384" s="1" t="s">
        <v>1784</v>
      </c>
    </row>
    <row r="385" spans="1:1" x14ac:dyDescent="0.25">
      <c r="A385" s="1" t="s">
        <v>1785</v>
      </c>
    </row>
    <row r="386" spans="1:1" x14ac:dyDescent="0.25">
      <c r="A386" s="1" t="s">
        <v>1786</v>
      </c>
    </row>
    <row r="387" spans="1:1" x14ac:dyDescent="0.25">
      <c r="A387" s="1" t="s">
        <v>1787</v>
      </c>
    </row>
    <row r="388" spans="1:1" x14ac:dyDescent="0.25">
      <c r="A388" s="1" t="s">
        <v>1788</v>
      </c>
    </row>
    <row r="389" spans="1:1" x14ac:dyDescent="0.25">
      <c r="A389" s="1" t="s">
        <v>1789</v>
      </c>
    </row>
    <row r="390" spans="1:1" x14ac:dyDescent="0.25">
      <c r="A390" s="1" t="s">
        <v>1790</v>
      </c>
    </row>
    <row r="391" spans="1:1" x14ac:dyDescent="0.25">
      <c r="A391" s="1" t="s">
        <v>1791</v>
      </c>
    </row>
    <row r="392" spans="1:1" x14ac:dyDescent="0.25">
      <c r="A392" s="1" t="s">
        <v>1792</v>
      </c>
    </row>
    <row r="393" spans="1:1" x14ac:dyDescent="0.25">
      <c r="A393" s="1" t="s">
        <v>1793</v>
      </c>
    </row>
    <row r="394" spans="1:1" x14ac:dyDescent="0.25">
      <c r="A394" s="1" t="s">
        <v>1794</v>
      </c>
    </row>
    <row r="395" spans="1:1" x14ac:dyDescent="0.25">
      <c r="A395" s="1" t="s">
        <v>1795</v>
      </c>
    </row>
    <row r="396" spans="1:1" x14ac:dyDescent="0.25">
      <c r="A396" s="1" t="s">
        <v>1796</v>
      </c>
    </row>
    <row r="397" spans="1:1" x14ac:dyDescent="0.25">
      <c r="A397" s="1" t="s">
        <v>1797</v>
      </c>
    </row>
    <row r="398" spans="1:1" x14ac:dyDescent="0.25">
      <c r="A398" s="1" t="s">
        <v>1798</v>
      </c>
    </row>
    <row r="399" spans="1:1" x14ac:dyDescent="0.25">
      <c r="A399" s="1" t="s">
        <v>1799</v>
      </c>
    </row>
    <row r="400" spans="1:1" x14ac:dyDescent="0.25">
      <c r="A400" s="1" t="s">
        <v>1800</v>
      </c>
    </row>
    <row r="401" spans="1:1" x14ac:dyDescent="0.25">
      <c r="A401" s="1" t="s">
        <v>1801</v>
      </c>
    </row>
    <row r="402" spans="1:1" x14ac:dyDescent="0.25">
      <c r="A402" s="1" t="s">
        <v>1802</v>
      </c>
    </row>
    <row r="403" spans="1:1" x14ac:dyDescent="0.25">
      <c r="A403" s="1" t="s">
        <v>1803</v>
      </c>
    </row>
    <row r="404" spans="1:1" x14ac:dyDescent="0.25">
      <c r="A404" s="1" t="s">
        <v>1804</v>
      </c>
    </row>
    <row r="405" spans="1:1" x14ac:dyDescent="0.25">
      <c r="A405" s="1" t="s">
        <v>1805</v>
      </c>
    </row>
    <row r="406" spans="1:1" x14ac:dyDescent="0.25">
      <c r="A406" s="1" t="s">
        <v>1806</v>
      </c>
    </row>
    <row r="407" spans="1:1" x14ac:dyDescent="0.25">
      <c r="A407" s="1" t="s">
        <v>1807</v>
      </c>
    </row>
    <row r="408" spans="1:1" x14ac:dyDescent="0.25">
      <c r="A408" s="1" t="s">
        <v>1808</v>
      </c>
    </row>
    <row r="409" spans="1:1" x14ac:dyDescent="0.25">
      <c r="A409" s="1" t="s">
        <v>1809</v>
      </c>
    </row>
    <row r="410" spans="1:1" x14ac:dyDescent="0.25">
      <c r="A410" s="1" t="s">
        <v>1810</v>
      </c>
    </row>
    <row r="411" spans="1:1" x14ac:dyDescent="0.25">
      <c r="A411" s="1" t="s">
        <v>1811</v>
      </c>
    </row>
    <row r="412" spans="1:1" x14ac:dyDescent="0.25">
      <c r="A412" s="1" t="s">
        <v>1812</v>
      </c>
    </row>
    <row r="413" spans="1:1" x14ac:dyDescent="0.25">
      <c r="A413" s="1" t="s">
        <v>1813</v>
      </c>
    </row>
    <row r="414" spans="1:1" x14ac:dyDescent="0.25">
      <c r="A414" s="1" t="s">
        <v>1814</v>
      </c>
    </row>
    <row r="415" spans="1:1" x14ac:dyDescent="0.25">
      <c r="A415" s="1" t="s">
        <v>1815</v>
      </c>
    </row>
    <row r="416" spans="1:1" x14ac:dyDescent="0.25">
      <c r="A416" s="1" t="s">
        <v>1816</v>
      </c>
    </row>
    <row r="417" spans="1:1" x14ac:dyDescent="0.25">
      <c r="A417" s="1" t="s">
        <v>1817</v>
      </c>
    </row>
    <row r="418" spans="1:1" x14ac:dyDescent="0.25">
      <c r="A418" s="1" t="s">
        <v>1818</v>
      </c>
    </row>
    <row r="419" spans="1:1" x14ac:dyDescent="0.25">
      <c r="A419" s="1" t="s">
        <v>1819</v>
      </c>
    </row>
    <row r="420" spans="1:1" x14ac:dyDescent="0.25">
      <c r="A420" s="1" t="s">
        <v>1820</v>
      </c>
    </row>
    <row r="421" spans="1:1" x14ac:dyDescent="0.25">
      <c r="A421" s="1" t="s">
        <v>1821</v>
      </c>
    </row>
    <row r="422" spans="1:1" x14ac:dyDescent="0.25">
      <c r="A422" s="1" t="s">
        <v>1822</v>
      </c>
    </row>
    <row r="423" spans="1:1" x14ac:dyDescent="0.25">
      <c r="A423" s="1" t="s">
        <v>1823</v>
      </c>
    </row>
    <row r="424" spans="1:1" x14ac:dyDescent="0.25">
      <c r="A424" s="1" t="s">
        <v>1824</v>
      </c>
    </row>
    <row r="425" spans="1:1" x14ac:dyDescent="0.25">
      <c r="A425" s="1" t="s">
        <v>1825</v>
      </c>
    </row>
    <row r="426" spans="1:1" x14ac:dyDescent="0.25">
      <c r="A426" s="1" t="s">
        <v>1826</v>
      </c>
    </row>
    <row r="427" spans="1:1" x14ac:dyDescent="0.25">
      <c r="A427" s="1" t="s">
        <v>1827</v>
      </c>
    </row>
    <row r="428" spans="1:1" x14ac:dyDescent="0.25">
      <c r="A428" s="1" t="s">
        <v>1828</v>
      </c>
    </row>
    <row r="429" spans="1:1" x14ac:dyDescent="0.25">
      <c r="A429" s="1" t="s">
        <v>1829</v>
      </c>
    </row>
    <row r="430" spans="1:1" x14ac:dyDescent="0.25">
      <c r="A430" s="1" t="s">
        <v>1830</v>
      </c>
    </row>
    <row r="431" spans="1:1" x14ac:dyDescent="0.25">
      <c r="A431" s="1" t="s">
        <v>1831</v>
      </c>
    </row>
    <row r="432" spans="1:1" x14ac:dyDescent="0.25">
      <c r="A432" s="1" t="s">
        <v>1832</v>
      </c>
    </row>
    <row r="433" spans="1:1" x14ac:dyDescent="0.25">
      <c r="A433" s="1" t="s">
        <v>1833</v>
      </c>
    </row>
    <row r="434" spans="1:1" x14ac:dyDescent="0.25">
      <c r="A434" s="1" t="s">
        <v>1834</v>
      </c>
    </row>
    <row r="435" spans="1:1" x14ac:dyDescent="0.25">
      <c r="A435" s="1" t="s">
        <v>1835</v>
      </c>
    </row>
    <row r="436" spans="1:1" x14ac:dyDescent="0.25">
      <c r="A436" s="1" t="s">
        <v>1836</v>
      </c>
    </row>
    <row r="437" spans="1:1" x14ac:dyDescent="0.25">
      <c r="A437" s="1" t="s">
        <v>1837</v>
      </c>
    </row>
    <row r="438" spans="1:1" x14ac:dyDescent="0.25">
      <c r="A438" s="1" t="s">
        <v>1838</v>
      </c>
    </row>
    <row r="439" spans="1:1" x14ac:dyDescent="0.25">
      <c r="A439" s="1" t="s">
        <v>1839</v>
      </c>
    </row>
    <row r="440" spans="1:1" x14ac:dyDescent="0.25">
      <c r="A440" s="1" t="s">
        <v>1840</v>
      </c>
    </row>
    <row r="441" spans="1:1" x14ac:dyDescent="0.25">
      <c r="A441" s="1" t="s">
        <v>1841</v>
      </c>
    </row>
    <row r="442" spans="1:1" x14ac:dyDescent="0.25">
      <c r="A442" s="1" t="s">
        <v>1842</v>
      </c>
    </row>
    <row r="443" spans="1:1" x14ac:dyDescent="0.25">
      <c r="A443" s="1" t="s">
        <v>1843</v>
      </c>
    </row>
    <row r="444" spans="1:1" x14ac:dyDescent="0.25">
      <c r="A444" s="1" t="s">
        <v>1844</v>
      </c>
    </row>
    <row r="445" spans="1:1" x14ac:dyDescent="0.25">
      <c r="A445" s="1" t="s">
        <v>1845</v>
      </c>
    </row>
    <row r="446" spans="1:1" x14ac:dyDescent="0.25">
      <c r="A446" s="1" t="s">
        <v>1846</v>
      </c>
    </row>
    <row r="447" spans="1:1" x14ac:dyDescent="0.25">
      <c r="A447" s="1" t="s">
        <v>1847</v>
      </c>
    </row>
    <row r="448" spans="1:1" x14ac:dyDescent="0.25">
      <c r="A448" s="1" t="s">
        <v>1848</v>
      </c>
    </row>
    <row r="449" spans="1:1" x14ac:dyDescent="0.25">
      <c r="A449" s="1" t="s">
        <v>1849</v>
      </c>
    </row>
    <row r="450" spans="1:1" x14ac:dyDescent="0.25">
      <c r="A450" s="1" t="s">
        <v>1850</v>
      </c>
    </row>
    <row r="451" spans="1:1" x14ac:dyDescent="0.25">
      <c r="A451" s="1" t="s">
        <v>1851</v>
      </c>
    </row>
    <row r="452" spans="1:1" x14ac:dyDescent="0.25">
      <c r="A452" s="1" t="s">
        <v>1852</v>
      </c>
    </row>
    <row r="453" spans="1:1" x14ac:dyDescent="0.25">
      <c r="A453" s="1" t="s">
        <v>1853</v>
      </c>
    </row>
    <row r="454" spans="1:1" x14ac:dyDescent="0.25">
      <c r="A454" s="1" t="s">
        <v>1854</v>
      </c>
    </row>
    <row r="455" spans="1:1" x14ac:dyDescent="0.25">
      <c r="A455" s="1" t="s">
        <v>1855</v>
      </c>
    </row>
    <row r="456" spans="1:1" x14ac:dyDescent="0.25">
      <c r="A456" s="1" t="s">
        <v>1856</v>
      </c>
    </row>
    <row r="457" spans="1:1" x14ac:dyDescent="0.25">
      <c r="A457" s="1" t="s">
        <v>1857</v>
      </c>
    </row>
    <row r="458" spans="1:1" x14ac:dyDescent="0.25">
      <c r="A458" s="1" t="s">
        <v>1858</v>
      </c>
    </row>
    <row r="459" spans="1:1" x14ac:dyDescent="0.25">
      <c r="A459" s="1" t="s">
        <v>1859</v>
      </c>
    </row>
    <row r="460" spans="1:1" x14ac:dyDescent="0.25">
      <c r="A460" s="1" t="s">
        <v>1860</v>
      </c>
    </row>
    <row r="461" spans="1:1" x14ac:dyDescent="0.25">
      <c r="A461" s="1" t="s">
        <v>1861</v>
      </c>
    </row>
    <row r="462" spans="1:1" x14ac:dyDescent="0.25">
      <c r="A462" s="1" t="s">
        <v>1862</v>
      </c>
    </row>
    <row r="463" spans="1:1" x14ac:dyDescent="0.25">
      <c r="A463" s="1" t="s">
        <v>1863</v>
      </c>
    </row>
    <row r="464" spans="1:1" x14ac:dyDescent="0.25">
      <c r="A464" s="1" t="s">
        <v>1864</v>
      </c>
    </row>
    <row r="465" spans="1:1" x14ac:dyDescent="0.25">
      <c r="A465" s="1" t="s">
        <v>1865</v>
      </c>
    </row>
    <row r="466" spans="1:1" x14ac:dyDescent="0.25">
      <c r="A466" s="1" t="s">
        <v>1866</v>
      </c>
    </row>
    <row r="467" spans="1:1" x14ac:dyDescent="0.25">
      <c r="A467" s="1" t="s">
        <v>1867</v>
      </c>
    </row>
    <row r="468" spans="1:1" x14ac:dyDescent="0.25">
      <c r="A468" s="1" t="s">
        <v>1868</v>
      </c>
    </row>
    <row r="469" spans="1:1" x14ac:dyDescent="0.25">
      <c r="A469" s="1" t="s">
        <v>1869</v>
      </c>
    </row>
    <row r="470" spans="1:1" x14ac:dyDescent="0.25">
      <c r="A470" s="1" t="s">
        <v>1870</v>
      </c>
    </row>
    <row r="471" spans="1:1" x14ac:dyDescent="0.25">
      <c r="A471" s="1" t="s">
        <v>1871</v>
      </c>
    </row>
    <row r="472" spans="1:1" x14ac:dyDescent="0.25">
      <c r="A472" s="1" t="s">
        <v>1872</v>
      </c>
    </row>
    <row r="473" spans="1:1" x14ac:dyDescent="0.25">
      <c r="A473" s="1" t="s">
        <v>1873</v>
      </c>
    </row>
    <row r="474" spans="1:1" x14ac:dyDescent="0.25">
      <c r="A474" s="1" t="s">
        <v>1874</v>
      </c>
    </row>
    <row r="475" spans="1:1" x14ac:dyDescent="0.25">
      <c r="A475" s="1" t="s">
        <v>1875</v>
      </c>
    </row>
    <row r="476" spans="1:1" x14ac:dyDescent="0.25">
      <c r="A476" s="1" t="s">
        <v>1876</v>
      </c>
    </row>
    <row r="477" spans="1:1" x14ac:dyDescent="0.25">
      <c r="A477" s="1" t="s">
        <v>1877</v>
      </c>
    </row>
    <row r="478" spans="1:1" x14ac:dyDescent="0.25">
      <c r="A478" s="1" t="s">
        <v>1878</v>
      </c>
    </row>
    <row r="479" spans="1:1" x14ac:dyDescent="0.25">
      <c r="A479" s="1" t="s">
        <v>1879</v>
      </c>
    </row>
    <row r="480" spans="1:1" x14ac:dyDescent="0.25">
      <c r="A480" s="1" t="s">
        <v>1880</v>
      </c>
    </row>
    <row r="481" spans="1:1" x14ac:dyDescent="0.25">
      <c r="A481" s="1" t="s">
        <v>1881</v>
      </c>
    </row>
    <row r="482" spans="1:1" x14ac:dyDescent="0.25">
      <c r="A482" s="1" t="s">
        <v>1882</v>
      </c>
    </row>
    <row r="483" spans="1:1" x14ac:dyDescent="0.25">
      <c r="A483" s="1" t="s">
        <v>1883</v>
      </c>
    </row>
    <row r="484" spans="1:1" x14ac:dyDescent="0.25">
      <c r="A484" s="1" t="s">
        <v>1884</v>
      </c>
    </row>
    <row r="485" spans="1:1" x14ac:dyDescent="0.25">
      <c r="A485" s="1" t="s">
        <v>1885</v>
      </c>
    </row>
    <row r="486" spans="1:1" x14ac:dyDescent="0.25">
      <c r="A486" s="1" t="s">
        <v>1886</v>
      </c>
    </row>
    <row r="487" spans="1:1" x14ac:dyDescent="0.25">
      <c r="A487" s="1" t="s">
        <v>1887</v>
      </c>
    </row>
    <row r="488" spans="1:1" x14ac:dyDescent="0.25">
      <c r="A488" s="1" t="s">
        <v>1888</v>
      </c>
    </row>
    <row r="489" spans="1:1" x14ac:dyDescent="0.25">
      <c r="A489" s="1" t="s">
        <v>1889</v>
      </c>
    </row>
    <row r="490" spans="1:1" x14ac:dyDescent="0.25">
      <c r="A490" s="1" t="s">
        <v>1890</v>
      </c>
    </row>
    <row r="491" spans="1:1" x14ac:dyDescent="0.25">
      <c r="A491" s="1" t="s">
        <v>1891</v>
      </c>
    </row>
    <row r="492" spans="1:1" x14ac:dyDescent="0.25">
      <c r="A492" s="1" t="s">
        <v>1892</v>
      </c>
    </row>
    <row r="493" spans="1:1" x14ac:dyDescent="0.25">
      <c r="A493" s="1" t="s">
        <v>1893</v>
      </c>
    </row>
    <row r="494" spans="1:1" x14ac:dyDescent="0.25">
      <c r="A494" s="1" t="s">
        <v>1894</v>
      </c>
    </row>
    <row r="495" spans="1:1" x14ac:dyDescent="0.25">
      <c r="A495" s="1" t="s">
        <v>1895</v>
      </c>
    </row>
    <row r="496" spans="1:1" x14ac:dyDescent="0.25">
      <c r="A496" s="1" t="s">
        <v>1896</v>
      </c>
    </row>
    <row r="497" spans="1:1" x14ac:dyDescent="0.25">
      <c r="A497" s="1" t="s">
        <v>1897</v>
      </c>
    </row>
    <row r="498" spans="1:1" x14ac:dyDescent="0.25">
      <c r="A498" s="1" t="s">
        <v>1898</v>
      </c>
    </row>
    <row r="499" spans="1:1" x14ac:dyDescent="0.25">
      <c r="A499" s="1" t="s">
        <v>1899</v>
      </c>
    </row>
    <row r="500" spans="1:1" x14ac:dyDescent="0.25">
      <c r="A500" s="1" t="s">
        <v>1900</v>
      </c>
    </row>
    <row r="501" spans="1:1" x14ac:dyDescent="0.25">
      <c r="A501" s="1" t="s">
        <v>1901</v>
      </c>
    </row>
    <row r="502" spans="1:1" x14ac:dyDescent="0.25">
      <c r="A502" s="1" t="s">
        <v>1902</v>
      </c>
    </row>
    <row r="503" spans="1:1" x14ac:dyDescent="0.25">
      <c r="A503" s="1" t="s">
        <v>1903</v>
      </c>
    </row>
    <row r="504" spans="1:1" x14ac:dyDescent="0.25">
      <c r="A504" s="1" t="s">
        <v>1904</v>
      </c>
    </row>
    <row r="505" spans="1:1" x14ac:dyDescent="0.25">
      <c r="A505" s="1" t="s">
        <v>1905</v>
      </c>
    </row>
    <row r="506" spans="1:1" x14ac:dyDescent="0.25">
      <c r="A506" s="1" t="s">
        <v>1906</v>
      </c>
    </row>
    <row r="507" spans="1:1" x14ac:dyDescent="0.25">
      <c r="A507" s="1" t="s">
        <v>1907</v>
      </c>
    </row>
    <row r="508" spans="1:1" x14ac:dyDescent="0.25">
      <c r="A508" s="1" t="s">
        <v>1908</v>
      </c>
    </row>
    <row r="509" spans="1:1" x14ac:dyDescent="0.25">
      <c r="A509" s="1" t="s">
        <v>1909</v>
      </c>
    </row>
    <row r="510" spans="1:1" x14ac:dyDescent="0.25">
      <c r="A510" s="1" t="s">
        <v>1910</v>
      </c>
    </row>
    <row r="511" spans="1:1" x14ac:dyDescent="0.25">
      <c r="A511" s="1" t="s">
        <v>1911</v>
      </c>
    </row>
    <row r="512" spans="1:1" x14ac:dyDescent="0.25">
      <c r="A512" s="1" t="s">
        <v>1912</v>
      </c>
    </row>
    <row r="513" spans="1:1" x14ac:dyDescent="0.25">
      <c r="A513" s="1" t="s">
        <v>1913</v>
      </c>
    </row>
    <row r="514" spans="1:1" x14ac:dyDescent="0.25">
      <c r="A514" s="1" t="s">
        <v>1914</v>
      </c>
    </row>
    <row r="515" spans="1:1" x14ac:dyDescent="0.25">
      <c r="A515" s="1" t="s">
        <v>1915</v>
      </c>
    </row>
    <row r="516" spans="1:1" x14ac:dyDescent="0.25">
      <c r="A516" s="1" t="s">
        <v>1916</v>
      </c>
    </row>
    <row r="517" spans="1:1" x14ac:dyDescent="0.25">
      <c r="A517" s="1" t="s">
        <v>1917</v>
      </c>
    </row>
    <row r="518" spans="1:1" x14ac:dyDescent="0.25">
      <c r="A518" s="1" t="s">
        <v>1918</v>
      </c>
    </row>
    <row r="519" spans="1:1" x14ac:dyDescent="0.25">
      <c r="A519" s="1" t="s">
        <v>1919</v>
      </c>
    </row>
    <row r="520" spans="1:1" x14ac:dyDescent="0.25">
      <c r="A520" s="1" t="s">
        <v>1920</v>
      </c>
    </row>
    <row r="521" spans="1:1" x14ac:dyDescent="0.25">
      <c r="A521" s="1" t="s">
        <v>1921</v>
      </c>
    </row>
    <row r="522" spans="1:1" x14ac:dyDescent="0.25">
      <c r="A522" s="1" t="s">
        <v>1922</v>
      </c>
    </row>
    <row r="523" spans="1:1" x14ac:dyDescent="0.25">
      <c r="A523" s="1" t="s">
        <v>1923</v>
      </c>
    </row>
    <row r="524" spans="1:1" x14ac:dyDescent="0.25">
      <c r="A524" s="1" t="s">
        <v>1924</v>
      </c>
    </row>
    <row r="525" spans="1:1" x14ac:dyDescent="0.25">
      <c r="A525" s="1" t="s">
        <v>1925</v>
      </c>
    </row>
    <row r="526" spans="1:1" x14ac:dyDescent="0.25">
      <c r="A526" s="1" t="s">
        <v>1926</v>
      </c>
    </row>
    <row r="527" spans="1:1" x14ac:dyDescent="0.25">
      <c r="A527" s="1" t="s">
        <v>1927</v>
      </c>
    </row>
    <row r="528" spans="1:1" x14ac:dyDescent="0.25">
      <c r="A528" s="1" t="s">
        <v>1928</v>
      </c>
    </row>
    <row r="529" spans="1:1" x14ac:dyDescent="0.25">
      <c r="A529" s="1" t="s">
        <v>1929</v>
      </c>
    </row>
    <row r="530" spans="1:1" x14ac:dyDescent="0.25">
      <c r="A530" s="1" t="s">
        <v>1930</v>
      </c>
    </row>
    <row r="531" spans="1:1" x14ac:dyDescent="0.25">
      <c r="A531" s="1" t="s">
        <v>1931</v>
      </c>
    </row>
    <row r="532" spans="1:1" x14ac:dyDescent="0.25">
      <c r="A532" s="1" t="s">
        <v>1932</v>
      </c>
    </row>
    <row r="533" spans="1:1" x14ac:dyDescent="0.25">
      <c r="A533" s="1" t="s">
        <v>1933</v>
      </c>
    </row>
    <row r="534" spans="1:1" x14ac:dyDescent="0.25">
      <c r="A534" s="1" t="s">
        <v>1934</v>
      </c>
    </row>
    <row r="535" spans="1:1" x14ac:dyDescent="0.25">
      <c r="A535" s="1" t="s">
        <v>1935</v>
      </c>
    </row>
    <row r="536" spans="1:1" x14ac:dyDescent="0.25">
      <c r="A536" s="1" t="s">
        <v>1936</v>
      </c>
    </row>
    <row r="537" spans="1:1" x14ac:dyDescent="0.25">
      <c r="A537" s="1" t="s">
        <v>1937</v>
      </c>
    </row>
    <row r="538" spans="1:1" x14ac:dyDescent="0.25">
      <c r="A538" s="1" t="s">
        <v>1938</v>
      </c>
    </row>
    <row r="539" spans="1:1" x14ac:dyDescent="0.25">
      <c r="A539" s="1" t="s">
        <v>1939</v>
      </c>
    </row>
    <row r="540" spans="1:1" x14ac:dyDescent="0.25">
      <c r="A540" s="1" t="s">
        <v>1940</v>
      </c>
    </row>
    <row r="541" spans="1:1" x14ac:dyDescent="0.25">
      <c r="A541" s="1" t="s">
        <v>1941</v>
      </c>
    </row>
    <row r="542" spans="1:1" x14ac:dyDescent="0.25">
      <c r="A542" s="1" t="s">
        <v>1942</v>
      </c>
    </row>
    <row r="543" spans="1:1" x14ac:dyDescent="0.25">
      <c r="A543" s="1" t="s">
        <v>1943</v>
      </c>
    </row>
    <row r="544" spans="1:1" x14ac:dyDescent="0.25">
      <c r="A544" s="1" t="s">
        <v>1944</v>
      </c>
    </row>
    <row r="545" spans="1:1" x14ac:dyDescent="0.25">
      <c r="A545" s="1" t="s">
        <v>1945</v>
      </c>
    </row>
    <row r="546" spans="1:1" x14ac:dyDescent="0.25">
      <c r="A546" s="1" t="s">
        <v>1946</v>
      </c>
    </row>
    <row r="547" spans="1:1" x14ac:dyDescent="0.25">
      <c r="A547" s="1" t="s">
        <v>1947</v>
      </c>
    </row>
    <row r="548" spans="1:1" x14ac:dyDescent="0.25">
      <c r="A548" s="1" t="s">
        <v>1948</v>
      </c>
    </row>
    <row r="549" spans="1:1" x14ac:dyDescent="0.25">
      <c r="A549" s="1" t="s">
        <v>1949</v>
      </c>
    </row>
    <row r="550" spans="1:1" x14ac:dyDescent="0.25">
      <c r="A550" s="1" t="s">
        <v>1950</v>
      </c>
    </row>
    <row r="551" spans="1:1" x14ac:dyDescent="0.25">
      <c r="A551" s="1" t="s">
        <v>1951</v>
      </c>
    </row>
    <row r="552" spans="1:1" x14ac:dyDescent="0.25">
      <c r="A552" s="1" t="s">
        <v>1952</v>
      </c>
    </row>
    <row r="553" spans="1:1" x14ac:dyDescent="0.25">
      <c r="A553" s="1" t="s">
        <v>1953</v>
      </c>
    </row>
    <row r="554" spans="1:1" x14ac:dyDescent="0.25">
      <c r="A554" s="1" t="s">
        <v>1954</v>
      </c>
    </row>
    <row r="555" spans="1:1" x14ac:dyDescent="0.25">
      <c r="A555" s="1" t="s">
        <v>1955</v>
      </c>
    </row>
    <row r="556" spans="1:1" x14ac:dyDescent="0.25">
      <c r="A556" s="1" t="s">
        <v>1956</v>
      </c>
    </row>
    <row r="557" spans="1:1" x14ac:dyDescent="0.25">
      <c r="A557" s="1" t="s">
        <v>1957</v>
      </c>
    </row>
    <row r="558" spans="1:1" x14ac:dyDescent="0.25">
      <c r="A558" s="1" t="s">
        <v>1958</v>
      </c>
    </row>
    <row r="559" spans="1:1" x14ac:dyDescent="0.25">
      <c r="A559" s="1" t="s">
        <v>1959</v>
      </c>
    </row>
    <row r="560" spans="1:1" x14ac:dyDescent="0.25">
      <c r="A560" s="1" t="s">
        <v>1960</v>
      </c>
    </row>
    <row r="561" spans="1:1" x14ac:dyDescent="0.25">
      <c r="A561" s="1" t="s">
        <v>1961</v>
      </c>
    </row>
    <row r="562" spans="1:1" x14ac:dyDescent="0.25">
      <c r="A562" s="1" t="s">
        <v>1962</v>
      </c>
    </row>
    <row r="563" spans="1:1" x14ac:dyDescent="0.25">
      <c r="A563" s="1" t="s">
        <v>1963</v>
      </c>
    </row>
    <row r="564" spans="1:1" x14ac:dyDescent="0.25">
      <c r="A564" s="1" t="s">
        <v>1964</v>
      </c>
    </row>
    <row r="565" spans="1:1" x14ac:dyDescent="0.25">
      <c r="A565" s="1" t="s">
        <v>1965</v>
      </c>
    </row>
    <row r="566" spans="1:1" x14ac:dyDescent="0.25">
      <c r="A566" s="1" t="s">
        <v>1966</v>
      </c>
    </row>
    <row r="567" spans="1:1" x14ac:dyDescent="0.25">
      <c r="A567" s="1" t="s">
        <v>1967</v>
      </c>
    </row>
    <row r="568" spans="1:1" x14ac:dyDescent="0.25">
      <c r="A568" s="1" t="s">
        <v>1968</v>
      </c>
    </row>
    <row r="569" spans="1:1" x14ac:dyDescent="0.25">
      <c r="A569" s="1" t="s">
        <v>1969</v>
      </c>
    </row>
    <row r="570" spans="1:1" x14ac:dyDescent="0.25">
      <c r="A570" s="1" t="s">
        <v>1970</v>
      </c>
    </row>
    <row r="571" spans="1:1" x14ac:dyDescent="0.25">
      <c r="A571" s="1" t="s">
        <v>1971</v>
      </c>
    </row>
    <row r="572" spans="1:1" x14ac:dyDescent="0.25">
      <c r="A572" s="1" t="s">
        <v>1972</v>
      </c>
    </row>
    <row r="573" spans="1:1" x14ac:dyDescent="0.25">
      <c r="A573" s="1" t="s">
        <v>1973</v>
      </c>
    </row>
    <row r="574" spans="1:1" x14ac:dyDescent="0.25">
      <c r="A574" s="1" t="s">
        <v>1974</v>
      </c>
    </row>
    <row r="575" spans="1:1" x14ac:dyDescent="0.25">
      <c r="A575" s="1" t="s">
        <v>1975</v>
      </c>
    </row>
    <row r="576" spans="1:1" x14ac:dyDescent="0.25">
      <c r="A576" s="1" t="s">
        <v>1976</v>
      </c>
    </row>
    <row r="577" spans="1:1" x14ac:dyDescent="0.25">
      <c r="A577" s="1" t="s">
        <v>1977</v>
      </c>
    </row>
    <row r="578" spans="1:1" x14ac:dyDescent="0.25">
      <c r="A578" s="1" t="s">
        <v>1978</v>
      </c>
    </row>
    <row r="579" spans="1:1" x14ac:dyDescent="0.25">
      <c r="A579" s="1" t="s">
        <v>1979</v>
      </c>
    </row>
    <row r="580" spans="1:1" x14ac:dyDescent="0.25">
      <c r="A580" s="1" t="s">
        <v>1980</v>
      </c>
    </row>
    <row r="581" spans="1:1" x14ac:dyDescent="0.25">
      <c r="A581" s="1" t="s">
        <v>1981</v>
      </c>
    </row>
    <row r="582" spans="1:1" x14ac:dyDescent="0.25">
      <c r="A582" s="1" t="s">
        <v>1982</v>
      </c>
    </row>
    <row r="583" spans="1:1" x14ac:dyDescent="0.25">
      <c r="A583" s="1" t="s">
        <v>1983</v>
      </c>
    </row>
    <row r="584" spans="1:1" x14ac:dyDescent="0.25">
      <c r="A584" s="1" t="s">
        <v>1984</v>
      </c>
    </row>
    <row r="585" spans="1:1" x14ac:dyDescent="0.25">
      <c r="A585" s="1" t="s">
        <v>1985</v>
      </c>
    </row>
    <row r="586" spans="1:1" x14ac:dyDescent="0.25">
      <c r="A586" s="1" t="s">
        <v>1986</v>
      </c>
    </row>
    <row r="587" spans="1:1" x14ac:dyDescent="0.25">
      <c r="A587" s="1" t="s">
        <v>1987</v>
      </c>
    </row>
    <row r="588" spans="1:1" x14ac:dyDescent="0.25">
      <c r="A588" s="1" t="s">
        <v>1988</v>
      </c>
    </row>
    <row r="589" spans="1:1" x14ac:dyDescent="0.25">
      <c r="A589" s="1" t="s">
        <v>1989</v>
      </c>
    </row>
    <row r="590" spans="1:1" x14ac:dyDescent="0.25">
      <c r="A590" s="1" t="s">
        <v>1990</v>
      </c>
    </row>
    <row r="591" spans="1:1" x14ac:dyDescent="0.25">
      <c r="A591" s="1" t="s">
        <v>1991</v>
      </c>
    </row>
    <row r="592" spans="1:1" x14ac:dyDescent="0.25">
      <c r="A592" s="1" t="s">
        <v>1992</v>
      </c>
    </row>
    <row r="593" spans="1:1" x14ac:dyDescent="0.25">
      <c r="A593" s="1" t="s">
        <v>1993</v>
      </c>
    </row>
    <row r="594" spans="1:1" x14ac:dyDescent="0.25">
      <c r="A594" s="1" t="s">
        <v>1994</v>
      </c>
    </row>
    <row r="595" spans="1:1" x14ac:dyDescent="0.25">
      <c r="A595" s="1" t="s">
        <v>1995</v>
      </c>
    </row>
    <row r="596" spans="1:1" x14ac:dyDescent="0.25">
      <c r="A596" s="1" t="s">
        <v>1996</v>
      </c>
    </row>
    <row r="597" spans="1:1" x14ac:dyDescent="0.25">
      <c r="A597" s="1" t="s">
        <v>1997</v>
      </c>
    </row>
    <row r="598" spans="1:1" x14ac:dyDescent="0.25">
      <c r="A598" s="1" t="s">
        <v>1998</v>
      </c>
    </row>
    <row r="599" spans="1:1" x14ac:dyDescent="0.25">
      <c r="A599" s="1" t="s">
        <v>1999</v>
      </c>
    </row>
    <row r="600" spans="1:1" x14ac:dyDescent="0.25">
      <c r="A600" s="1" t="s">
        <v>2000</v>
      </c>
    </row>
    <row r="601" spans="1:1" x14ac:dyDescent="0.25">
      <c r="A601" s="1" t="s">
        <v>2001</v>
      </c>
    </row>
    <row r="602" spans="1:1" x14ac:dyDescent="0.25">
      <c r="A602" s="1" t="s">
        <v>2002</v>
      </c>
    </row>
    <row r="603" spans="1:1" x14ac:dyDescent="0.25">
      <c r="A603" s="1" t="s">
        <v>2003</v>
      </c>
    </row>
    <row r="604" spans="1:1" x14ac:dyDescent="0.25">
      <c r="A604" s="1" t="s">
        <v>2004</v>
      </c>
    </row>
    <row r="605" spans="1:1" x14ac:dyDescent="0.25">
      <c r="A605" s="1" t="s">
        <v>2005</v>
      </c>
    </row>
    <row r="606" spans="1:1" x14ac:dyDescent="0.25">
      <c r="A606" s="1" t="s">
        <v>2006</v>
      </c>
    </row>
    <row r="607" spans="1:1" x14ac:dyDescent="0.25">
      <c r="A607" s="1" t="s">
        <v>2007</v>
      </c>
    </row>
    <row r="608" spans="1:1" x14ac:dyDescent="0.25">
      <c r="A608" s="1" t="s">
        <v>2008</v>
      </c>
    </row>
    <row r="609" spans="1:1" x14ac:dyDescent="0.25">
      <c r="A609" s="1" t="s">
        <v>2009</v>
      </c>
    </row>
    <row r="610" spans="1:1" x14ac:dyDescent="0.25">
      <c r="A610" s="1" t="s">
        <v>2010</v>
      </c>
    </row>
    <row r="611" spans="1:1" x14ac:dyDescent="0.25">
      <c r="A611" s="1" t="s">
        <v>2011</v>
      </c>
    </row>
    <row r="612" spans="1:1" x14ac:dyDescent="0.25">
      <c r="A612" s="1" t="s">
        <v>2012</v>
      </c>
    </row>
    <row r="613" spans="1:1" x14ac:dyDescent="0.25">
      <c r="A613" s="1" t="s">
        <v>2013</v>
      </c>
    </row>
    <row r="614" spans="1:1" x14ac:dyDescent="0.25">
      <c r="A614" s="1" t="s">
        <v>2014</v>
      </c>
    </row>
    <row r="615" spans="1:1" x14ac:dyDescent="0.25">
      <c r="A615" s="1" t="s">
        <v>2015</v>
      </c>
    </row>
    <row r="616" spans="1:1" x14ac:dyDescent="0.25">
      <c r="A616" s="1" t="s">
        <v>2016</v>
      </c>
    </row>
    <row r="617" spans="1:1" x14ac:dyDescent="0.25">
      <c r="A617" s="1" t="s">
        <v>2017</v>
      </c>
    </row>
    <row r="618" spans="1:1" x14ac:dyDescent="0.25">
      <c r="A618" s="1" t="s">
        <v>2018</v>
      </c>
    </row>
    <row r="619" spans="1:1" x14ac:dyDescent="0.25">
      <c r="A619" s="1" t="s">
        <v>2019</v>
      </c>
    </row>
    <row r="620" spans="1:1" x14ac:dyDescent="0.25">
      <c r="A620" s="1" t="s">
        <v>2020</v>
      </c>
    </row>
    <row r="621" spans="1:1" x14ac:dyDescent="0.25">
      <c r="A621" s="1" t="s">
        <v>2021</v>
      </c>
    </row>
    <row r="622" spans="1:1" x14ac:dyDescent="0.25">
      <c r="A622" s="1" t="s">
        <v>2022</v>
      </c>
    </row>
    <row r="623" spans="1:1" x14ac:dyDescent="0.25">
      <c r="A623" s="1" t="s">
        <v>2023</v>
      </c>
    </row>
    <row r="624" spans="1:1" x14ac:dyDescent="0.25">
      <c r="A624" s="1" t="s">
        <v>2024</v>
      </c>
    </row>
    <row r="625" spans="1:1" x14ac:dyDescent="0.25">
      <c r="A625" s="1" t="s">
        <v>2025</v>
      </c>
    </row>
    <row r="626" spans="1:1" x14ac:dyDescent="0.25">
      <c r="A626" s="1" t="s">
        <v>2026</v>
      </c>
    </row>
    <row r="627" spans="1:1" x14ac:dyDescent="0.25">
      <c r="A627" s="1" t="s">
        <v>2027</v>
      </c>
    </row>
    <row r="628" spans="1:1" x14ac:dyDescent="0.25">
      <c r="A628" s="1" t="s">
        <v>2028</v>
      </c>
    </row>
    <row r="629" spans="1:1" x14ac:dyDescent="0.25">
      <c r="A629" s="1" t="s">
        <v>2029</v>
      </c>
    </row>
    <row r="630" spans="1:1" x14ac:dyDescent="0.25">
      <c r="A630" s="1" t="s">
        <v>2030</v>
      </c>
    </row>
    <row r="631" spans="1:1" x14ac:dyDescent="0.25">
      <c r="A631" s="1" t="s">
        <v>2031</v>
      </c>
    </row>
    <row r="632" spans="1:1" x14ac:dyDescent="0.25">
      <c r="A632" s="1" t="s">
        <v>2032</v>
      </c>
    </row>
    <row r="633" spans="1:1" x14ac:dyDescent="0.25">
      <c r="A633" s="1" t="s">
        <v>2033</v>
      </c>
    </row>
    <row r="634" spans="1:1" x14ac:dyDescent="0.25">
      <c r="A634" s="1" t="s">
        <v>2034</v>
      </c>
    </row>
    <row r="635" spans="1:1" x14ac:dyDescent="0.25">
      <c r="A635" s="1" t="s">
        <v>2035</v>
      </c>
    </row>
    <row r="636" spans="1:1" x14ac:dyDescent="0.25">
      <c r="A636" s="1" t="s">
        <v>2036</v>
      </c>
    </row>
    <row r="637" spans="1:1" x14ac:dyDescent="0.25">
      <c r="A637" s="1" t="s">
        <v>2037</v>
      </c>
    </row>
    <row r="638" spans="1:1" x14ac:dyDescent="0.25">
      <c r="A638" s="1" t="s">
        <v>2038</v>
      </c>
    </row>
    <row r="639" spans="1:1" x14ac:dyDescent="0.25">
      <c r="A639" s="1" t="s">
        <v>2039</v>
      </c>
    </row>
    <row r="640" spans="1:1" x14ac:dyDescent="0.25">
      <c r="A640" s="1" t="s">
        <v>2040</v>
      </c>
    </row>
    <row r="641" spans="1:1" x14ac:dyDescent="0.25">
      <c r="A641" s="1" t="s">
        <v>2041</v>
      </c>
    </row>
    <row r="642" spans="1:1" x14ac:dyDescent="0.25">
      <c r="A642" s="1" t="s">
        <v>2042</v>
      </c>
    </row>
    <row r="643" spans="1:1" x14ac:dyDescent="0.25">
      <c r="A643" s="1" t="s">
        <v>2043</v>
      </c>
    </row>
    <row r="644" spans="1:1" x14ac:dyDescent="0.25">
      <c r="A644" s="1" t="s">
        <v>2044</v>
      </c>
    </row>
    <row r="645" spans="1:1" x14ac:dyDescent="0.25">
      <c r="A645" s="1" t="s">
        <v>2045</v>
      </c>
    </row>
    <row r="646" spans="1:1" x14ac:dyDescent="0.25">
      <c r="A646" s="1" t="s">
        <v>2046</v>
      </c>
    </row>
    <row r="647" spans="1:1" x14ac:dyDescent="0.25">
      <c r="A647" s="1" t="s">
        <v>2047</v>
      </c>
    </row>
    <row r="648" spans="1:1" x14ac:dyDescent="0.25">
      <c r="A648" s="1" t="s">
        <v>2048</v>
      </c>
    </row>
    <row r="649" spans="1:1" x14ac:dyDescent="0.25">
      <c r="A649" s="1" t="s">
        <v>2049</v>
      </c>
    </row>
    <row r="650" spans="1:1" x14ac:dyDescent="0.25">
      <c r="A650" s="1" t="s">
        <v>2050</v>
      </c>
    </row>
    <row r="651" spans="1:1" x14ac:dyDescent="0.25">
      <c r="A651" s="1" t="s">
        <v>2051</v>
      </c>
    </row>
    <row r="652" spans="1:1" x14ac:dyDescent="0.25">
      <c r="A652" s="1" t="s">
        <v>2052</v>
      </c>
    </row>
    <row r="653" spans="1:1" x14ac:dyDescent="0.25">
      <c r="A653" s="1" t="s">
        <v>2053</v>
      </c>
    </row>
    <row r="654" spans="1:1" x14ac:dyDescent="0.25">
      <c r="A654" s="1" t="s">
        <v>2054</v>
      </c>
    </row>
    <row r="655" spans="1:1" x14ac:dyDescent="0.25">
      <c r="A655" s="1" t="s">
        <v>2055</v>
      </c>
    </row>
    <row r="656" spans="1:1" x14ac:dyDescent="0.25">
      <c r="A656" s="1" t="s">
        <v>2056</v>
      </c>
    </row>
    <row r="657" spans="1:1" x14ac:dyDescent="0.25">
      <c r="A657" s="1" t="s">
        <v>2057</v>
      </c>
    </row>
    <row r="658" spans="1:1" x14ac:dyDescent="0.25">
      <c r="A658" s="1" t="s">
        <v>2058</v>
      </c>
    </row>
    <row r="659" spans="1:1" x14ac:dyDescent="0.25">
      <c r="A659" s="1" t="s">
        <v>2059</v>
      </c>
    </row>
    <row r="660" spans="1:1" x14ac:dyDescent="0.25">
      <c r="A660" s="1" t="s">
        <v>2060</v>
      </c>
    </row>
    <row r="661" spans="1:1" x14ac:dyDescent="0.25">
      <c r="A661" s="1" t="s">
        <v>2061</v>
      </c>
    </row>
    <row r="662" spans="1:1" x14ac:dyDescent="0.25">
      <c r="A662" s="1" t="s">
        <v>2062</v>
      </c>
    </row>
    <row r="663" spans="1:1" x14ac:dyDescent="0.25">
      <c r="A663" s="1" t="s">
        <v>2063</v>
      </c>
    </row>
    <row r="664" spans="1:1" x14ac:dyDescent="0.25">
      <c r="A664" s="1" t="s">
        <v>2064</v>
      </c>
    </row>
    <row r="665" spans="1:1" x14ac:dyDescent="0.25">
      <c r="A665" s="1" t="s">
        <v>2065</v>
      </c>
    </row>
    <row r="666" spans="1:1" x14ac:dyDescent="0.25">
      <c r="A666" s="1" t="s">
        <v>2066</v>
      </c>
    </row>
    <row r="667" spans="1:1" x14ac:dyDescent="0.25">
      <c r="A667" s="1" t="s">
        <v>2067</v>
      </c>
    </row>
    <row r="668" spans="1:1" x14ac:dyDescent="0.25">
      <c r="A668" s="1" t="s">
        <v>2068</v>
      </c>
    </row>
    <row r="669" spans="1:1" x14ac:dyDescent="0.25">
      <c r="A669" s="1" t="s">
        <v>2069</v>
      </c>
    </row>
    <row r="670" spans="1:1" x14ac:dyDescent="0.25">
      <c r="A670" s="1" t="s">
        <v>2070</v>
      </c>
    </row>
    <row r="671" spans="1:1" x14ac:dyDescent="0.25">
      <c r="A671" s="1" t="s">
        <v>2071</v>
      </c>
    </row>
    <row r="672" spans="1:1" x14ac:dyDescent="0.25">
      <c r="A672" s="1" t="s">
        <v>2072</v>
      </c>
    </row>
    <row r="673" spans="1:1" x14ac:dyDescent="0.25">
      <c r="A673" s="1" t="s">
        <v>2073</v>
      </c>
    </row>
    <row r="674" spans="1:1" x14ac:dyDescent="0.25">
      <c r="A674" s="1" t="s">
        <v>2074</v>
      </c>
    </row>
    <row r="675" spans="1:1" x14ac:dyDescent="0.25">
      <c r="A675" s="1" t="s">
        <v>2075</v>
      </c>
    </row>
    <row r="676" spans="1:1" x14ac:dyDescent="0.25">
      <c r="A676" s="1" t="s">
        <v>2076</v>
      </c>
    </row>
    <row r="677" spans="1:1" x14ac:dyDescent="0.25">
      <c r="A677" s="1" t="s">
        <v>2077</v>
      </c>
    </row>
    <row r="678" spans="1:1" x14ac:dyDescent="0.25">
      <c r="A678" s="1" t="s">
        <v>2078</v>
      </c>
    </row>
    <row r="679" spans="1:1" x14ac:dyDescent="0.25">
      <c r="A679" s="1" t="s">
        <v>2079</v>
      </c>
    </row>
    <row r="680" spans="1:1" x14ac:dyDescent="0.25">
      <c r="A680" s="1" t="s">
        <v>2080</v>
      </c>
    </row>
    <row r="681" spans="1:1" x14ac:dyDescent="0.25">
      <c r="A681" s="1" t="s">
        <v>2081</v>
      </c>
    </row>
    <row r="682" spans="1:1" x14ac:dyDescent="0.25">
      <c r="A682" s="1" t="s">
        <v>2082</v>
      </c>
    </row>
    <row r="683" spans="1:1" x14ac:dyDescent="0.25">
      <c r="A683" s="1" t="s">
        <v>2083</v>
      </c>
    </row>
    <row r="684" spans="1:1" x14ac:dyDescent="0.25">
      <c r="A684" s="1" t="s">
        <v>2084</v>
      </c>
    </row>
    <row r="685" spans="1:1" x14ac:dyDescent="0.25">
      <c r="A685" s="1" t="s">
        <v>2085</v>
      </c>
    </row>
    <row r="686" spans="1:1" x14ac:dyDescent="0.25">
      <c r="A686" s="1" t="s">
        <v>2086</v>
      </c>
    </row>
    <row r="687" spans="1:1" x14ac:dyDescent="0.25">
      <c r="A687" s="1" t="s">
        <v>2087</v>
      </c>
    </row>
    <row r="688" spans="1:1" x14ac:dyDescent="0.25">
      <c r="A688" s="1" t="s">
        <v>2088</v>
      </c>
    </row>
    <row r="689" spans="1:1" x14ac:dyDescent="0.25">
      <c r="A689" s="1" t="s">
        <v>2089</v>
      </c>
    </row>
    <row r="690" spans="1:1" x14ac:dyDescent="0.25">
      <c r="A690" s="1" t="s">
        <v>2090</v>
      </c>
    </row>
    <row r="691" spans="1:1" x14ac:dyDescent="0.25">
      <c r="A691" s="1" t="s">
        <v>2091</v>
      </c>
    </row>
    <row r="692" spans="1:1" x14ac:dyDescent="0.25">
      <c r="A692" s="1" t="s">
        <v>2092</v>
      </c>
    </row>
    <row r="693" spans="1:1" x14ac:dyDescent="0.25">
      <c r="A693" s="1" t="s">
        <v>2093</v>
      </c>
    </row>
    <row r="694" spans="1:1" x14ac:dyDescent="0.25">
      <c r="A694" s="1" t="s">
        <v>2094</v>
      </c>
    </row>
    <row r="695" spans="1:1" x14ac:dyDescent="0.25">
      <c r="A695" s="1" t="s">
        <v>2095</v>
      </c>
    </row>
    <row r="696" spans="1:1" x14ac:dyDescent="0.25">
      <c r="A696" s="1" t="s">
        <v>2096</v>
      </c>
    </row>
    <row r="697" spans="1:1" x14ac:dyDescent="0.25">
      <c r="A697" s="1" t="s">
        <v>2097</v>
      </c>
    </row>
    <row r="698" spans="1:1" x14ac:dyDescent="0.25">
      <c r="A698" s="1" t="s">
        <v>2098</v>
      </c>
    </row>
    <row r="699" spans="1:1" x14ac:dyDescent="0.25">
      <c r="A699" s="1" t="s">
        <v>2099</v>
      </c>
    </row>
    <row r="700" spans="1:1" x14ac:dyDescent="0.25">
      <c r="A700" s="1" t="s">
        <v>2100</v>
      </c>
    </row>
    <row r="701" spans="1:1" x14ac:dyDescent="0.25">
      <c r="A701" s="1" t="s">
        <v>2101</v>
      </c>
    </row>
    <row r="702" spans="1:1" x14ac:dyDescent="0.25">
      <c r="A702" s="1" t="s">
        <v>2102</v>
      </c>
    </row>
    <row r="703" spans="1:1" x14ac:dyDescent="0.25">
      <c r="A703" s="1" t="s">
        <v>2103</v>
      </c>
    </row>
    <row r="704" spans="1:1" x14ac:dyDescent="0.25">
      <c r="A704" s="1" t="s">
        <v>2104</v>
      </c>
    </row>
    <row r="705" spans="1:1" x14ac:dyDescent="0.25">
      <c r="A705" s="1" t="s">
        <v>2105</v>
      </c>
    </row>
    <row r="706" spans="1:1" x14ac:dyDescent="0.25">
      <c r="A706" s="1" t="s">
        <v>2106</v>
      </c>
    </row>
    <row r="707" spans="1:1" x14ac:dyDescent="0.25">
      <c r="A707" s="1" t="s">
        <v>2107</v>
      </c>
    </row>
    <row r="708" spans="1:1" x14ac:dyDescent="0.25">
      <c r="A708" s="1" t="s">
        <v>2108</v>
      </c>
    </row>
    <row r="709" spans="1:1" x14ac:dyDescent="0.25">
      <c r="A709" s="1" t="s">
        <v>2109</v>
      </c>
    </row>
    <row r="710" spans="1:1" x14ac:dyDescent="0.25">
      <c r="A710" s="1" t="s">
        <v>2110</v>
      </c>
    </row>
    <row r="711" spans="1:1" x14ac:dyDescent="0.25">
      <c r="A711" s="1" t="s">
        <v>2111</v>
      </c>
    </row>
    <row r="712" spans="1:1" x14ac:dyDescent="0.25">
      <c r="A712" s="1" t="s">
        <v>2112</v>
      </c>
    </row>
    <row r="713" spans="1:1" x14ac:dyDescent="0.25">
      <c r="A713" s="1" t="s">
        <v>2113</v>
      </c>
    </row>
    <row r="714" spans="1:1" x14ac:dyDescent="0.25">
      <c r="A714" s="1" t="s">
        <v>2114</v>
      </c>
    </row>
    <row r="715" spans="1:1" x14ac:dyDescent="0.25">
      <c r="A715" s="1" t="s">
        <v>2115</v>
      </c>
    </row>
    <row r="716" spans="1:1" x14ac:dyDescent="0.25">
      <c r="A716" s="1" t="s">
        <v>2116</v>
      </c>
    </row>
    <row r="717" spans="1:1" x14ac:dyDescent="0.25">
      <c r="A717" s="1" t="s">
        <v>2117</v>
      </c>
    </row>
    <row r="718" spans="1:1" x14ac:dyDescent="0.25">
      <c r="A718" s="1" t="s">
        <v>2118</v>
      </c>
    </row>
    <row r="719" spans="1:1" x14ac:dyDescent="0.25">
      <c r="A719" s="1" t="s">
        <v>2119</v>
      </c>
    </row>
    <row r="720" spans="1:1" x14ac:dyDescent="0.25">
      <c r="A720" s="1" t="s">
        <v>2120</v>
      </c>
    </row>
    <row r="721" spans="1:1" x14ac:dyDescent="0.25">
      <c r="A721" s="1" t="s">
        <v>2121</v>
      </c>
    </row>
    <row r="722" spans="1:1" x14ac:dyDescent="0.25">
      <c r="A722" s="1" t="s">
        <v>2122</v>
      </c>
    </row>
    <row r="723" spans="1:1" x14ac:dyDescent="0.25">
      <c r="A723" s="1" t="s">
        <v>2123</v>
      </c>
    </row>
    <row r="724" spans="1:1" x14ac:dyDescent="0.25">
      <c r="A724" s="1" t="s">
        <v>2124</v>
      </c>
    </row>
    <row r="725" spans="1:1" x14ac:dyDescent="0.25">
      <c r="A725" s="1" t="s">
        <v>2125</v>
      </c>
    </row>
    <row r="726" spans="1:1" x14ac:dyDescent="0.25">
      <c r="A726" s="1" t="s">
        <v>2126</v>
      </c>
    </row>
    <row r="727" spans="1:1" x14ac:dyDescent="0.25">
      <c r="A727" s="1" t="s">
        <v>2127</v>
      </c>
    </row>
    <row r="728" spans="1:1" x14ac:dyDescent="0.25">
      <c r="A728" s="1" t="s">
        <v>2128</v>
      </c>
    </row>
    <row r="729" spans="1:1" x14ac:dyDescent="0.25">
      <c r="A729" s="1" t="s">
        <v>2129</v>
      </c>
    </row>
    <row r="730" spans="1:1" x14ac:dyDescent="0.25">
      <c r="A730" s="1" t="s">
        <v>2130</v>
      </c>
    </row>
    <row r="731" spans="1:1" x14ac:dyDescent="0.25">
      <c r="A731" s="1" t="s">
        <v>2131</v>
      </c>
    </row>
    <row r="732" spans="1:1" x14ac:dyDescent="0.25">
      <c r="A732" s="1" t="s">
        <v>2132</v>
      </c>
    </row>
    <row r="733" spans="1:1" x14ac:dyDescent="0.25">
      <c r="A733" s="1" t="s">
        <v>2133</v>
      </c>
    </row>
    <row r="734" spans="1:1" x14ac:dyDescent="0.25">
      <c r="A734" s="1" t="s">
        <v>2134</v>
      </c>
    </row>
    <row r="735" spans="1:1" x14ac:dyDescent="0.25">
      <c r="A735" s="1" t="s">
        <v>2135</v>
      </c>
    </row>
    <row r="736" spans="1:1" x14ac:dyDescent="0.25">
      <c r="A736" s="1" t="s">
        <v>2136</v>
      </c>
    </row>
    <row r="737" spans="1:1" x14ac:dyDescent="0.25">
      <c r="A737" s="1" t="s">
        <v>2137</v>
      </c>
    </row>
    <row r="738" spans="1:1" x14ac:dyDescent="0.25">
      <c r="A738" s="1" t="s">
        <v>2138</v>
      </c>
    </row>
    <row r="739" spans="1:1" x14ac:dyDescent="0.25">
      <c r="A739" s="1" t="s">
        <v>2139</v>
      </c>
    </row>
    <row r="740" spans="1:1" x14ac:dyDescent="0.25">
      <c r="A740" s="1" t="s">
        <v>2140</v>
      </c>
    </row>
    <row r="741" spans="1:1" x14ac:dyDescent="0.25">
      <c r="A741" s="1" t="s">
        <v>2141</v>
      </c>
    </row>
    <row r="742" spans="1:1" x14ac:dyDescent="0.25">
      <c r="A742" s="1" t="s">
        <v>2142</v>
      </c>
    </row>
    <row r="743" spans="1:1" x14ac:dyDescent="0.25">
      <c r="A743" s="1" t="s">
        <v>2143</v>
      </c>
    </row>
    <row r="744" spans="1:1" x14ac:dyDescent="0.25">
      <c r="A744" s="1" t="s">
        <v>2144</v>
      </c>
    </row>
    <row r="745" spans="1:1" x14ac:dyDescent="0.25">
      <c r="A745" s="1" t="s">
        <v>2145</v>
      </c>
    </row>
    <row r="746" spans="1:1" x14ac:dyDescent="0.25">
      <c r="A746" s="1" t="s">
        <v>2146</v>
      </c>
    </row>
    <row r="747" spans="1:1" x14ac:dyDescent="0.25">
      <c r="A747" s="1" t="s">
        <v>2147</v>
      </c>
    </row>
    <row r="748" spans="1:1" x14ac:dyDescent="0.25">
      <c r="A748" s="1" t="s">
        <v>2148</v>
      </c>
    </row>
    <row r="749" spans="1:1" x14ac:dyDescent="0.25">
      <c r="A749" s="1" t="s">
        <v>2149</v>
      </c>
    </row>
    <row r="750" spans="1:1" x14ac:dyDescent="0.25">
      <c r="A750" s="1" t="s">
        <v>2150</v>
      </c>
    </row>
    <row r="751" spans="1:1" x14ac:dyDescent="0.25">
      <c r="A751" s="1" t="s">
        <v>2151</v>
      </c>
    </row>
    <row r="752" spans="1:1" x14ac:dyDescent="0.25">
      <c r="A752" s="1" t="s">
        <v>2152</v>
      </c>
    </row>
    <row r="753" spans="1:1" x14ac:dyDescent="0.25">
      <c r="A753" s="1" t="s">
        <v>2153</v>
      </c>
    </row>
    <row r="754" spans="1:1" x14ac:dyDescent="0.25">
      <c r="A754" s="1" t="s">
        <v>2154</v>
      </c>
    </row>
    <row r="755" spans="1:1" x14ac:dyDescent="0.25">
      <c r="A755" s="1" t="s">
        <v>2155</v>
      </c>
    </row>
    <row r="756" spans="1:1" x14ac:dyDescent="0.25">
      <c r="A756" s="1" t="s">
        <v>2156</v>
      </c>
    </row>
    <row r="757" spans="1:1" x14ac:dyDescent="0.25">
      <c r="A757" s="1" t="s">
        <v>2157</v>
      </c>
    </row>
    <row r="758" spans="1:1" x14ac:dyDescent="0.25">
      <c r="A758" s="1" t="s">
        <v>2158</v>
      </c>
    </row>
    <row r="759" spans="1:1" x14ac:dyDescent="0.25">
      <c r="A759" s="1" t="s">
        <v>2159</v>
      </c>
    </row>
    <row r="760" spans="1:1" x14ac:dyDescent="0.25">
      <c r="A760" s="1" t="s">
        <v>2160</v>
      </c>
    </row>
    <row r="761" spans="1:1" x14ac:dyDescent="0.25">
      <c r="A761" s="1" t="s">
        <v>2161</v>
      </c>
    </row>
    <row r="762" spans="1:1" x14ac:dyDescent="0.25">
      <c r="A762" s="1" t="s">
        <v>2162</v>
      </c>
    </row>
    <row r="763" spans="1:1" x14ac:dyDescent="0.25">
      <c r="A763" s="1" t="s">
        <v>2163</v>
      </c>
    </row>
    <row r="764" spans="1:1" x14ac:dyDescent="0.25">
      <c r="A764" s="1" t="s">
        <v>2164</v>
      </c>
    </row>
    <row r="765" spans="1:1" x14ac:dyDescent="0.25">
      <c r="A765" s="1" t="s">
        <v>2165</v>
      </c>
    </row>
    <row r="766" spans="1:1" x14ac:dyDescent="0.25">
      <c r="A766" s="1" t="s">
        <v>2166</v>
      </c>
    </row>
    <row r="767" spans="1:1" x14ac:dyDescent="0.25">
      <c r="A767" s="1" t="s">
        <v>2167</v>
      </c>
    </row>
    <row r="768" spans="1:1" x14ac:dyDescent="0.25">
      <c r="A768" s="1" t="s">
        <v>2168</v>
      </c>
    </row>
    <row r="769" spans="1:1" x14ac:dyDescent="0.25">
      <c r="A769" s="1" t="s">
        <v>2169</v>
      </c>
    </row>
    <row r="770" spans="1:1" x14ac:dyDescent="0.25">
      <c r="A770" s="1" t="s">
        <v>2170</v>
      </c>
    </row>
    <row r="771" spans="1:1" x14ac:dyDescent="0.25">
      <c r="A771" s="1" t="s">
        <v>2171</v>
      </c>
    </row>
    <row r="772" spans="1:1" x14ac:dyDescent="0.25">
      <c r="A772" s="1" t="s">
        <v>2172</v>
      </c>
    </row>
    <row r="773" spans="1:1" x14ac:dyDescent="0.25">
      <c r="A773" s="1" t="s">
        <v>2173</v>
      </c>
    </row>
    <row r="774" spans="1:1" x14ac:dyDescent="0.25">
      <c r="A774" s="1" t="s">
        <v>2174</v>
      </c>
    </row>
    <row r="775" spans="1:1" x14ac:dyDescent="0.25">
      <c r="A775" s="1" t="s">
        <v>2175</v>
      </c>
    </row>
    <row r="776" spans="1:1" x14ac:dyDescent="0.25">
      <c r="A776" s="1" t="s">
        <v>2176</v>
      </c>
    </row>
    <row r="777" spans="1:1" x14ac:dyDescent="0.25">
      <c r="A777" s="1" t="s">
        <v>2177</v>
      </c>
    </row>
    <row r="778" spans="1:1" x14ac:dyDescent="0.25">
      <c r="A778" s="1" t="s">
        <v>2178</v>
      </c>
    </row>
    <row r="779" spans="1:1" x14ac:dyDescent="0.25">
      <c r="A779" s="1" t="s">
        <v>2179</v>
      </c>
    </row>
    <row r="780" spans="1:1" x14ac:dyDescent="0.25">
      <c r="A780" s="1" t="s">
        <v>2180</v>
      </c>
    </row>
    <row r="781" spans="1:1" x14ac:dyDescent="0.25">
      <c r="A781" s="1" t="s">
        <v>2181</v>
      </c>
    </row>
    <row r="782" spans="1:1" x14ac:dyDescent="0.25">
      <c r="A782" s="1" t="s">
        <v>2182</v>
      </c>
    </row>
    <row r="783" spans="1:1" x14ac:dyDescent="0.25">
      <c r="A783" s="1" t="s">
        <v>2183</v>
      </c>
    </row>
    <row r="784" spans="1:1" x14ac:dyDescent="0.25">
      <c r="A784" s="1" t="s">
        <v>2184</v>
      </c>
    </row>
    <row r="785" spans="1:1" x14ac:dyDescent="0.25">
      <c r="A785" s="1" t="s">
        <v>2185</v>
      </c>
    </row>
    <row r="786" spans="1:1" x14ac:dyDescent="0.25">
      <c r="A786" s="1" t="s">
        <v>2186</v>
      </c>
    </row>
    <row r="787" spans="1:1" x14ac:dyDescent="0.25">
      <c r="A787" s="1" t="s">
        <v>2187</v>
      </c>
    </row>
    <row r="788" spans="1:1" x14ac:dyDescent="0.25">
      <c r="A788" s="1" t="s">
        <v>2188</v>
      </c>
    </row>
    <row r="789" spans="1:1" x14ac:dyDescent="0.25">
      <c r="A789" s="1" t="s">
        <v>2189</v>
      </c>
    </row>
    <row r="790" spans="1:1" x14ac:dyDescent="0.25">
      <c r="A790" s="1" t="s">
        <v>2190</v>
      </c>
    </row>
    <row r="791" spans="1:1" x14ac:dyDescent="0.25">
      <c r="A791" s="1" t="s">
        <v>2191</v>
      </c>
    </row>
    <row r="792" spans="1:1" x14ac:dyDescent="0.25">
      <c r="A792" s="1" t="s">
        <v>2192</v>
      </c>
    </row>
    <row r="793" spans="1:1" x14ac:dyDescent="0.25">
      <c r="A793" s="1" t="s">
        <v>2193</v>
      </c>
    </row>
    <row r="794" spans="1:1" x14ac:dyDescent="0.25">
      <c r="A794" s="1" t="s">
        <v>2194</v>
      </c>
    </row>
    <row r="795" spans="1:1" x14ac:dyDescent="0.25">
      <c r="A795" s="1" t="s">
        <v>2195</v>
      </c>
    </row>
    <row r="796" spans="1:1" x14ac:dyDescent="0.25">
      <c r="A796" s="1" t="s">
        <v>2196</v>
      </c>
    </row>
    <row r="797" spans="1:1" x14ac:dyDescent="0.25">
      <c r="A797" s="1" t="s">
        <v>2197</v>
      </c>
    </row>
    <row r="798" spans="1:1" x14ac:dyDescent="0.25">
      <c r="A798" s="1" t="s">
        <v>2198</v>
      </c>
    </row>
    <row r="799" spans="1:1" x14ac:dyDescent="0.25">
      <c r="A799" s="1" t="s">
        <v>2199</v>
      </c>
    </row>
    <row r="800" spans="1:1" x14ac:dyDescent="0.25">
      <c r="A800" s="1" t="s">
        <v>2200</v>
      </c>
    </row>
    <row r="801" spans="1:1" x14ac:dyDescent="0.25">
      <c r="A801" s="1" t="s">
        <v>2201</v>
      </c>
    </row>
    <row r="802" spans="1:1" x14ac:dyDescent="0.25">
      <c r="A802" s="1" t="s">
        <v>2202</v>
      </c>
    </row>
    <row r="803" spans="1:1" x14ac:dyDescent="0.25">
      <c r="A803" s="1" t="s">
        <v>2203</v>
      </c>
    </row>
    <row r="804" spans="1:1" x14ac:dyDescent="0.25">
      <c r="A804" s="1" t="s">
        <v>2204</v>
      </c>
    </row>
    <row r="805" spans="1:1" x14ac:dyDescent="0.25">
      <c r="A805" s="1" t="s">
        <v>2205</v>
      </c>
    </row>
    <row r="806" spans="1:1" x14ac:dyDescent="0.25">
      <c r="A806" s="1" t="s">
        <v>2206</v>
      </c>
    </row>
    <row r="807" spans="1:1" x14ac:dyDescent="0.25">
      <c r="A807" s="1" t="s">
        <v>2207</v>
      </c>
    </row>
    <row r="808" spans="1:1" x14ac:dyDescent="0.25">
      <c r="A808" s="1" t="s">
        <v>2208</v>
      </c>
    </row>
    <row r="809" spans="1:1" x14ac:dyDescent="0.25">
      <c r="A809" s="1" t="s">
        <v>2209</v>
      </c>
    </row>
    <row r="810" spans="1:1" x14ac:dyDescent="0.25">
      <c r="A810" s="1" t="s">
        <v>2210</v>
      </c>
    </row>
    <row r="811" spans="1:1" x14ac:dyDescent="0.25">
      <c r="A811" s="1" t="s">
        <v>2211</v>
      </c>
    </row>
    <row r="812" spans="1:1" x14ac:dyDescent="0.25">
      <c r="A812" s="1" t="s">
        <v>2212</v>
      </c>
    </row>
    <row r="813" spans="1:1" x14ac:dyDescent="0.25">
      <c r="A813" s="1" t="s">
        <v>2213</v>
      </c>
    </row>
    <row r="814" spans="1:1" x14ac:dyDescent="0.25">
      <c r="A814" s="1" t="s">
        <v>2214</v>
      </c>
    </row>
    <row r="815" spans="1:1" x14ac:dyDescent="0.25">
      <c r="A815" s="1" t="s">
        <v>2215</v>
      </c>
    </row>
    <row r="816" spans="1:1" x14ac:dyDescent="0.25">
      <c r="A816" s="1" t="s">
        <v>2216</v>
      </c>
    </row>
    <row r="817" spans="1:1" x14ac:dyDescent="0.25">
      <c r="A817" s="1" t="s">
        <v>2217</v>
      </c>
    </row>
    <row r="818" spans="1:1" x14ac:dyDescent="0.25">
      <c r="A818" s="1" t="s">
        <v>2218</v>
      </c>
    </row>
    <row r="819" spans="1:1" x14ac:dyDescent="0.25">
      <c r="A819" s="1" t="s">
        <v>2219</v>
      </c>
    </row>
    <row r="820" spans="1:1" x14ac:dyDescent="0.25">
      <c r="A820" s="1" t="s">
        <v>2220</v>
      </c>
    </row>
    <row r="821" spans="1:1" x14ac:dyDescent="0.25">
      <c r="A821" s="1" t="s">
        <v>2221</v>
      </c>
    </row>
    <row r="822" spans="1:1" x14ac:dyDescent="0.25">
      <c r="A822" s="1" t="s">
        <v>2222</v>
      </c>
    </row>
    <row r="823" spans="1:1" x14ac:dyDescent="0.25">
      <c r="A823" s="1" t="s">
        <v>2223</v>
      </c>
    </row>
    <row r="824" spans="1:1" x14ac:dyDescent="0.25">
      <c r="A824" s="1" t="s">
        <v>2224</v>
      </c>
    </row>
    <row r="825" spans="1:1" x14ac:dyDescent="0.25">
      <c r="A825" s="1" t="s">
        <v>2225</v>
      </c>
    </row>
    <row r="826" spans="1:1" x14ac:dyDescent="0.25">
      <c r="A826" s="1" t="s">
        <v>2226</v>
      </c>
    </row>
    <row r="827" spans="1:1" x14ac:dyDescent="0.25">
      <c r="A827" s="1" t="s">
        <v>2227</v>
      </c>
    </row>
    <row r="828" spans="1:1" x14ac:dyDescent="0.25">
      <c r="A828" s="1" t="s">
        <v>2228</v>
      </c>
    </row>
    <row r="829" spans="1:1" x14ac:dyDescent="0.25">
      <c r="A829" s="1" t="s">
        <v>2229</v>
      </c>
    </row>
    <row r="830" spans="1:1" x14ac:dyDescent="0.25">
      <c r="A830" s="1" t="s">
        <v>2230</v>
      </c>
    </row>
    <row r="831" spans="1:1" x14ac:dyDescent="0.25">
      <c r="A831" s="1" t="s">
        <v>2231</v>
      </c>
    </row>
    <row r="832" spans="1:1" x14ac:dyDescent="0.25">
      <c r="A832" s="1" t="s">
        <v>2232</v>
      </c>
    </row>
    <row r="833" spans="1:1" x14ac:dyDescent="0.25">
      <c r="A833" s="1" t="s">
        <v>2233</v>
      </c>
    </row>
    <row r="834" spans="1:1" x14ac:dyDescent="0.25">
      <c r="A834" s="1" t="s">
        <v>2234</v>
      </c>
    </row>
    <row r="835" spans="1:1" x14ac:dyDescent="0.25">
      <c r="A835" s="1" t="s">
        <v>2235</v>
      </c>
    </row>
    <row r="836" spans="1:1" x14ac:dyDescent="0.25">
      <c r="A836" s="1" t="s">
        <v>2236</v>
      </c>
    </row>
    <row r="837" spans="1:1" x14ac:dyDescent="0.25">
      <c r="A837" s="1" t="s">
        <v>2237</v>
      </c>
    </row>
    <row r="838" spans="1:1" x14ac:dyDescent="0.25">
      <c r="A838" s="1" t="s">
        <v>2238</v>
      </c>
    </row>
    <row r="839" spans="1:1" x14ac:dyDescent="0.25">
      <c r="A839" s="1" t="s">
        <v>2239</v>
      </c>
    </row>
    <row r="840" spans="1:1" x14ac:dyDescent="0.25">
      <c r="A840" s="1" t="s">
        <v>2240</v>
      </c>
    </row>
    <row r="841" spans="1:1" x14ac:dyDescent="0.25">
      <c r="A841" s="1" t="s">
        <v>2241</v>
      </c>
    </row>
    <row r="842" spans="1:1" x14ac:dyDescent="0.25">
      <c r="A842" s="1" t="s">
        <v>2242</v>
      </c>
    </row>
    <row r="843" spans="1:1" x14ac:dyDescent="0.25">
      <c r="A843" s="1" t="s">
        <v>2243</v>
      </c>
    </row>
    <row r="844" spans="1:1" x14ac:dyDescent="0.25">
      <c r="A844" s="1" t="s">
        <v>2244</v>
      </c>
    </row>
    <row r="845" spans="1:1" x14ac:dyDescent="0.25">
      <c r="A845" s="1" t="s">
        <v>2245</v>
      </c>
    </row>
    <row r="846" spans="1:1" x14ac:dyDescent="0.25">
      <c r="A846" s="1" t="s">
        <v>2246</v>
      </c>
    </row>
    <row r="847" spans="1:1" x14ac:dyDescent="0.25">
      <c r="A847" s="1" t="s">
        <v>2247</v>
      </c>
    </row>
    <row r="848" spans="1:1" x14ac:dyDescent="0.25">
      <c r="A848" s="1" t="s">
        <v>2248</v>
      </c>
    </row>
    <row r="849" spans="1:1" x14ac:dyDescent="0.25">
      <c r="A849" s="1" t="s">
        <v>2249</v>
      </c>
    </row>
    <row r="850" spans="1:1" x14ac:dyDescent="0.25">
      <c r="A850" s="1" t="s">
        <v>2250</v>
      </c>
    </row>
    <row r="851" spans="1:1" x14ac:dyDescent="0.25">
      <c r="A851" s="1" t="s">
        <v>2251</v>
      </c>
    </row>
    <row r="852" spans="1:1" x14ac:dyDescent="0.25">
      <c r="A852" s="1" t="s">
        <v>2252</v>
      </c>
    </row>
    <row r="853" spans="1:1" x14ac:dyDescent="0.25">
      <c r="A853" s="1" t="s">
        <v>2253</v>
      </c>
    </row>
    <row r="854" spans="1:1" x14ac:dyDescent="0.25">
      <c r="A854" s="1" t="s">
        <v>2254</v>
      </c>
    </row>
    <row r="855" spans="1:1" x14ac:dyDescent="0.25">
      <c r="A855" s="1" t="s">
        <v>2255</v>
      </c>
    </row>
    <row r="856" spans="1:1" x14ac:dyDescent="0.25">
      <c r="A856" s="1" t="s">
        <v>2256</v>
      </c>
    </row>
    <row r="857" spans="1:1" x14ac:dyDescent="0.25">
      <c r="A857" s="1" t="s">
        <v>2257</v>
      </c>
    </row>
    <row r="858" spans="1:1" x14ac:dyDescent="0.25">
      <c r="A858" s="1" t="s">
        <v>2258</v>
      </c>
    </row>
    <row r="859" spans="1:1" x14ac:dyDescent="0.25">
      <c r="A859" s="1" t="s">
        <v>2259</v>
      </c>
    </row>
    <row r="860" spans="1:1" x14ac:dyDescent="0.25">
      <c r="A860" s="1" t="s">
        <v>2260</v>
      </c>
    </row>
    <row r="861" spans="1:1" x14ac:dyDescent="0.25">
      <c r="A861" s="1" t="s">
        <v>2261</v>
      </c>
    </row>
    <row r="862" spans="1:1" x14ac:dyDescent="0.25">
      <c r="A862" s="1" t="s">
        <v>2262</v>
      </c>
    </row>
    <row r="863" spans="1:1" x14ac:dyDescent="0.25">
      <c r="A863" s="1" t="s">
        <v>2263</v>
      </c>
    </row>
    <row r="864" spans="1:1" x14ac:dyDescent="0.25">
      <c r="A864" s="1" t="s">
        <v>2264</v>
      </c>
    </row>
    <row r="865" spans="1:1" x14ac:dyDescent="0.25">
      <c r="A865" s="1" t="s">
        <v>2265</v>
      </c>
    </row>
    <row r="866" spans="1:1" x14ac:dyDescent="0.25">
      <c r="A866" s="1" t="s">
        <v>2266</v>
      </c>
    </row>
    <row r="867" spans="1:1" x14ac:dyDescent="0.25">
      <c r="A867" s="1" t="s">
        <v>2267</v>
      </c>
    </row>
    <row r="868" spans="1:1" x14ac:dyDescent="0.25">
      <c r="A868" s="1" t="s">
        <v>2268</v>
      </c>
    </row>
    <row r="869" spans="1:1" x14ac:dyDescent="0.25">
      <c r="A869" s="1" t="s">
        <v>2269</v>
      </c>
    </row>
    <row r="870" spans="1:1" x14ac:dyDescent="0.25">
      <c r="A870" s="1" t="s">
        <v>2270</v>
      </c>
    </row>
    <row r="871" spans="1:1" x14ac:dyDescent="0.25">
      <c r="A871" s="1" t="s">
        <v>2271</v>
      </c>
    </row>
    <row r="872" spans="1:1" x14ac:dyDescent="0.25">
      <c r="A872" s="1" t="s">
        <v>2272</v>
      </c>
    </row>
    <row r="873" spans="1:1" x14ac:dyDescent="0.25">
      <c r="A873" s="1" t="s">
        <v>2273</v>
      </c>
    </row>
    <row r="874" spans="1:1" x14ac:dyDescent="0.25">
      <c r="A874" s="1" t="s">
        <v>2274</v>
      </c>
    </row>
    <row r="875" spans="1:1" x14ac:dyDescent="0.25">
      <c r="A875" s="1" t="s">
        <v>2275</v>
      </c>
    </row>
    <row r="876" spans="1:1" x14ac:dyDescent="0.25">
      <c r="A876" s="1" t="s">
        <v>2276</v>
      </c>
    </row>
    <row r="877" spans="1:1" x14ac:dyDescent="0.25">
      <c r="A877" s="1" t="s">
        <v>2277</v>
      </c>
    </row>
    <row r="878" spans="1:1" x14ac:dyDescent="0.25">
      <c r="A878" s="1" t="s">
        <v>2278</v>
      </c>
    </row>
    <row r="879" spans="1:1" x14ac:dyDescent="0.25">
      <c r="A879" s="1" t="s">
        <v>2279</v>
      </c>
    </row>
    <row r="880" spans="1:1" x14ac:dyDescent="0.25">
      <c r="A880" s="1" t="s">
        <v>2280</v>
      </c>
    </row>
    <row r="881" spans="1:1" x14ac:dyDescent="0.25">
      <c r="A881" s="1" t="s">
        <v>2281</v>
      </c>
    </row>
    <row r="882" spans="1:1" x14ac:dyDescent="0.25">
      <c r="A882" s="1" t="s">
        <v>2282</v>
      </c>
    </row>
    <row r="883" spans="1:1" x14ac:dyDescent="0.25">
      <c r="A883" s="1" t="s">
        <v>2283</v>
      </c>
    </row>
    <row r="884" spans="1:1" x14ac:dyDescent="0.25">
      <c r="A884" s="1" t="s">
        <v>2284</v>
      </c>
    </row>
    <row r="885" spans="1:1" x14ac:dyDescent="0.25">
      <c r="A885" s="1" t="s">
        <v>2285</v>
      </c>
    </row>
    <row r="886" spans="1:1" x14ac:dyDescent="0.25">
      <c r="A886" s="1" t="s">
        <v>2286</v>
      </c>
    </row>
    <row r="887" spans="1:1" x14ac:dyDescent="0.25">
      <c r="A887" s="1" t="s">
        <v>2287</v>
      </c>
    </row>
    <row r="888" spans="1:1" x14ac:dyDescent="0.25">
      <c r="A888" s="1" t="s">
        <v>2288</v>
      </c>
    </row>
    <row r="889" spans="1:1" x14ac:dyDescent="0.25">
      <c r="A889" s="1" t="s">
        <v>2289</v>
      </c>
    </row>
    <row r="890" spans="1:1" x14ac:dyDescent="0.25">
      <c r="A890" s="1" t="s">
        <v>2290</v>
      </c>
    </row>
    <row r="891" spans="1:1" x14ac:dyDescent="0.25">
      <c r="A891" s="1" t="s">
        <v>2291</v>
      </c>
    </row>
    <row r="892" spans="1:1" x14ac:dyDescent="0.25">
      <c r="A892" s="1" t="s">
        <v>2292</v>
      </c>
    </row>
    <row r="893" spans="1:1" x14ac:dyDescent="0.25">
      <c r="A893" s="1" t="s">
        <v>2293</v>
      </c>
    </row>
    <row r="894" spans="1:1" x14ac:dyDescent="0.25">
      <c r="A894" s="1" t="s">
        <v>2294</v>
      </c>
    </row>
    <row r="895" spans="1:1" x14ac:dyDescent="0.25">
      <c r="A895" s="1" t="s">
        <v>2295</v>
      </c>
    </row>
    <row r="896" spans="1:1" x14ac:dyDescent="0.25">
      <c r="A896" s="1" t="s">
        <v>2296</v>
      </c>
    </row>
    <row r="897" spans="1:1" x14ac:dyDescent="0.25">
      <c r="A897" s="1" t="s">
        <v>2297</v>
      </c>
    </row>
    <row r="898" spans="1:1" x14ac:dyDescent="0.25">
      <c r="A898" s="1" t="s">
        <v>2298</v>
      </c>
    </row>
    <row r="899" spans="1:1" x14ac:dyDescent="0.25">
      <c r="A899" s="1" t="s">
        <v>2299</v>
      </c>
    </row>
    <row r="900" spans="1:1" x14ac:dyDescent="0.25">
      <c r="A900" s="1" t="s">
        <v>2300</v>
      </c>
    </row>
    <row r="901" spans="1:1" x14ac:dyDescent="0.25">
      <c r="A901" s="1" t="s">
        <v>2301</v>
      </c>
    </row>
    <row r="902" spans="1:1" x14ac:dyDescent="0.25">
      <c r="A902" s="1" t="s">
        <v>2302</v>
      </c>
    </row>
    <row r="903" spans="1:1" x14ac:dyDescent="0.25">
      <c r="A903" s="1" t="s">
        <v>2303</v>
      </c>
    </row>
    <row r="904" spans="1:1" x14ac:dyDescent="0.25">
      <c r="A904" s="1" t="s">
        <v>2304</v>
      </c>
    </row>
    <row r="905" spans="1:1" x14ac:dyDescent="0.25">
      <c r="A905" s="1" t="s">
        <v>2305</v>
      </c>
    </row>
    <row r="906" spans="1:1" x14ac:dyDescent="0.25">
      <c r="A906" s="1" t="s">
        <v>2306</v>
      </c>
    </row>
    <row r="907" spans="1:1" x14ac:dyDescent="0.25">
      <c r="A907" s="1" t="s">
        <v>2307</v>
      </c>
    </row>
    <row r="908" spans="1:1" x14ac:dyDescent="0.25">
      <c r="A908" s="1" t="s">
        <v>2308</v>
      </c>
    </row>
    <row r="909" spans="1:1" x14ac:dyDescent="0.25">
      <c r="A909" s="1" t="s">
        <v>2309</v>
      </c>
    </row>
    <row r="910" spans="1:1" x14ac:dyDescent="0.25">
      <c r="A910" s="1" t="s">
        <v>2310</v>
      </c>
    </row>
    <row r="911" spans="1:1" x14ac:dyDescent="0.25">
      <c r="A911" s="1" t="s">
        <v>2311</v>
      </c>
    </row>
    <row r="912" spans="1:1" x14ac:dyDescent="0.25">
      <c r="A912" s="1" t="s">
        <v>2312</v>
      </c>
    </row>
    <row r="913" spans="1:1" x14ac:dyDescent="0.25">
      <c r="A913" s="1" t="s">
        <v>2313</v>
      </c>
    </row>
    <row r="914" spans="1:1" x14ac:dyDescent="0.25">
      <c r="A914" s="1" t="s">
        <v>2314</v>
      </c>
    </row>
    <row r="915" spans="1:1" x14ac:dyDescent="0.25">
      <c r="A915" s="1" t="s">
        <v>2315</v>
      </c>
    </row>
    <row r="916" spans="1:1" x14ac:dyDescent="0.25">
      <c r="A916" s="1" t="s">
        <v>2316</v>
      </c>
    </row>
    <row r="917" spans="1:1" x14ac:dyDescent="0.25">
      <c r="A917" s="1" t="s">
        <v>2317</v>
      </c>
    </row>
    <row r="918" spans="1:1" x14ac:dyDescent="0.25">
      <c r="A918" s="1" t="s">
        <v>2318</v>
      </c>
    </row>
    <row r="919" spans="1:1" x14ac:dyDescent="0.25">
      <c r="A919" s="1" t="s">
        <v>2319</v>
      </c>
    </row>
    <row r="920" spans="1:1" x14ac:dyDescent="0.25">
      <c r="A920" s="1" t="s">
        <v>2320</v>
      </c>
    </row>
    <row r="921" spans="1:1" x14ac:dyDescent="0.25">
      <c r="A921" s="1" t="s">
        <v>2321</v>
      </c>
    </row>
    <row r="922" spans="1:1" x14ac:dyDescent="0.25">
      <c r="A922" s="1" t="s">
        <v>2322</v>
      </c>
    </row>
    <row r="923" spans="1:1" x14ac:dyDescent="0.25">
      <c r="A923" s="1" t="s">
        <v>2323</v>
      </c>
    </row>
    <row r="924" spans="1:1" x14ac:dyDescent="0.25">
      <c r="A924" s="1" t="s">
        <v>2324</v>
      </c>
    </row>
    <row r="925" spans="1:1" x14ac:dyDescent="0.25">
      <c r="A925" s="1" t="s">
        <v>2325</v>
      </c>
    </row>
    <row r="926" spans="1:1" x14ac:dyDescent="0.25">
      <c r="A926" s="1" t="s">
        <v>2326</v>
      </c>
    </row>
    <row r="927" spans="1:1" x14ac:dyDescent="0.25">
      <c r="A927" s="1" t="s">
        <v>2327</v>
      </c>
    </row>
    <row r="928" spans="1:1" x14ac:dyDescent="0.25">
      <c r="A928" s="1" t="s">
        <v>2328</v>
      </c>
    </row>
    <row r="929" spans="1:1" x14ac:dyDescent="0.25">
      <c r="A929" s="1" t="s">
        <v>2329</v>
      </c>
    </row>
    <row r="930" spans="1:1" x14ac:dyDescent="0.25">
      <c r="A930" s="1" t="s">
        <v>2330</v>
      </c>
    </row>
    <row r="931" spans="1:1" x14ac:dyDescent="0.25">
      <c r="A931" s="1" t="s">
        <v>2331</v>
      </c>
    </row>
    <row r="932" spans="1:1" x14ac:dyDescent="0.25">
      <c r="A932" s="1" t="s">
        <v>2332</v>
      </c>
    </row>
    <row r="933" spans="1:1" x14ac:dyDescent="0.25">
      <c r="A933" s="1" t="s">
        <v>2333</v>
      </c>
    </row>
    <row r="934" spans="1:1" x14ac:dyDescent="0.25">
      <c r="A934" s="1" t="s">
        <v>2334</v>
      </c>
    </row>
    <row r="935" spans="1:1" x14ac:dyDescent="0.25">
      <c r="A935" s="1" t="s">
        <v>2335</v>
      </c>
    </row>
    <row r="936" spans="1:1" x14ac:dyDescent="0.25">
      <c r="A936" s="1" t="s">
        <v>2336</v>
      </c>
    </row>
    <row r="937" spans="1:1" x14ac:dyDescent="0.25">
      <c r="A937" s="1" t="s">
        <v>2337</v>
      </c>
    </row>
    <row r="938" spans="1:1" x14ac:dyDescent="0.25">
      <c r="A938" s="1" t="s">
        <v>2338</v>
      </c>
    </row>
    <row r="939" spans="1:1" x14ac:dyDescent="0.25">
      <c r="A939" s="1" t="s">
        <v>2339</v>
      </c>
    </row>
    <row r="940" spans="1:1" x14ac:dyDescent="0.25">
      <c r="A940" s="1" t="s">
        <v>2340</v>
      </c>
    </row>
    <row r="941" spans="1:1" x14ac:dyDescent="0.25">
      <c r="A941" s="1" t="s">
        <v>2341</v>
      </c>
    </row>
    <row r="942" spans="1:1" x14ac:dyDescent="0.25">
      <c r="A942" s="1" t="s">
        <v>2342</v>
      </c>
    </row>
    <row r="943" spans="1:1" x14ac:dyDescent="0.25">
      <c r="A943" s="1" t="s">
        <v>2343</v>
      </c>
    </row>
    <row r="944" spans="1:1" x14ac:dyDescent="0.25">
      <c r="A944" s="1" t="s">
        <v>2344</v>
      </c>
    </row>
    <row r="945" spans="1:1" x14ac:dyDescent="0.25">
      <c r="A945" s="1" t="s">
        <v>2345</v>
      </c>
    </row>
    <row r="946" spans="1:1" x14ac:dyDescent="0.25">
      <c r="A946" s="1" t="s">
        <v>2346</v>
      </c>
    </row>
    <row r="947" spans="1:1" x14ac:dyDescent="0.25">
      <c r="A947" s="1" t="s">
        <v>2347</v>
      </c>
    </row>
    <row r="948" spans="1:1" x14ac:dyDescent="0.25">
      <c r="A948" s="1" t="s">
        <v>2348</v>
      </c>
    </row>
    <row r="949" spans="1:1" x14ac:dyDescent="0.25">
      <c r="A949" s="1" t="s">
        <v>2349</v>
      </c>
    </row>
    <row r="950" spans="1:1" x14ac:dyDescent="0.25">
      <c r="A950" s="1" t="s">
        <v>2350</v>
      </c>
    </row>
    <row r="951" spans="1:1" x14ac:dyDescent="0.25">
      <c r="A951" s="1" t="s">
        <v>2351</v>
      </c>
    </row>
    <row r="952" spans="1:1" x14ac:dyDescent="0.25">
      <c r="A952" s="1" t="s">
        <v>2352</v>
      </c>
    </row>
    <row r="953" spans="1:1" x14ac:dyDescent="0.25">
      <c r="A953" s="1" t="s">
        <v>2353</v>
      </c>
    </row>
    <row r="954" spans="1:1" x14ac:dyDescent="0.25">
      <c r="A954" s="1" t="s">
        <v>2354</v>
      </c>
    </row>
    <row r="955" spans="1:1" x14ac:dyDescent="0.25">
      <c r="A955" s="1" t="s">
        <v>2355</v>
      </c>
    </row>
    <row r="956" spans="1:1" x14ac:dyDescent="0.25">
      <c r="A956" s="1" t="s">
        <v>2356</v>
      </c>
    </row>
    <row r="957" spans="1:1" x14ac:dyDescent="0.25">
      <c r="A957" s="1" t="s">
        <v>2357</v>
      </c>
    </row>
    <row r="958" spans="1:1" x14ac:dyDescent="0.25">
      <c r="A958" s="1" t="s">
        <v>2358</v>
      </c>
    </row>
    <row r="959" spans="1:1" x14ac:dyDescent="0.25">
      <c r="A959" s="1" t="s">
        <v>2359</v>
      </c>
    </row>
    <row r="960" spans="1:1" x14ac:dyDescent="0.25">
      <c r="A960" s="1" t="s">
        <v>2360</v>
      </c>
    </row>
    <row r="961" spans="1:1" x14ac:dyDescent="0.25">
      <c r="A961" s="1" t="s">
        <v>2361</v>
      </c>
    </row>
    <row r="962" spans="1:1" x14ac:dyDescent="0.25">
      <c r="A962" s="1" t="s">
        <v>2362</v>
      </c>
    </row>
    <row r="963" spans="1:1" x14ac:dyDescent="0.25">
      <c r="A963" s="1" t="s">
        <v>2363</v>
      </c>
    </row>
    <row r="964" spans="1:1" x14ac:dyDescent="0.25">
      <c r="A964" s="1" t="s">
        <v>2364</v>
      </c>
    </row>
    <row r="965" spans="1:1" x14ac:dyDescent="0.25">
      <c r="A965" s="1" t="s">
        <v>2365</v>
      </c>
    </row>
    <row r="966" spans="1:1" x14ac:dyDescent="0.25">
      <c r="A966" s="1" t="s">
        <v>2366</v>
      </c>
    </row>
    <row r="967" spans="1:1" x14ac:dyDescent="0.25">
      <c r="A967" s="1" t="s">
        <v>2367</v>
      </c>
    </row>
    <row r="968" spans="1:1" x14ac:dyDescent="0.25">
      <c r="A968" s="1" t="s">
        <v>2368</v>
      </c>
    </row>
    <row r="969" spans="1:1" x14ac:dyDescent="0.25">
      <c r="A969" s="1" t="s">
        <v>2369</v>
      </c>
    </row>
    <row r="970" spans="1:1" x14ac:dyDescent="0.25">
      <c r="A970" s="1" t="s">
        <v>2370</v>
      </c>
    </row>
    <row r="971" spans="1:1" x14ac:dyDescent="0.25">
      <c r="A971" s="1" t="s">
        <v>2371</v>
      </c>
    </row>
    <row r="972" spans="1:1" x14ac:dyDescent="0.25">
      <c r="A972" s="1" t="s">
        <v>2372</v>
      </c>
    </row>
    <row r="973" spans="1:1" x14ac:dyDescent="0.25">
      <c r="A973" s="1" t="s">
        <v>2373</v>
      </c>
    </row>
    <row r="974" spans="1:1" x14ac:dyDescent="0.25">
      <c r="A974" s="1" t="s">
        <v>2374</v>
      </c>
    </row>
    <row r="975" spans="1:1" x14ac:dyDescent="0.25">
      <c r="A975" s="1" t="s">
        <v>2375</v>
      </c>
    </row>
    <row r="976" spans="1:1" x14ac:dyDescent="0.25">
      <c r="A976" s="1" t="s">
        <v>2376</v>
      </c>
    </row>
    <row r="977" spans="1:1" x14ac:dyDescent="0.25">
      <c r="A977" s="1" t="s">
        <v>2377</v>
      </c>
    </row>
    <row r="978" spans="1:1" x14ac:dyDescent="0.25">
      <c r="A978" s="1" t="s">
        <v>2378</v>
      </c>
    </row>
    <row r="979" spans="1:1" x14ac:dyDescent="0.25">
      <c r="A979" s="1" t="s">
        <v>2379</v>
      </c>
    </row>
    <row r="980" spans="1:1" x14ac:dyDescent="0.25">
      <c r="A980" s="1" t="s">
        <v>2380</v>
      </c>
    </row>
    <row r="981" spans="1:1" x14ac:dyDescent="0.25">
      <c r="A981" s="1" t="s">
        <v>2381</v>
      </c>
    </row>
    <row r="982" spans="1:1" x14ac:dyDescent="0.25">
      <c r="A982" s="1" t="s">
        <v>2382</v>
      </c>
    </row>
    <row r="983" spans="1:1" x14ac:dyDescent="0.25">
      <c r="A983" s="1" t="s">
        <v>2383</v>
      </c>
    </row>
    <row r="984" spans="1:1" x14ac:dyDescent="0.25">
      <c r="A984" s="1" t="s">
        <v>2384</v>
      </c>
    </row>
    <row r="985" spans="1:1" x14ac:dyDescent="0.25">
      <c r="A985" s="1" t="s">
        <v>2385</v>
      </c>
    </row>
    <row r="986" spans="1:1" x14ac:dyDescent="0.25">
      <c r="A986" s="1" t="s">
        <v>2386</v>
      </c>
    </row>
    <row r="987" spans="1:1" x14ac:dyDescent="0.25">
      <c r="A987" s="1" t="s">
        <v>2387</v>
      </c>
    </row>
    <row r="988" spans="1:1" x14ac:dyDescent="0.25">
      <c r="A988" s="1" t="s">
        <v>2388</v>
      </c>
    </row>
    <row r="989" spans="1:1" x14ac:dyDescent="0.25">
      <c r="A989" s="1" t="s">
        <v>2389</v>
      </c>
    </row>
    <row r="990" spans="1:1" x14ac:dyDescent="0.25">
      <c r="A990" s="1" t="s">
        <v>2390</v>
      </c>
    </row>
    <row r="991" spans="1:1" x14ac:dyDescent="0.25">
      <c r="A991" s="1" t="s">
        <v>2391</v>
      </c>
    </row>
    <row r="992" spans="1:1" x14ac:dyDescent="0.25">
      <c r="A992" s="1" t="s">
        <v>2392</v>
      </c>
    </row>
    <row r="993" spans="1:1" x14ac:dyDescent="0.25">
      <c r="A993" s="1" t="s">
        <v>2393</v>
      </c>
    </row>
    <row r="994" spans="1:1" x14ac:dyDescent="0.25">
      <c r="A994" s="1" t="s">
        <v>2394</v>
      </c>
    </row>
    <row r="995" spans="1:1" x14ac:dyDescent="0.25">
      <c r="A995" s="1" t="s">
        <v>2395</v>
      </c>
    </row>
    <row r="996" spans="1:1" x14ac:dyDescent="0.25">
      <c r="A996" s="1" t="s">
        <v>2396</v>
      </c>
    </row>
    <row r="997" spans="1:1" x14ac:dyDescent="0.25">
      <c r="A997" s="1" t="s">
        <v>2397</v>
      </c>
    </row>
    <row r="998" spans="1:1" x14ac:dyDescent="0.25">
      <c r="A998" s="1" t="s">
        <v>2398</v>
      </c>
    </row>
    <row r="999" spans="1:1" x14ac:dyDescent="0.25">
      <c r="A999" s="1" t="s">
        <v>2399</v>
      </c>
    </row>
    <row r="1000" spans="1:1" x14ac:dyDescent="0.25">
      <c r="A1000" s="1" t="s">
        <v>2400</v>
      </c>
    </row>
    <row r="1001" spans="1:1" x14ac:dyDescent="0.25">
      <c r="A1001" s="1" t="s">
        <v>2401</v>
      </c>
    </row>
    <row r="1002" spans="1:1" x14ac:dyDescent="0.25">
      <c r="A1002" s="1" t="s">
        <v>2402</v>
      </c>
    </row>
    <row r="1003" spans="1:1" x14ac:dyDescent="0.25">
      <c r="A1003" s="1" t="s">
        <v>2403</v>
      </c>
    </row>
    <row r="1004" spans="1:1" x14ac:dyDescent="0.25">
      <c r="A1004" s="1" t="s">
        <v>2404</v>
      </c>
    </row>
    <row r="1005" spans="1:1" x14ac:dyDescent="0.25">
      <c r="A1005" s="1" t="s">
        <v>2405</v>
      </c>
    </row>
    <row r="1006" spans="1:1" x14ac:dyDescent="0.25">
      <c r="A1006" s="1" t="s">
        <v>2406</v>
      </c>
    </row>
    <row r="1007" spans="1:1" x14ac:dyDescent="0.25">
      <c r="A1007" s="1" t="s">
        <v>2407</v>
      </c>
    </row>
    <row r="1008" spans="1:1" x14ac:dyDescent="0.25">
      <c r="A1008" s="1" t="s">
        <v>2408</v>
      </c>
    </row>
    <row r="1009" spans="1:1" x14ac:dyDescent="0.25">
      <c r="A1009" s="1" t="s">
        <v>2409</v>
      </c>
    </row>
    <row r="1010" spans="1:1" x14ac:dyDescent="0.25">
      <c r="A1010" s="1" t="s">
        <v>2410</v>
      </c>
    </row>
    <row r="1011" spans="1:1" x14ac:dyDescent="0.25">
      <c r="A1011" s="1" t="s">
        <v>2411</v>
      </c>
    </row>
    <row r="1012" spans="1:1" x14ac:dyDescent="0.25">
      <c r="A1012" s="1" t="s">
        <v>2412</v>
      </c>
    </row>
    <row r="1013" spans="1:1" x14ac:dyDescent="0.25">
      <c r="A1013" s="1" t="s">
        <v>2413</v>
      </c>
    </row>
    <row r="1014" spans="1:1" x14ac:dyDescent="0.25">
      <c r="A1014" s="1" t="s">
        <v>2414</v>
      </c>
    </row>
    <row r="1015" spans="1:1" x14ac:dyDescent="0.25">
      <c r="A1015" s="1" t="s">
        <v>2415</v>
      </c>
    </row>
    <row r="1016" spans="1:1" x14ac:dyDescent="0.25">
      <c r="A1016" s="1" t="s">
        <v>2416</v>
      </c>
    </row>
    <row r="1017" spans="1:1" x14ac:dyDescent="0.25">
      <c r="A1017" s="1" t="s">
        <v>2417</v>
      </c>
    </row>
    <row r="1018" spans="1:1" x14ac:dyDescent="0.25">
      <c r="A1018" s="1" t="s">
        <v>2418</v>
      </c>
    </row>
    <row r="1019" spans="1:1" x14ac:dyDescent="0.25">
      <c r="A1019" s="1" t="s">
        <v>2419</v>
      </c>
    </row>
    <row r="1020" spans="1:1" x14ac:dyDescent="0.25">
      <c r="A1020" s="1" t="s">
        <v>2420</v>
      </c>
    </row>
    <row r="1021" spans="1:1" x14ac:dyDescent="0.25">
      <c r="A1021" s="1" t="s">
        <v>2421</v>
      </c>
    </row>
    <row r="1022" spans="1:1" x14ac:dyDescent="0.25">
      <c r="A1022" s="1" t="s">
        <v>2422</v>
      </c>
    </row>
    <row r="1023" spans="1:1" x14ac:dyDescent="0.25">
      <c r="A1023" s="1" t="s">
        <v>2423</v>
      </c>
    </row>
    <row r="1024" spans="1:1" x14ac:dyDescent="0.25">
      <c r="A1024" s="1" t="s">
        <v>2424</v>
      </c>
    </row>
    <row r="1025" spans="1:1" x14ac:dyDescent="0.25">
      <c r="A1025" s="1" t="s">
        <v>2425</v>
      </c>
    </row>
    <row r="1026" spans="1:1" x14ac:dyDescent="0.25">
      <c r="A1026" s="1" t="s">
        <v>2426</v>
      </c>
    </row>
    <row r="1027" spans="1:1" x14ac:dyDescent="0.25">
      <c r="A1027" s="1" t="s">
        <v>2427</v>
      </c>
    </row>
    <row r="1028" spans="1:1" x14ac:dyDescent="0.25">
      <c r="A1028" s="1" t="s">
        <v>2428</v>
      </c>
    </row>
    <row r="1029" spans="1:1" x14ac:dyDescent="0.25">
      <c r="A1029" s="1" t="s">
        <v>2429</v>
      </c>
    </row>
    <row r="1030" spans="1:1" x14ac:dyDescent="0.25">
      <c r="A1030" s="1" t="s">
        <v>2430</v>
      </c>
    </row>
    <row r="1031" spans="1:1" x14ac:dyDescent="0.25">
      <c r="A1031" s="1" t="s">
        <v>2431</v>
      </c>
    </row>
    <row r="1032" spans="1:1" x14ac:dyDescent="0.25">
      <c r="A1032" s="1" t="s">
        <v>2432</v>
      </c>
    </row>
    <row r="1033" spans="1:1" x14ac:dyDescent="0.25">
      <c r="A1033" s="1" t="s">
        <v>2433</v>
      </c>
    </row>
    <row r="1034" spans="1:1" x14ac:dyDescent="0.25">
      <c r="A1034" s="1" t="s">
        <v>2434</v>
      </c>
    </row>
    <row r="1035" spans="1:1" x14ac:dyDescent="0.25">
      <c r="A1035" s="1" t="s">
        <v>2435</v>
      </c>
    </row>
    <row r="1036" spans="1:1" x14ac:dyDescent="0.25">
      <c r="A1036" s="1" t="s">
        <v>2436</v>
      </c>
    </row>
    <row r="1037" spans="1:1" x14ac:dyDescent="0.25">
      <c r="A1037" s="1" t="s">
        <v>2437</v>
      </c>
    </row>
    <row r="1038" spans="1:1" x14ac:dyDescent="0.25">
      <c r="A1038" s="1" t="s">
        <v>2438</v>
      </c>
    </row>
    <row r="1039" spans="1:1" x14ac:dyDescent="0.25">
      <c r="A1039" s="1" t="s">
        <v>2439</v>
      </c>
    </row>
    <row r="1040" spans="1:1" x14ac:dyDescent="0.25">
      <c r="A1040" s="1" t="s">
        <v>2440</v>
      </c>
    </row>
    <row r="1041" spans="1:1" x14ac:dyDescent="0.25">
      <c r="A1041" s="1" t="s">
        <v>2441</v>
      </c>
    </row>
    <row r="1042" spans="1:1" x14ac:dyDescent="0.25">
      <c r="A1042" s="1" t="s">
        <v>2442</v>
      </c>
    </row>
    <row r="1043" spans="1:1" x14ac:dyDescent="0.25">
      <c r="A1043" s="1" t="s">
        <v>2443</v>
      </c>
    </row>
    <row r="1044" spans="1:1" x14ac:dyDescent="0.25">
      <c r="A1044" s="1" t="s">
        <v>2444</v>
      </c>
    </row>
    <row r="1045" spans="1:1" x14ac:dyDescent="0.25">
      <c r="A1045" s="1" t="s">
        <v>2445</v>
      </c>
    </row>
    <row r="1046" spans="1:1" x14ac:dyDescent="0.25">
      <c r="A1046" s="1" t="s">
        <v>2446</v>
      </c>
    </row>
    <row r="1047" spans="1:1" x14ac:dyDescent="0.25">
      <c r="A1047" s="1" t="s">
        <v>2447</v>
      </c>
    </row>
    <row r="1048" spans="1:1" x14ac:dyDescent="0.25">
      <c r="A1048" s="1" t="s">
        <v>2448</v>
      </c>
    </row>
    <row r="1049" spans="1:1" x14ac:dyDescent="0.25">
      <c r="A1049" s="1" t="s">
        <v>2449</v>
      </c>
    </row>
    <row r="1050" spans="1:1" x14ac:dyDescent="0.25">
      <c r="A1050" s="1" t="s">
        <v>2450</v>
      </c>
    </row>
    <row r="1051" spans="1:1" x14ac:dyDescent="0.25">
      <c r="A1051" s="1" t="s">
        <v>2451</v>
      </c>
    </row>
    <row r="1052" spans="1:1" x14ac:dyDescent="0.25">
      <c r="A1052" s="1" t="s">
        <v>2452</v>
      </c>
    </row>
    <row r="1053" spans="1:1" x14ac:dyDescent="0.25">
      <c r="A1053" s="1" t="s">
        <v>2453</v>
      </c>
    </row>
    <row r="1054" spans="1:1" x14ac:dyDescent="0.25">
      <c r="A1054" s="1" t="s">
        <v>2454</v>
      </c>
    </row>
    <row r="1055" spans="1:1" x14ac:dyDescent="0.25">
      <c r="A1055" s="1" t="s">
        <v>2455</v>
      </c>
    </row>
    <row r="1056" spans="1:1" x14ac:dyDescent="0.25">
      <c r="A1056" s="1" t="s">
        <v>2456</v>
      </c>
    </row>
    <row r="1057" spans="1:1" x14ac:dyDescent="0.25">
      <c r="A1057" s="1" t="s">
        <v>2457</v>
      </c>
    </row>
    <row r="1058" spans="1:1" x14ac:dyDescent="0.25">
      <c r="A1058" s="1" t="s">
        <v>2458</v>
      </c>
    </row>
    <row r="1059" spans="1:1" x14ac:dyDescent="0.25">
      <c r="A1059" s="1" t="s">
        <v>2459</v>
      </c>
    </row>
    <row r="1060" spans="1:1" x14ac:dyDescent="0.25">
      <c r="A1060" s="1" t="s">
        <v>2460</v>
      </c>
    </row>
    <row r="1061" spans="1:1" x14ac:dyDescent="0.25">
      <c r="A1061" s="1" t="s">
        <v>2461</v>
      </c>
    </row>
    <row r="1062" spans="1:1" x14ac:dyDescent="0.25">
      <c r="A1062" s="1" t="s">
        <v>2462</v>
      </c>
    </row>
    <row r="1063" spans="1:1" x14ac:dyDescent="0.25">
      <c r="A1063" s="1" t="s">
        <v>2463</v>
      </c>
    </row>
    <row r="1064" spans="1:1" x14ac:dyDescent="0.25">
      <c r="A1064" s="1" t="s">
        <v>2464</v>
      </c>
    </row>
    <row r="1065" spans="1:1" x14ac:dyDescent="0.25">
      <c r="A1065" s="1" t="s">
        <v>2465</v>
      </c>
    </row>
    <row r="1066" spans="1:1" x14ac:dyDescent="0.25">
      <c r="A1066" s="1" t="s">
        <v>2466</v>
      </c>
    </row>
    <row r="1067" spans="1:1" x14ac:dyDescent="0.25">
      <c r="A1067" s="1" t="s">
        <v>2467</v>
      </c>
    </row>
    <row r="1068" spans="1:1" x14ac:dyDescent="0.25">
      <c r="A1068" s="1" t="s">
        <v>2468</v>
      </c>
    </row>
    <row r="1069" spans="1:1" x14ac:dyDescent="0.25">
      <c r="A1069" s="1" t="s">
        <v>2469</v>
      </c>
    </row>
    <row r="1070" spans="1:1" x14ac:dyDescent="0.25">
      <c r="A1070" s="1" t="s">
        <v>2470</v>
      </c>
    </row>
    <row r="1071" spans="1:1" x14ac:dyDescent="0.25">
      <c r="A1071" s="1" t="s">
        <v>2471</v>
      </c>
    </row>
    <row r="1072" spans="1:1" x14ac:dyDescent="0.25">
      <c r="A1072" s="1" t="s">
        <v>2472</v>
      </c>
    </row>
    <row r="1073" spans="1:1" x14ac:dyDescent="0.25">
      <c r="A1073" s="1" t="s">
        <v>2473</v>
      </c>
    </row>
    <row r="1074" spans="1:1" x14ac:dyDescent="0.25">
      <c r="A1074" s="1" t="s">
        <v>2474</v>
      </c>
    </row>
    <row r="1075" spans="1:1" x14ac:dyDescent="0.25">
      <c r="A1075" s="1" t="s">
        <v>2475</v>
      </c>
    </row>
    <row r="1076" spans="1:1" x14ac:dyDescent="0.25">
      <c r="A1076" s="1" t="s">
        <v>2476</v>
      </c>
    </row>
    <row r="1077" spans="1:1" x14ac:dyDescent="0.25">
      <c r="A1077" s="1" t="s">
        <v>2477</v>
      </c>
    </row>
    <row r="1078" spans="1:1" x14ac:dyDescent="0.25">
      <c r="A1078" s="1" t="s">
        <v>2478</v>
      </c>
    </row>
    <row r="1079" spans="1:1" x14ac:dyDescent="0.25">
      <c r="A1079" s="1" t="s">
        <v>2479</v>
      </c>
    </row>
    <row r="1080" spans="1:1" x14ac:dyDescent="0.25">
      <c r="A1080" s="1" t="s">
        <v>2480</v>
      </c>
    </row>
    <row r="1081" spans="1:1" x14ac:dyDescent="0.25">
      <c r="A1081" s="1" t="s">
        <v>2481</v>
      </c>
    </row>
    <row r="1082" spans="1:1" x14ac:dyDescent="0.25">
      <c r="A1082" s="1" t="s">
        <v>2482</v>
      </c>
    </row>
    <row r="1083" spans="1:1" x14ac:dyDescent="0.25">
      <c r="A1083" s="1" t="s">
        <v>2483</v>
      </c>
    </row>
    <row r="1084" spans="1:1" x14ac:dyDescent="0.25">
      <c r="A1084" s="1" t="s">
        <v>2484</v>
      </c>
    </row>
    <row r="1085" spans="1:1" x14ac:dyDescent="0.25">
      <c r="A1085" s="1" t="s">
        <v>2485</v>
      </c>
    </row>
    <row r="1086" spans="1:1" x14ac:dyDescent="0.25">
      <c r="A1086" s="1" t="s">
        <v>2486</v>
      </c>
    </row>
    <row r="1087" spans="1:1" x14ac:dyDescent="0.25">
      <c r="A1087" s="1" t="s">
        <v>2487</v>
      </c>
    </row>
    <row r="1088" spans="1:1" x14ac:dyDescent="0.25">
      <c r="A1088" s="1" t="s">
        <v>2488</v>
      </c>
    </row>
    <row r="1089" spans="1:1" x14ac:dyDescent="0.25">
      <c r="A1089" s="1" t="s">
        <v>2489</v>
      </c>
    </row>
    <row r="1090" spans="1:1" x14ac:dyDescent="0.25">
      <c r="A1090" s="1" t="s">
        <v>2490</v>
      </c>
    </row>
    <row r="1091" spans="1:1" x14ac:dyDescent="0.25">
      <c r="A1091" s="1" t="s">
        <v>2491</v>
      </c>
    </row>
    <row r="1092" spans="1:1" x14ac:dyDescent="0.25">
      <c r="A1092" s="1" t="s">
        <v>2492</v>
      </c>
    </row>
    <row r="1093" spans="1:1" x14ac:dyDescent="0.25">
      <c r="A1093" s="1" t="s">
        <v>2493</v>
      </c>
    </row>
    <row r="1094" spans="1:1" x14ac:dyDescent="0.25">
      <c r="A1094" s="1" t="s">
        <v>2494</v>
      </c>
    </row>
    <row r="1095" spans="1:1" x14ac:dyDescent="0.25">
      <c r="A1095" s="1" t="s">
        <v>2495</v>
      </c>
    </row>
    <row r="1096" spans="1:1" x14ac:dyDescent="0.25">
      <c r="A1096" s="1" t="s">
        <v>2496</v>
      </c>
    </row>
    <row r="1097" spans="1:1" x14ac:dyDescent="0.25">
      <c r="A1097" s="1" t="s">
        <v>2497</v>
      </c>
    </row>
    <row r="1098" spans="1:1" x14ac:dyDescent="0.25">
      <c r="A1098" s="1" t="s">
        <v>2498</v>
      </c>
    </row>
    <row r="1099" spans="1:1" x14ac:dyDescent="0.25">
      <c r="A1099" s="1" t="s">
        <v>2499</v>
      </c>
    </row>
    <row r="1100" spans="1:1" x14ac:dyDescent="0.25">
      <c r="A1100" s="1" t="s">
        <v>2500</v>
      </c>
    </row>
    <row r="1101" spans="1:1" x14ac:dyDescent="0.25">
      <c r="A1101" s="1" t="s">
        <v>2501</v>
      </c>
    </row>
    <row r="1102" spans="1:1" x14ac:dyDescent="0.25">
      <c r="A1102" s="1" t="s">
        <v>2502</v>
      </c>
    </row>
    <row r="1103" spans="1:1" x14ac:dyDescent="0.25">
      <c r="A1103" s="1" t="s">
        <v>2503</v>
      </c>
    </row>
    <row r="1104" spans="1:1" x14ac:dyDescent="0.25">
      <c r="A1104" s="1" t="s">
        <v>2504</v>
      </c>
    </row>
    <row r="1105" spans="1:1" x14ac:dyDescent="0.25">
      <c r="A1105" s="1" t="s">
        <v>2505</v>
      </c>
    </row>
    <row r="1106" spans="1:1" x14ac:dyDescent="0.25">
      <c r="A1106" s="1" t="s">
        <v>2506</v>
      </c>
    </row>
    <row r="1107" spans="1:1" x14ac:dyDescent="0.25">
      <c r="A1107" s="1" t="s">
        <v>2507</v>
      </c>
    </row>
    <row r="1108" spans="1:1" x14ac:dyDescent="0.25">
      <c r="A1108" s="1" t="s">
        <v>2508</v>
      </c>
    </row>
    <row r="1109" spans="1:1" x14ac:dyDescent="0.25">
      <c r="A1109" s="1" t="s">
        <v>2509</v>
      </c>
    </row>
    <row r="1110" spans="1:1" x14ac:dyDescent="0.25">
      <c r="A1110" s="1" t="s">
        <v>2510</v>
      </c>
    </row>
    <row r="1111" spans="1:1" x14ac:dyDescent="0.25">
      <c r="A1111" s="1" t="s">
        <v>2511</v>
      </c>
    </row>
    <row r="1112" spans="1:1" x14ac:dyDescent="0.25">
      <c r="A1112" s="1" t="s">
        <v>2512</v>
      </c>
    </row>
    <row r="1113" spans="1:1" x14ac:dyDescent="0.25">
      <c r="A1113" s="1" t="s">
        <v>2513</v>
      </c>
    </row>
    <row r="1114" spans="1:1" x14ac:dyDescent="0.25">
      <c r="A1114" s="1" t="s">
        <v>2514</v>
      </c>
    </row>
    <row r="1115" spans="1:1" x14ac:dyDescent="0.25">
      <c r="A1115" s="1" t="s">
        <v>2515</v>
      </c>
    </row>
    <row r="1116" spans="1:1" x14ac:dyDescent="0.25">
      <c r="A1116" s="1" t="s">
        <v>2516</v>
      </c>
    </row>
    <row r="1117" spans="1:1" x14ac:dyDescent="0.25">
      <c r="A1117" s="1" t="s">
        <v>2517</v>
      </c>
    </row>
    <row r="1118" spans="1:1" x14ac:dyDescent="0.25">
      <c r="A1118" s="1" t="s">
        <v>2518</v>
      </c>
    </row>
    <row r="1119" spans="1:1" x14ac:dyDescent="0.25">
      <c r="A1119" s="1" t="s">
        <v>2519</v>
      </c>
    </row>
    <row r="1120" spans="1:1" x14ac:dyDescent="0.25">
      <c r="A1120" s="1" t="s">
        <v>2520</v>
      </c>
    </row>
    <row r="1121" spans="1:1" x14ac:dyDescent="0.25">
      <c r="A1121" s="1" t="s">
        <v>2521</v>
      </c>
    </row>
    <row r="1122" spans="1:1" x14ac:dyDescent="0.25">
      <c r="A1122" s="1" t="s">
        <v>2522</v>
      </c>
    </row>
    <row r="1123" spans="1:1" x14ac:dyDescent="0.25">
      <c r="A1123" s="1" t="s">
        <v>2523</v>
      </c>
    </row>
    <row r="1124" spans="1:1" x14ac:dyDescent="0.25">
      <c r="A1124" s="1" t="s">
        <v>2524</v>
      </c>
    </row>
    <row r="1125" spans="1:1" x14ac:dyDescent="0.25">
      <c r="A1125" s="1" t="s">
        <v>2525</v>
      </c>
    </row>
    <row r="1126" spans="1:1" x14ac:dyDescent="0.25">
      <c r="A1126" s="1" t="s">
        <v>2526</v>
      </c>
    </row>
    <row r="1127" spans="1:1" x14ac:dyDescent="0.25">
      <c r="A1127" s="1" t="s">
        <v>2527</v>
      </c>
    </row>
    <row r="1128" spans="1:1" x14ac:dyDescent="0.25">
      <c r="A1128" s="1" t="s">
        <v>2528</v>
      </c>
    </row>
    <row r="1129" spans="1:1" x14ac:dyDescent="0.25">
      <c r="A1129" s="1" t="s">
        <v>2529</v>
      </c>
    </row>
    <row r="1130" spans="1:1" x14ac:dyDescent="0.25">
      <c r="A1130" s="1" t="s">
        <v>2530</v>
      </c>
    </row>
    <row r="1131" spans="1:1" x14ac:dyDescent="0.25">
      <c r="A1131" s="1" t="s">
        <v>2531</v>
      </c>
    </row>
    <row r="1132" spans="1:1" x14ac:dyDescent="0.25">
      <c r="A1132" s="1" t="s">
        <v>2532</v>
      </c>
    </row>
    <row r="1133" spans="1:1" x14ac:dyDescent="0.25">
      <c r="A1133" s="1" t="s">
        <v>2533</v>
      </c>
    </row>
    <row r="1134" spans="1:1" x14ac:dyDescent="0.25">
      <c r="A1134" s="1" t="s">
        <v>2534</v>
      </c>
    </row>
    <row r="1135" spans="1:1" x14ac:dyDescent="0.25">
      <c r="A1135" s="1" t="s">
        <v>2535</v>
      </c>
    </row>
    <row r="1136" spans="1:1" x14ac:dyDescent="0.25">
      <c r="A1136" s="1" t="s">
        <v>2536</v>
      </c>
    </row>
    <row r="1137" spans="1:1" x14ac:dyDescent="0.25">
      <c r="A1137" s="1" t="s">
        <v>2537</v>
      </c>
    </row>
    <row r="1138" spans="1:1" x14ac:dyDescent="0.25">
      <c r="A1138" s="1" t="s">
        <v>2538</v>
      </c>
    </row>
    <row r="1139" spans="1:1" x14ac:dyDescent="0.25">
      <c r="A1139" s="1" t="s">
        <v>2539</v>
      </c>
    </row>
    <row r="1140" spans="1:1" x14ac:dyDescent="0.25">
      <c r="A1140" s="1" t="s">
        <v>2540</v>
      </c>
    </row>
    <row r="1141" spans="1:1" x14ac:dyDescent="0.25">
      <c r="A1141" s="1" t="s">
        <v>2541</v>
      </c>
    </row>
    <row r="1142" spans="1:1" x14ac:dyDescent="0.25">
      <c r="A1142" s="1" t="s">
        <v>2542</v>
      </c>
    </row>
    <row r="1143" spans="1:1" x14ac:dyDescent="0.25">
      <c r="A1143" s="1" t="s">
        <v>2543</v>
      </c>
    </row>
    <row r="1144" spans="1:1" x14ac:dyDescent="0.25">
      <c r="A1144" s="1" t="s">
        <v>2544</v>
      </c>
    </row>
    <row r="1145" spans="1:1" x14ac:dyDescent="0.25">
      <c r="A1145" s="1" t="s">
        <v>2545</v>
      </c>
    </row>
    <row r="1146" spans="1:1" x14ac:dyDescent="0.25">
      <c r="A1146" s="1" t="s">
        <v>2546</v>
      </c>
    </row>
    <row r="1147" spans="1:1" x14ac:dyDescent="0.25">
      <c r="A1147" s="1" t="s">
        <v>2547</v>
      </c>
    </row>
    <row r="1148" spans="1:1" x14ac:dyDescent="0.25">
      <c r="A1148" s="1" t="s">
        <v>2548</v>
      </c>
    </row>
    <row r="1149" spans="1:1" x14ac:dyDescent="0.25">
      <c r="A1149" s="1" t="s">
        <v>2549</v>
      </c>
    </row>
    <row r="1150" spans="1:1" x14ac:dyDescent="0.25">
      <c r="A1150" s="1" t="s">
        <v>2550</v>
      </c>
    </row>
    <row r="1151" spans="1:1" x14ac:dyDescent="0.25">
      <c r="A1151" s="1" t="s">
        <v>2551</v>
      </c>
    </row>
    <row r="1152" spans="1:1" x14ac:dyDescent="0.25">
      <c r="A1152" s="1" t="s">
        <v>2552</v>
      </c>
    </row>
    <row r="1153" spans="1:1" x14ac:dyDescent="0.25">
      <c r="A1153" s="1" t="s">
        <v>2553</v>
      </c>
    </row>
    <row r="1154" spans="1:1" x14ac:dyDescent="0.25">
      <c r="A1154" s="1" t="s">
        <v>2554</v>
      </c>
    </row>
    <row r="1155" spans="1:1" x14ac:dyDescent="0.25">
      <c r="A1155" s="1" t="s">
        <v>2555</v>
      </c>
    </row>
    <row r="1156" spans="1:1" x14ac:dyDescent="0.25">
      <c r="A1156" s="1" t="s">
        <v>2556</v>
      </c>
    </row>
    <row r="1157" spans="1:1" x14ac:dyDescent="0.25">
      <c r="A1157" s="1" t="s">
        <v>2557</v>
      </c>
    </row>
    <row r="1158" spans="1:1" x14ac:dyDescent="0.25">
      <c r="A1158" s="1" t="s">
        <v>2558</v>
      </c>
    </row>
    <row r="1159" spans="1:1" x14ac:dyDescent="0.25">
      <c r="A1159" s="1" t="s">
        <v>2559</v>
      </c>
    </row>
    <row r="1160" spans="1:1" x14ac:dyDescent="0.25">
      <c r="A1160" s="1" t="s">
        <v>2560</v>
      </c>
    </row>
    <row r="1161" spans="1:1" x14ac:dyDescent="0.25">
      <c r="A1161" s="1" t="s">
        <v>2561</v>
      </c>
    </row>
    <row r="1162" spans="1:1" x14ac:dyDescent="0.25">
      <c r="A1162" s="1" t="s">
        <v>2562</v>
      </c>
    </row>
    <row r="1163" spans="1:1" x14ac:dyDescent="0.25">
      <c r="A1163" s="1" t="s">
        <v>2563</v>
      </c>
    </row>
    <row r="1164" spans="1:1" x14ac:dyDescent="0.25">
      <c r="A1164" s="1" t="s">
        <v>2564</v>
      </c>
    </row>
    <row r="1165" spans="1:1" x14ac:dyDescent="0.25">
      <c r="A1165" s="1" t="s">
        <v>2565</v>
      </c>
    </row>
    <row r="1166" spans="1:1" x14ac:dyDescent="0.25">
      <c r="A1166" s="1" t="s">
        <v>2566</v>
      </c>
    </row>
    <row r="1167" spans="1:1" x14ac:dyDescent="0.25">
      <c r="A1167" s="1" t="s">
        <v>2567</v>
      </c>
    </row>
    <row r="1168" spans="1:1" x14ac:dyDescent="0.25">
      <c r="A1168" s="1" t="s">
        <v>2568</v>
      </c>
    </row>
    <row r="1169" spans="1:1" x14ac:dyDescent="0.25">
      <c r="A1169" s="1" t="s">
        <v>2569</v>
      </c>
    </row>
    <row r="1170" spans="1:1" x14ac:dyDescent="0.25">
      <c r="A1170" s="1" t="s">
        <v>2570</v>
      </c>
    </row>
    <row r="1171" spans="1:1" x14ac:dyDescent="0.25">
      <c r="A1171" s="1" t="s">
        <v>2571</v>
      </c>
    </row>
    <row r="1172" spans="1:1" x14ac:dyDescent="0.25">
      <c r="A1172" s="1" t="s">
        <v>2572</v>
      </c>
    </row>
    <row r="1173" spans="1:1" x14ac:dyDescent="0.25">
      <c r="A1173" s="1" t="s">
        <v>2573</v>
      </c>
    </row>
    <row r="1174" spans="1:1" x14ac:dyDescent="0.25">
      <c r="A1174" s="1" t="s">
        <v>2574</v>
      </c>
    </row>
    <row r="1175" spans="1:1" x14ac:dyDescent="0.25">
      <c r="A1175" s="1" t="s">
        <v>2575</v>
      </c>
    </row>
    <row r="1176" spans="1:1" x14ac:dyDescent="0.25">
      <c r="A1176" s="1" t="s">
        <v>2576</v>
      </c>
    </row>
    <row r="1177" spans="1:1" x14ac:dyDescent="0.25">
      <c r="A1177" s="1" t="s">
        <v>2577</v>
      </c>
    </row>
    <row r="1178" spans="1:1" x14ac:dyDescent="0.25">
      <c r="A1178" s="1" t="s">
        <v>2578</v>
      </c>
    </row>
    <row r="1179" spans="1:1" x14ac:dyDescent="0.25">
      <c r="A1179" s="1" t="s">
        <v>2579</v>
      </c>
    </row>
    <row r="1180" spans="1:1" x14ac:dyDescent="0.25">
      <c r="A1180" s="1" t="s">
        <v>2580</v>
      </c>
    </row>
    <row r="1181" spans="1:1" x14ac:dyDescent="0.25">
      <c r="A1181" s="1" t="s">
        <v>2581</v>
      </c>
    </row>
    <row r="1182" spans="1:1" x14ac:dyDescent="0.25">
      <c r="A1182" s="1" t="s">
        <v>2582</v>
      </c>
    </row>
    <row r="1183" spans="1:1" x14ac:dyDescent="0.25">
      <c r="A1183" s="1" t="s">
        <v>2583</v>
      </c>
    </row>
    <row r="1184" spans="1:1" x14ac:dyDescent="0.25">
      <c r="A1184" s="1" t="s">
        <v>2584</v>
      </c>
    </row>
    <row r="1185" spans="1:1" x14ac:dyDescent="0.25">
      <c r="A1185" s="1" t="s">
        <v>2585</v>
      </c>
    </row>
    <row r="1186" spans="1:1" x14ac:dyDescent="0.25">
      <c r="A1186" s="1" t="s">
        <v>2586</v>
      </c>
    </row>
    <row r="1187" spans="1:1" x14ac:dyDescent="0.25">
      <c r="A1187" s="1" t="s">
        <v>2587</v>
      </c>
    </row>
    <row r="1188" spans="1:1" x14ac:dyDescent="0.25">
      <c r="A1188" s="1" t="s">
        <v>2588</v>
      </c>
    </row>
    <row r="1189" spans="1:1" x14ac:dyDescent="0.25">
      <c r="A1189" s="1" t="s">
        <v>2589</v>
      </c>
    </row>
    <row r="1190" spans="1:1" x14ac:dyDescent="0.25">
      <c r="A1190" s="1" t="s">
        <v>2590</v>
      </c>
    </row>
    <row r="1191" spans="1:1" x14ac:dyDescent="0.25">
      <c r="A1191" s="1" t="s">
        <v>2591</v>
      </c>
    </row>
    <row r="1192" spans="1:1" x14ac:dyDescent="0.25">
      <c r="A1192" s="1" t="s">
        <v>2592</v>
      </c>
    </row>
    <row r="1193" spans="1:1" x14ac:dyDescent="0.25">
      <c r="A1193" s="1" t="s">
        <v>2593</v>
      </c>
    </row>
    <row r="1194" spans="1:1" x14ac:dyDescent="0.25">
      <c r="A1194" s="1" t="s">
        <v>2594</v>
      </c>
    </row>
    <row r="1195" spans="1:1" x14ac:dyDescent="0.25">
      <c r="A1195" s="1" t="s">
        <v>2595</v>
      </c>
    </row>
    <row r="1196" spans="1:1" x14ac:dyDescent="0.25">
      <c r="A1196" s="1" t="s">
        <v>2596</v>
      </c>
    </row>
    <row r="1197" spans="1:1" x14ac:dyDescent="0.25">
      <c r="A1197" s="1" t="s">
        <v>2597</v>
      </c>
    </row>
    <row r="1198" spans="1:1" x14ac:dyDescent="0.25">
      <c r="A1198" s="1" t="s">
        <v>2598</v>
      </c>
    </row>
    <row r="1199" spans="1:1" x14ac:dyDescent="0.25">
      <c r="A1199" s="1" t="s">
        <v>2599</v>
      </c>
    </row>
    <row r="1200" spans="1:1" x14ac:dyDescent="0.25">
      <c r="A1200" s="1" t="s">
        <v>2600</v>
      </c>
    </row>
    <row r="1201" spans="1:1" x14ac:dyDescent="0.25">
      <c r="A1201" s="1" t="s">
        <v>2601</v>
      </c>
    </row>
    <row r="1202" spans="1:1" x14ac:dyDescent="0.25">
      <c r="A1202" s="1" t="s">
        <v>2602</v>
      </c>
    </row>
    <row r="1203" spans="1:1" x14ac:dyDescent="0.25">
      <c r="A1203" s="1" t="s">
        <v>2603</v>
      </c>
    </row>
    <row r="1204" spans="1:1" x14ac:dyDescent="0.25">
      <c r="A1204" s="1" t="s">
        <v>2604</v>
      </c>
    </row>
    <row r="1205" spans="1:1" x14ac:dyDescent="0.25">
      <c r="A1205" s="1" t="s">
        <v>2605</v>
      </c>
    </row>
    <row r="1206" spans="1:1" x14ac:dyDescent="0.25">
      <c r="A1206" s="1" t="s">
        <v>2606</v>
      </c>
    </row>
    <row r="1207" spans="1:1" x14ac:dyDescent="0.25">
      <c r="A1207" s="1" t="s">
        <v>2607</v>
      </c>
    </row>
    <row r="1208" spans="1:1" x14ac:dyDescent="0.25">
      <c r="A1208" s="1" t="s">
        <v>2608</v>
      </c>
    </row>
    <row r="1209" spans="1:1" x14ac:dyDescent="0.25">
      <c r="A1209" s="1" t="s">
        <v>2609</v>
      </c>
    </row>
    <row r="1210" spans="1:1" x14ac:dyDescent="0.25">
      <c r="A1210" s="1" t="s">
        <v>2610</v>
      </c>
    </row>
    <row r="1211" spans="1:1" x14ac:dyDescent="0.25">
      <c r="A1211" s="1" t="s">
        <v>2611</v>
      </c>
    </row>
    <row r="1212" spans="1:1" x14ac:dyDescent="0.25">
      <c r="A1212" s="1" t="s">
        <v>2612</v>
      </c>
    </row>
    <row r="1213" spans="1:1" x14ac:dyDescent="0.25">
      <c r="A1213" s="1" t="s">
        <v>2613</v>
      </c>
    </row>
    <row r="1214" spans="1:1" x14ac:dyDescent="0.25">
      <c r="A1214" s="1" t="s">
        <v>2614</v>
      </c>
    </row>
    <row r="1215" spans="1:1" x14ac:dyDescent="0.25">
      <c r="A1215" s="1" t="s">
        <v>2615</v>
      </c>
    </row>
    <row r="1216" spans="1:1" x14ac:dyDescent="0.25">
      <c r="A1216" s="1" t="s">
        <v>2616</v>
      </c>
    </row>
    <row r="1217" spans="1:1" x14ac:dyDescent="0.25">
      <c r="A1217" s="1" t="s">
        <v>2617</v>
      </c>
    </row>
    <row r="1218" spans="1:1" x14ac:dyDescent="0.25">
      <c r="A1218" s="1" t="s">
        <v>2618</v>
      </c>
    </row>
    <row r="1219" spans="1:1" x14ac:dyDescent="0.25">
      <c r="A1219" s="1" t="s">
        <v>2619</v>
      </c>
    </row>
    <row r="1220" spans="1:1" x14ac:dyDescent="0.25">
      <c r="A1220" s="1" t="s">
        <v>2620</v>
      </c>
    </row>
    <row r="1221" spans="1:1" x14ac:dyDescent="0.25">
      <c r="A1221" s="1" t="s">
        <v>2621</v>
      </c>
    </row>
    <row r="1222" spans="1:1" x14ac:dyDescent="0.25">
      <c r="A1222" s="1" t="s">
        <v>2622</v>
      </c>
    </row>
    <row r="1223" spans="1:1" x14ac:dyDescent="0.25">
      <c r="A1223" s="1" t="s">
        <v>2623</v>
      </c>
    </row>
    <row r="1224" spans="1:1" x14ac:dyDescent="0.25">
      <c r="A1224" s="1" t="s">
        <v>2624</v>
      </c>
    </row>
    <row r="1225" spans="1:1" x14ac:dyDescent="0.25">
      <c r="A1225" s="1" t="s">
        <v>2625</v>
      </c>
    </row>
    <row r="1226" spans="1:1" x14ac:dyDescent="0.25">
      <c r="A1226" s="1" t="s">
        <v>2626</v>
      </c>
    </row>
    <row r="1227" spans="1:1" x14ac:dyDescent="0.25">
      <c r="A1227" s="1" t="s">
        <v>2627</v>
      </c>
    </row>
    <row r="1228" spans="1:1" x14ac:dyDescent="0.25">
      <c r="A1228" s="1" t="s">
        <v>2628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1F79A-2A54-437E-AEE6-FEF4FA4174A2}">
  <dimension ref="A1:A1401"/>
  <sheetViews>
    <sheetView workbookViewId="0">
      <selection activeCell="A1401" sqref="A1:A1401"/>
    </sheetView>
  </sheetViews>
  <sheetFormatPr defaultRowHeight="15" x14ac:dyDescent="0.25"/>
  <cols>
    <col min="1" max="1" width="24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x14ac:dyDescent="0.25">
      <c r="A604" t="s">
        <v>603</v>
      </c>
    </row>
    <row r="605" spans="1:1" x14ac:dyDescent="0.25">
      <c r="A605" t="s">
        <v>604</v>
      </c>
    </row>
    <row r="606" spans="1:1" x14ac:dyDescent="0.25">
      <c r="A606" t="s">
        <v>605</v>
      </c>
    </row>
    <row r="607" spans="1:1" x14ac:dyDescent="0.25">
      <c r="A607" t="s">
        <v>606</v>
      </c>
    </row>
    <row r="608" spans="1:1" x14ac:dyDescent="0.25">
      <c r="A608" t="s">
        <v>607</v>
      </c>
    </row>
    <row r="609" spans="1:1" x14ac:dyDescent="0.25">
      <c r="A609" t="s">
        <v>608</v>
      </c>
    </row>
    <row r="610" spans="1:1" x14ac:dyDescent="0.25">
      <c r="A610" t="s">
        <v>609</v>
      </c>
    </row>
    <row r="611" spans="1:1" x14ac:dyDescent="0.25">
      <c r="A611" t="s">
        <v>610</v>
      </c>
    </row>
    <row r="612" spans="1:1" x14ac:dyDescent="0.25">
      <c r="A612" t="s">
        <v>611</v>
      </c>
    </row>
    <row r="613" spans="1:1" x14ac:dyDescent="0.25">
      <c r="A613" t="s">
        <v>612</v>
      </c>
    </row>
    <row r="614" spans="1:1" x14ac:dyDescent="0.25">
      <c r="A614" t="s">
        <v>613</v>
      </c>
    </row>
    <row r="615" spans="1:1" x14ac:dyDescent="0.25">
      <c r="A615" t="s">
        <v>614</v>
      </c>
    </row>
    <row r="616" spans="1:1" x14ac:dyDescent="0.25">
      <c r="A616" t="s">
        <v>615</v>
      </c>
    </row>
    <row r="617" spans="1:1" x14ac:dyDescent="0.25">
      <c r="A617" t="s">
        <v>616</v>
      </c>
    </row>
    <row r="618" spans="1:1" x14ac:dyDescent="0.25">
      <c r="A618" t="s">
        <v>617</v>
      </c>
    </row>
    <row r="619" spans="1:1" x14ac:dyDescent="0.25">
      <c r="A619" t="s">
        <v>618</v>
      </c>
    </row>
    <row r="620" spans="1:1" x14ac:dyDescent="0.25">
      <c r="A620" t="s">
        <v>619</v>
      </c>
    </row>
    <row r="621" spans="1:1" x14ac:dyDescent="0.25">
      <c r="A621" t="s">
        <v>620</v>
      </c>
    </row>
    <row r="622" spans="1:1" x14ac:dyDescent="0.25">
      <c r="A622" t="s">
        <v>621</v>
      </c>
    </row>
    <row r="623" spans="1:1" x14ac:dyDescent="0.25">
      <c r="A623" t="s">
        <v>622</v>
      </c>
    </row>
    <row r="624" spans="1:1" x14ac:dyDescent="0.25">
      <c r="A624" t="s">
        <v>623</v>
      </c>
    </row>
    <row r="625" spans="1:1" x14ac:dyDescent="0.25">
      <c r="A625" t="s">
        <v>624</v>
      </c>
    </row>
    <row r="626" spans="1:1" x14ac:dyDescent="0.25">
      <c r="A626" t="s">
        <v>625</v>
      </c>
    </row>
    <row r="627" spans="1:1" x14ac:dyDescent="0.25">
      <c r="A627" t="s">
        <v>626</v>
      </c>
    </row>
    <row r="628" spans="1:1" x14ac:dyDescent="0.25">
      <c r="A628" t="s">
        <v>627</v>
      </c>
    </row>
    <row r="629" spans="1:1" x14ac:dyDescent="0.25">
      <c r="A629" t="s">
        <v>628</v>
      </c>
    </row>
    <row r="630" spans="1:1" x14ac:dyDescent="0.25">
      <c r="A630" t="s">
        <v>629</v>
      </c>
    </row>
    <row r="631" spans="1:1" x14ac:dyDescent="0.25">
      <c r="A631" t="s">
        <v>630</v>
      </c>
    </row>
    <row r="632" spans="1:1" x14ac:dyDescent="0.25">
      <c r="A632" t="s">
        <v>631</v>
      </c>
    </row>
    <row r="633" spans="1:1" x14ac:dyDescent="0.25">
      <c r="A633" t="s">
        <v>632</v>
      </c>
    </row>
    <row r="634" spans="1:1" x14ac:dyDescent="0.25">
      <c r="A634" t="s">
        <v>633</v>
      </c>
    </row>
    <row r="635" spans="1:1" x14ac:dyDescent="0.25">
      <c r="A635" t="s">
        <v>634</v>
      </c>
    </row>
    <row r="636" spans="1:1" x14ac:dyDescent="0.25">
      <c r="A636" t="s">
        <v>635</v>
      </c>
    </row>
    <row r="637" spans="1:1" x14ac:dyDescent="0.25">
      <c r="A637" t="s">
        <v>636</v>
      </c>
    </row>
    <row r="638" spans="1:1" x14ac:dyDescent="0.25">
      <c r="A638" t="s">
        <v>637</v>
      </c>
    </row>
    <row r="639" spans="1:1" x14ac:dyDescent="0.25">
      <c r="A639" t="s">
        <v>638</v>
      </c>
    </row>
    <row r="640" spans="1:1" x14ac:dyDescent="0.25">
      <c r="A640" t="s">
        <v>639</v>
      </c>
    </row>
    <row r="641" spans="1:1" x14ac:dyDescent="0.25">
      <c r="A641" t="s">
        <v>640</v>
      </c>
    </row>
    <row r="642" spans="1:1" x14ac:dyDescent="0.25">
      <c r="A642" t="s">
        <v>641</v>
      </c>
    </row>
    <row r="643" spans="1:1" x14ac:dyDescent="0.25">
      <c r="A643" t="s">
        <v>642</v>
      </c>
    </row>
    <row r="644" spans="1:1" x14ac:dyDescent="0.25">
      <c r="A644" t="s">
        <v>643</v>
      </c>
    </row>
    <row r="645" spans="1:1" x14ac:dyDescent="0.25">
      <c r="A645" t="s">
        <v>644</v>
      </c>
    </row>
    <row r="646" spans="1:1" x14ac:dyDescent="0.25">
      <c r="A646" t="s">
        <v>645</v>
      </c>
    </row>
    <row r="647" spans="1:1" x14ac:dyDescent="0.25">
      <c r="A647" t="s">
        <v>646</v>
      </c>
    </row>
    <row r="648" spans="1:1" x14ac:dyDescent="0.25">
      <c r="A648" t="s">
        <v>647</v>
      </c>
    </row>
    <row r="649" spans="1:1" x14ac:dyDescent="0.25">
      <c r="A649" t="s">
        <v>648</v>
      </c>
    </row>
    <row r="650" spans="1:1" x14ac:dyDescent="0.25">
      <c r="A650" t="s">
        <v>649</v>
      </c>
    </row>
    <row r="651" spans="1:1" x14ac:dyDescent="0.25">
      <c r="A651" t="s">
        <v>650</v>
      </c>
    </row>
    <row r="652" spans="1:1" x14ac:dyDescent="0.25">
      <c r="A652" t="s">
        <v>651</v>
      </c>
    </row>
    <row r="653" spans="1:1" x14ac:dyDescent="0.25">
      <c r="A653" t="s">
        <v>652</v>
      </c>
    </row>
    <row r="654" spans="1:1" x14ac:dyDescent="0.25">
      <c r="A654" t="s">
        <v>653</v>
      </c>
    </row>
    <row r="655" spans="1:1" x14ac:dyDescent="0.25">
      <c r="A655" t="s">
        <v>654</v>
      </c>
    </row>
    <row r="656" spans="1:1" x14ac:dyDescent="0.25">
      <c r="A656" t="s">
        <v>655</v>
      </c>
    </row>
    <row r="657" spans="1:1" x14ac:dyDescent="0.25">
      <c r="A657" t="s">
        <v>656</v>
      </c>
    </row>
    <row r="658" spans="1:1" x14ac:dyDescent="0.25">
      <c r="A658" t="s">
        <v>657</v>
      </c>
    </row>
    <row r="659" spans="1:1" x14ac:dyDescent="0.25">
      <c r="A659" t="s">
        <v>658</v>
      </c>
    </row>
    <row r="660" spans="1:1" x14ac:dyDescent="0.25">
      <c r="A660" t="s">
        <v>659</v>
      </c>
    </row>
    <row r="661" spans="1:1" x14ac:dyDescent="0.25">
      <c r="A661" t="s">
        <v>660</v>
      </c>
    </row>
    <row r="662" spans="1:1" x14ac:dyDescent="0.25">
      <c r="A662" t="s">
        <v>661</v>
      </c>
    </row>
    <row r="663" spans="1:1" x14ac:dyDescent="0.25">
      <c r="A663" t="s">
        <v>662</v>
      </c>
    </row>
    <row r="664" spans="1:1" x14ac:dyDescent="0.25">
      <c r="A664" t="s">
        <v>663</v>
      </c>
    </row>
    <row r="665" spans="1:1" x14ac:dyDescent="0.25">
      <c r="A665" t="s">
        <v>664</v>
      </c>
    </row>
    <row r="666" spans="1:1" x14ac:dyDescent="0.25">
      <c r="A666" t="s">
        <v>665</v>
      </c>
    </row>
    <row r="667" spans="1:1" x14ac:dyDescent="0.25">
      <c r="A667" t="s">
        <v>666</v>
      </c>
    </row>
    <row r="668" spans="1:1" x14ac:dyDescent="0.25">
      <c r="A668" t="s">
        <v>667</v>
      </c>
    </row>
    <row r="669" spans="1:1" x14ac:dyDescent="0.25">
      <c r="A669" t="s">
        <v>668</v>
      </c>
    </row>
    <row r="670" spans="1:1" x14ac:dyDescent="0.25">
      <c r="A670" t="s">
        <v>669</v>
      </c>
    </row>
    <row r="671" spans="1:1" x14ac:dyDescent="0.25">
      <c r="A671" t="s">
        <v>670</v>
      </c>
    </row>
    <row r="672" spans="1:1" x14ac:dyDescent="0.25">
      <c r="A672" t="s">
        <v>671</v>
      </c>
    </row>
    <row r="673" spans="1:1" x14ac:dyDescent="0.25">
      <c r="A673" t="s">
        <v>672</v>
      </c>
    </row>
    <row r="674" spans="1:1" x14ac:dyDescent="0.25">
      <c r="A674" t="s">
        <v>673</v>
      </c>
    </row>
    <row r="675" spans="1:1" x14ac:dyDescent="0.25">
      <c r="A675" t="s">
        <v>674</v>
      </c>
    </row>
    <row r="676" spans="1:1" x14ac:dyDescent="0.25">
      <c r="A676" t="s">
        <v>675</v>
      </c>
    </row>
    <row r="677" spans="1:1" x14ac:dyDescent="0.25">
      <c r="A677" t="s">
        <v>676</v>
      </c>
    </row>
    <row r="678" spans="1:1" x14ac:dyDescent="0.25">
      <c r="A678" t="s">
        <v>677</v>
      </c>
    </row>
    <row r="679" spans="1:1" x14ac:dyDescent="0.25">
      <c r="A679" t="s">
        <v>678</v>
      </c>
    </row>
    <row r="680" spans="1:1" x14ac:dyDescent="0.25">
      <c r="A680" t="s">
        <v>679</v>
      </c>
    </row>
    <row r="681" spans="1:1" x14ac:dyDescent="0.25">
      <c r="A681" t="s">
        <v>680</v>
      </c>
    </row>
    <row r="682" spans="1:1" x14ac:dyDescent="0.25">
      <c r="A682" t="s">
        <v>681</v>
      </c>
    </row>
    <row r="683" spans="1:1" x14ac:dyDescent="0.25">
      <c r="A683" t="s">
        <v>682</v>
      </c>
    </row>
    <row r="684" spans="1:1" x14ac:dyDescent="0.25">
      <c r="A684" t="s">
        <v>683</v>
      </c>
    </row>
    <row r="685" spans="1:1" x14ac:dyDescent="0.25">
      <c r="A685" t="s">
        <v>684</v>
      </c>
    </row>
    <row r="686" spans="1:1" x14ac:dyDescent="0.25">
      <c r="A686" t="s">
        <v>685</v>
      </c>
    </row>
    <row r="687" spans="1:1" x14ac:dyDescent="0.25">
      <c r="A687" t="s">
        <v>686</v>
      </c>
    </row>
    <row r="688" spans="1:1" x14ac:dyDescent="0.25">
      <c r="A688" t="s">
        <v>687</v>
      </c>
    </row>
    <row r="689" spans="1:1" x14ac:dyDescent="0.25">
      <c r="A689" t="s">
        <v>688</v>
      </c>
    </row>
    <row r="690" spans="1:1" x14ac:dyDescent="0.25">
      <c r="A690" t="s">
        <v>689</v>
      </c>
    </row>
    <row r="691" spans="1:1" x14ac:dyDescent="0.25">
      <c r="A691" t="s">
        <v>690</v>
      </c>
    </row>
    <row r="692" spans="1:1" x14ac:dyDescent="0.25">
      <c r="A692" t="s">
        <v>691</v>
      </c>
    </row>
    <row r="693" spans="1:1" x14ac:dyDescent="0.25">
      <c r="A693" t="s">
        <v>692</v>
      </c>
    </row>
    <row r="694" spans="1:1" x14ac:dyDescent="0.25">
      <c r="A694" t="s">
        <v>693</v>
      </c>
    </row>
    <row r="695" spans="1:1" x14ac:dyDescent="0.25">
      <c r="A695" t="s">
        <v>694</v>
      </c>
    </row>
    <row r="696" spans="1:1" x14ac:dyDescent="0.25">
      <c r="A696" t="s">
        <v>695</v>
      </c>
    </row>
    <row r="697" spans="1:1" x14ac:dyDescent="0.25">
      <c r="A697" t="s">
        <v>696</v>
      </c>
    </row>
    <row r="698" spans="1:1" x14ac:dyDescent="0.25">
      <c r="A698" t="s">
        <v>697</v>
      </c>
    </row>
    <row r="699" spans="1:1" x14ac:dyDescent="0.25">
      <c r="A699" t="s">
        <v>698</v>
      </c>
    </row>
    <row r="700" spans="1:1" x14ac:dyDescent="0.25">
      <c r="A700" t="s">
        <v>699</v>
      </c>
    </row>
    <row r="701" spans="1:1" x14ac:dyDescent="0.25">
      <c r="A701" t="s">
        <v>700</v>
      </c>
    </row>
    <row r="702" spans="1:1" x14ac:dyDescent="0.25">
      <c r="A702" t="s">
        <v>701</v>
      </c>
    </row>
    <row r="703" spans="1:1" x14ac:dyDescent="0.25">
      <c r="A703" t="s">
        <v>702</v>
      </c>
    </row>
    <row r="704" spans="1:1" x14ac:dyDescent="0.25">
      <c r="A704" t="s">
        <v>703</v>
      </c>
    </row>
    <row r="705" spans="1:1" x14ac:dyDescent="0.25">
      <c r="A705" t="s">
        <v>704</v>
      </c>
    </row>
    <row r="706" spans="1:1" x14ac:dyDescent="0.25">
      <c r="A706" t="s">
        <v>705</v>
      </c>
    </row>
    <row r="707" spans="1:1" x14ac:dyDescent="0.25">
      <c r="A707" t="s">
        <v>706</v>
      </c>
    </row>
    <row r="708" spans="1:1" x14ac:dyDescent="0.25">
      <c r="A708" t="s">
        <v>707</v>
      </c>
    </row>
    <row r="709" spans="1:1" x14ac:dyDescent="0.25">
      <c r="A709" t="s">
        <v>708</v>
      </c>
    </row>
    <row r="710" spans="1:1" x14ac:dyDescent="0.25">
      <c r="A710" t="s">
        <v>709</v>
      </c>
    </row>
    <row r="711" spans="1:1" x14ac:dyDescent="0.25">
      <c r="A711" t="s">
        <v>710</v>
      </c>
    </row>
    <row r="712" spans="1:1" x14ac:dyDescent="0.25">
      <c r="A712" t="s">
        <v>711</v>
      </c>
    </row>
    <row r="713" spans="1:1" x14ac:dyDescent="0.25">
      <c r="A713" t="s">
        <v>712</v>
      </c>
    </row>
    <row r="714" spans="1:1" x14ac:dyDescent="0.25">
      <c r="A714" t="s">
        <v>713</v>
      </c>
    </row>
    <row r="715" spans="1:1" x14ac:dyDescent="0.25">
      <c r="A715" t="s">
        <v>714</v>
      </c>
    </row>
    <row r="716" spans="1:1" x14ac:dyDescent="0.25">
      <c r="A716" t="s">
        <v>715</v>
      </c>
    </row>
    <row r="717" spans="1:1" x14ac:dyDescent="0.25">
      <c r="A717" t="s">
        <v>716</v>
      </c>
    </row>
    <row r="718" spans="1:1" x14ac:dyDescent="0.25">
      <c r="A718" t="s">
        <v>717</v>
      </c>
    </row>
    <row r="719" spans="1:1" x14ac:dyDescent="0.25">
      <c r="A719" t="s">
        <v>718</v>
      </c>
    </row>
    <row r="720" spans="1:1" x14ac:dyDescent="0.25">
      <c r="A720" t="s">
        <v>719</v>
      </c>
    </row>
    <row r="721" spans="1:1" x14ac:dyDescent="0.25">
      <c r="A721" t="s">
        <v>720</v>
      </c>
    </row>
    <row r="722" spans="1:1" x14ac:dyDescent="0.25">
      <c r="A722" t="s">
        <v>721</v>
      </c>
    </row>
    <row r="723" spans="1:1" x14ac:dyDescent="0.25">
      <c r="A723" t="s">
        <v>722</v>
      </c>
    </row>
    <row r="724" spans="1:1" x14ac:dyDescent="0.25">
      <c r="A724" t="s">
        <v>723</v>
      </c>
    </row>
    <row r="725" spans="1:1" x14ac:dyDescent="0.25">
      <c r="A725" t="s">
        <v>724</v>
      </c>
    </row>
    <row r="726" spans="1:1" x14ac:dyDescent="0.25">
      <c r="A726" t="s">
        <v>725</v>
      </c>
    </row>
    <row r="727" spans="1:1" x14ac:dyDescent="0.25">
      <c r="A727" t="s">
        <v>726</v>
      </c>
    </row>
    <row r="728" spans="1:1" x14ac:dyDescent="0.25">
      <c r="A728" t="s">
        <v>727</v>
      </c>
    </row>
    <row r="729" spans="1:1" x14ac:dyDescent="0.25">
      <c r="A729" t="s">
        <v>728</v>
      </c>
    </row>
    <row r="730" spans="1:1" x14ac:dyDescent="0.25">
      <c r="A730" t="s">
        <v>729</v>
      </c>
    </row>
    <row r="731" spans="1:1" x14ac:dyDescent="0.25">
      <c r="A731" t="s">
        <v>730</v>
      </c>
    </row>
    <row r="732" spans="1:1" x14ac:dyDescent="0.25">
      <c r="A732" t="s">
        <v>731</v>
      </c>
    </row>
    <row r="733" spans="1:1" x14ac:dyDescent="0.25">
      <c r="A733" t="s">
        <v>732</v>
      </c>
    </row>
    <row r="734" spans="1:1" x14ac:dyDescent="0.25">
      <c r="A734" t="s">
        <v>733</v>
      </c>
    </row>
    <row r="735" spans="1:1" x14ac:dyDescent="0.25">
      <c r="A735" t="s">
        <v>734</v>
      </c>
    </row>
    <row r="736" spans="1:1" x14ac:dyDescent="0.25">
      <c r="A736" t="s">
        <v>735</v>
      </c>
    </row>
    <row r="737" spans="1:1" x14ac:dyDescent="0.25">
      <c r="A737" t="s">
        <v>736</v>
      </c>
    </row>
    <row r="738" spans="1:1" x14ac:dyDescent="0.25">
      <c r="A738" t="s">
        <v>737</v>
      </c>
    </row>
    <row r="739" spans="1:1" x14ac:dyDescent="0.25">
      <c r="A739" t="s">
        <v>738</v>
      </c>
    </row>
    <row r="740" spans="1:1" x14ac:dyDescent="0.25">
      <c r="A740" t="s">
        <v>739</v>
      </c>
    </row>
    <row r="741" spans="1:1" x14ac:dyDescent="0.25">
      <c r="A741" t="s">
        <v>740</v>
      </c>
    </row>
    <row r="742" spans="1:1" x14ac:dyDescent="0.25">
      <c r="A742" t="s">
        <v>741</v>
      </c>
    </row>
    <row r="743" spans="1:1" x14ac:dyDescent="0.25">
      <c r="A743" t="s">
        <v>742</v>
      </c>
    </row>
    <row r="744" spans="1:1" x14ac:dyDescent="0.25">
      <c r="A744" t="s">
        <v>743</v>
      </c>
    </row>
    <row r="745" spans="1:1" x14ac:dyDescent="0.25">
      <c r="A745" t="s">
        <v>744</v>
      </c>
    </row>
    <row r="746" spans="1:1" x14ac:dyDescent="0.25">
      <c r="A746" t="s">
        <v>745</v>
      </c>
    </row>
    <row r="747" spans="1:1" x14ac:dyDescent="0.25">
      <c r="A747" t="s">
        <v>746</v>
      </c>
    </row>
    <row r="748" spans="1:1" x14ac:dyDescent="0.25">
      <c r="A748" t="s">
        <v>747</v>
      </c>
    </row>
    <row r="749" spans="1:1" x14ac:dyDescent="0.25">
      <c r="A749" t="s">
        <v>748</v>
      </c>
    </row>
    <row r="750" spans="1:1" x14ac:dyDescent="0.25">
      <c r="A750" t="s">
        <v>749</v>
      </c>
    </row>
    <row r="751" spans="1:1" x14ac:dyDescent="0.25">
      <c r="A751" t="s">
        <v>750</v>
      </c>
    </row>
    <row r="752" spans="1:1" x14ac:dyDescent="0.25">
      <c r="A752" t="s">
        <v>751</v>
      </c>
    </row>
    <row r="753" spans="1:1" x14ac:dyDescent="0.25">
      <c r="A753" t="s">
        <v>752</v>
      </c>
    </row>
    <row r="754" spans="1:1" x14ac:dyDescent="0.25">
      <c r="A754" t="s">
        <v>753</v>
      </c>
    </row>
    <row r="755" spans="1:1" x14ac:dyDescent="0.25">
      <c r="A755" t="s">
        <v>754</v>
      </c>
    </row>
    <row r="756" spans="1:1" x14ac:dyDescent="0.25">
      <c r="A756" t="s">
        <v>755</v>
      </c>
    </row>
    <row r="757" spans="1:1" x14ac:dyDescent="0.25">
      <c r="A757" t="s">
        <v>756</v>
      </c>
    </row>
    <row r="758" spans="1:1" x14ac:dyDescent="0.25">
      <c r="A758" t="s">
        <v>757</v>
      </c>
    </row>
    <row r="759" spans="1:1" x14ac:dyDescent="0.25">
      <c r="A759" t="s">
        <v>758</v>
      </c>
    </row>
    <row r="760" spans="1:1" x14ac:dyDescent="0.25">
      <c r="A760" t="s">
        <v>759</v>
      </c>
    </row>
    <row r="761" spans="1:1" x14ac:dyDescent="0.25">
      <c r="A761" t="s">
        <v>760</v>
      </c>
    </row>
    <row r="762" spans="1:1" x14ac:dyDescent="0.25">
      <c r="A762" t="s">
        <v>761</v>
      </c>
    </row>
    <row r="763" spans="1:1" x14ac:dyDescent="0.25">
      <c r="A763" t="s">
        <v>762</v>
      </c>
    </row>
    <row r="764" spans="1:1" x14ac:dyDescent="0.25">
      <c r="A764" t="s">
        <v>763</v>
      </c>
    </row>
    <row r="765" spans="1:1" x14ac:dyDescent="0.25">
      <c r="A765" t="s">
        <v>764</v>
      </c>
    </row>
    <row r="766" spans="1:1" x14ac:dyDescent="0.25">
      <c r="A766" t="s">
        <v>765</v>
      </c>
    </row>
    <row r="767" spans="1:1" x14ac:dyDescent="0.25">
      <c r="A767" t="s">
        <v>766</v>
      </c>
    </row>
    <row r="768" spans="1:1" x14ac:dyDescent="0.25">
      <c r="A768" t="s">
        <v>767</v>
      </c>
    </row>
    <row r="769" spans="1:1" x14ac:dyDescent="0.25">
      <c r="A769" t="s">
        <v>768</v>
      </c>
    </row>
    <row r="770" spans="1:1" x14ac:dyDescent="0.25">
      <c r="A770" t="s">
        <v>769</v>
      </c>
    </row>
    <row r="771" spans="1:1" x14ac:dyDescent="0.25">
      <c r="A771" t="s">
        <v>770</v>
      </c>
    </row>
    <row r="772" spans="1:1" x14ac:dyDescent="0.25">
      <c r="A772" t="s">
        <v>771</v>
      </c>
    </row>
    <row r="773" spans="1:1" x14ac:dyDescent="0.25">
      <c r="A773" t="s">
        <v>772</v>
      </c>
    </row>
    <row r="774" spans="1:1" x14ac:dyDescent="0.25">
      <c r="A774" t="s">
        <v>773</v>
      </c>
    </row>
    <row r="775" spans="1:1" x14ac:dyDescent="0.25">
      <c r="A775" t="s">
        <v>774</v>
      </c>
    </row>
    <row r="776" spans="1:1" x14ac:dyDescent="0.25">
      <c r="A776" t="s">
        <v>775</v>
      </c>
    </row>
    <row r="777" spans="1:1" x14ac:dyDescent="0.25">
      <c r="A777" t="s">
        <v>776</v>
      </c>
    </row>
    <row r="778" spans="1:1" x14ac:dyDescent="0.25">
      <c r="A778" t="s">
        <v>777</v>
      </c>
    </row>
    <row r="779" spans="1:1" x14ac:dyDescent="0.25">
      <c r="A779" t="s">
        <v>778</v>
      </c>
    </row>
    <row r="780" spans="1:1" x14ac:dyDescent="0.25">
      <c r="A780" t="s">
        <v>779</v>
      </c>
    </row>
    <row r="781" spans="1:1" x14ac:dyDescent="0.25">
      <c r="A781" t="s">
        <v>780</v>
      </c>
    </row>
    <row r="782" spans="1:1" x14ac:dyDescent="0.25">
      <c r="A782" t="s">
        <v>781</v>
      </c>
    </row>
    <row r="783" spans="1:1" x14ac:dyDescent="0.25">
      <c r="A783" t="s">
        <v>782</v>
      </c>
    </row>
    <row r="784" spans="1:1" x14ac:dyDescent="0.25">
      <c r="A784" t="s">
        <v>783</v>
      </c>
    </row>
    <row r="785" spans="1:1" x14ac:dyDescent="0.25">
      <c r="A785" t="s">
        <v>784</v>
      </c>
    </row>
    <row r="786" spans="1:1" x14ac:dyDescent="0.25">
      <c r="A786" t="s">
        <v>785</v>
      </c>
    </row>
    <row r="787" spans="1:1" x14ac:dyDescent="0.25">
      <c r="A787" t="s">
        <v>786</v>
      </c>
    </row>
    <row r="788" spans="1:1" x14ac:dyDescent="0.25">
      <c r="A788" t="s">
        <v>787</v>
      </c>
    </row>
    <row r="789" spans="1:1" x14ac:dyDescent="0.25">
      <c r="A789" t="s">
        <v>788</v>
      </c>
    </row>
    <row r="790" spans="1:1" x14ac:dyDescent="0.25">
      <c r="A790" t="s">
        <v>789</v>
      </c>
    </row>
    <row r="791" spans="1:1" x14ac:dyDescent="0.25">
      <c r="A791" t="s">
        <v>790</v>
      </c>
    </row>
    <row r="792" spans="1:1" x14ac:dyDescent="0.25">
      <c r="A792" t="s">
        <v>791</v>
      </c>
    </row>
    <row r="793" spans="1:1" x14ac:dyDescent="0.25">
      <c r="A793" t="s">
        <v>792</v>
      </c>
    </row>
    <row r="794" spans="1:1" x14ac:dyDescent="0.25">
      <c r="A794" t="s">
        <v>793</v>
      </c>
    </row>
    <row r="795" spans="1:1" x14ac:dyDescent="0.25">
      <c r="A795" t="s">
        <v>794</v>
      </c>
    </row>
    <row r="796" spans="1:1" x14ac:dyDescent="0.25">
      <c r="A796" t="s">
        <v>795</v>
      </c>
    </row>
    <row r="797" spans="1:1" x14ac:dyDescent="0.25">
      <c r="A797" t="s">
        <v>796</v>
      </c>
    </row>
    <row r="798" spans="1:1" x14ac:dyDescent="0.25">
      <c r="A798" t="s">
        <v>797</v>
      </c>
    </row>
    <row r="799" spans="1:1" x14ac:dyDescent="0.25">
      <c r="A799" t="s">
        <v>798</v>
      </c>
    </row>
    <row r="800" spans="1:1" x14ac:dyDescent="0.25">
      <c r="A800" t="s">
        <v>799</v>
      </c>
    </row>
    <row r="801" spans="1:1" x14ac:dyDescent="0.25">
      <c r="A801" t="s">
        <v>800</v>
      </c>
    </row>
    <row r="802" spans="1:1" x14ac:dyDescent="0.25">
      <c r="A802" t="s">
        <v>801</v>
      </c>
    </row>
    <row r="803" spans="1:1" x14ac:dyDescent="0.25">
      <c r="A803" t="s">
        <v>802</v>
      </c>
    </row>
    <row r="804" spans="1:1" x14ac:dyDescent="0.25">
      <c r="A804" t="s">
        <v>803</v>
      </c>
    </row>
    <row r="805" spans="1:1" x14ac:dyDescent="0.25">
      <c r="A805" t="s">
        <v>804</v>
      </c>
    </row>
    <row r="806" spans="1:1" x14ac:dyDescent="0.25">
      <c r="A806" t="s">
        <v>805</v>
      </c>
    </row>
    <row r="807" spans="1:1" x14ac:dyDescent="0.25">
      <c r="A807" t="s">
        <v>806</v>
      </c>
    </row>
    <row r="808" spans="1:1" x14ac:dyDescent="0.25">
      <c r="A808" t="s">
        <v>807</v>
      </c>
    </row>
    <row r="809" spans="1:1" x14ac:dyDescent="0.25">
      <c r="A809" t="s">
        <v>808</v>
      </c>
    </row>
    <row r="810" spans="1:1" x14ac:dyDescent="0.25">
      <c r="A810" t="s">
        <v>809</v>
      </c>
    </row>
    <row r="811" spans="1:1" x14ac:dyDescent="0.25">
      <c r="A811" t="s">
        <v>810</v>
      </c>
    </row>
    <row r="812" spans="1:1" x14ac:dyDescent="0.25">
      <c r="A812" t="s">
        <v>811</v>
      </c>
    </row>
    <row r="813" spans="1:1" x14ac:dyDescent="0.25">
      <c r="A813" t="s">
        <v>812</v>
      </c>
    </row>
    <row r="814" spans="1:1" x14ac:dyDescent="0.25">
      <c r="A814" t="s">
        <v>813</v>
      </c>
    </row>
    <row r="815" spans="1:1" x14ac:dyDescent="0.25">
      <c r="A815" t="s">
        <v>814</v>
      </c>
    </row>
    <row r="816" spans="1:1" x14ac:dyDescent="0.25">
      <c r="A816" t="s">
        <v>815</v>
      </c>
    </row>
    <row r="817" spans="1:1" x14ac:dyDescent="0.25">
      <c r="A817" t="s">
        <v>816</v>
      </c>
    </row>
    <row r="818" spans="1:1" x14ac:dyDescent="0.25">
      <c r="A818" t="s">
        <v>817</v>
      </c>
    </row>
    <row r="819" spans="1:1" x14ac:dyDescent="0.25">
      <c r="A819" t="s">
        <v>818</v>
      </c>
    </row>
    <row r="820" spans="1:1" x14ac:dyDescent="0.25">
      <c r="A820" t="s">
        <v>819</v>
      </c>
    </row>
    <row r="821" spans="1:1" x14ac:dyDescent="0.25">
      <c r="A821" t="s">
        <v>820</v>
      </c>
    </row>
    <row r="822" spans="1:1" x14ac:dyDescent="0.25">
      <c r="A822" t="s">
        <v>821</v>
      </c>
    </row>
    <row r="823" spans="1:1" x14ac:dyDescent="0.25">
      <c r="A823" t="s">
        <v>822</v>
      </c>
    </row>
    <row r="824" spans="1:1" x14ac:dyDescent="0.25">
      <c r="A824" t="s">
        <v>823</v>
      </c>
    </row>
    <row r="825" spans="1:1" x14ac:dyDescent="0.25">
      <c r="A825" t="s">
        <v>824</v>
      </c>
    </row>
    <row r="826" spans="1:1" x14ac:dyDescent="0.25">
      <c r="A826" t="s">
        <v>825</v>
      </c>
    </row>
    <row r="827" spans="1:1" x14ac:dyDescent="0.25">
      <c r="A827" t="s">
        <v>826</v>
      </c>
    </row>
    <row r="828" spans="1:1" x14ac:dyDescent="0.25">
      <c r="A828" t="s">
        <v>827</v>
      </c>
    </row>
    <row r="829" spans="1:1" x14ac:dyDescent="0.25">
      <c r="A829" t="s">
        <v>828</v>
      </c>
    </row>
    <row r="830" spans="1:1" x14ac:dyDescent="0.25">
      <c r="A830" t="s">
        <v>829</v>
      </c>
    </row>
    <row r="831" spans="1:1" x14ac:dyDescent="0.25">
      <c r="A831" t="s">
        <v>830</v>
      </c>
    </row>
    <row r="832" spans="1:1" x14ac:dyDescent="0.25">
      <c r="A832" t="s">
        <v>831</v>
      </c>
    </row>
    <row r="833" spans="1:1" x14ac:dyDescent="0.25">
      <c r="A833" t="s">
        <v>832</v>
      </c>
    </row>
    <row r="834" spans="1:1" x14ac:dyDescent="0.25">
      <c r="A834" t="s">
        <v>833</v>
      </c>
    </row>
    <row r="835" spans="1:1" x14ac:dyDescent="0.25">
      <c r="A835" t="s">
        <v>834</v>
      </c>
    </row>
    <row r="836" spans="1:1" x14ac:dyDescent="0.25">
      <c r="A836" t="s">
        <v>835</v>
      </c>
    </row>
    <row r="837" spans="1:1" x14ac:dyDescent="0.25">
      <c r="A837" t="s">
        <v>836</v>
      </c>
    </row>
    <row r="838" spans="1:1" x14ac:dyDescent="0.25">
      <c r="A838" t="s">
        <v>837</v>
      </c>
    </row>
    <row r="839" spans="1:1" x14ac:dyDescent="0.25">
      <c r="A839" t="s">
        <v>838</v>
      </c>
    </row>
    <row r="840" spans="1:1" x14ac:dyDescent="0.25">
      <c r="A840" t="s">
        <v>839</v>
      </c>
    </row>
    <row r="841" spans="1:1" x14ac:dyDescent="0.25">
      <c r="A841" t="s">
        <v>840</v>
      </c>
    </row>
    <row r="842" spans="1:1" x14ac:dyDescent="0.25">
      <c r="A842" t="s">
        <v>841</v>
      </c>
    </row>
    <row r="843" spans="1:1" x14ac:dyDescent="0.25">
      <c r="A843" t="s">
        <v>842</v>
      </c>
    </row>
    <row r="844" spans="1:1" x14ac:dyDescent="0.25">
      <c r="A844" t="s">
        <v>843</v>
      </c>
    </row>
    <row r="845" spans="1:1" x14ac:dyDescent="0.25">
      <c r="A845" t="s">
        <v>844</v>
      </c>
    </row>
    <row r="846" spans="1:1" x14ac:dyDescent="0.25">
      <c r="A846" t="s">
        <v>845</v>
      </c>
    </row>
    <row r="847" spans="1:1" x14ac:dyDescent="0.25">
      <c r="A847" t="s">
        <v>846</v>
      </c>
    </row>
    <row r="848" spans="1:1" x14ac:dyDescent="0.25">
      <c r="A848" t="s">
        <v>847</v>
      </c>
    </row>
    <row r="849" spans="1:1" x14ac:dyDescent="0.25">
      <c r="A849" t="s">
        <v>848</v>
      </c>
    </row>
    <row r="850" spans="1:1" x14ac:dyDescent="0.25">
      <c r="A850" t="s">
        <v>849</v>
      </c>
    </row>
    <row r="851" spans="1:1" x14ac:dyDescent="0.25">
      <c r="A851" t="s">
        <v>850</v>
      </c>
    </row>
    <row r="852" spans="1:1" x14ac:dyDescent="0.25">
      <c r="A852" t="s">
        <v>851</v>
      </c>
    </row>
    <row r="853" spans="1:1" x14ac:dyDescent="0.25">
      <c r="A853" t="s">
        <v>852</v>
      </c>
    </row>
    <row r="854" spans="1:1" x14ac:dyDescent="0.25">
      <c r="A854" t="s">
        <v>853</v>
      </c>
    </row>
    <row r="855" spans="1:1" x14ac:dyDescent="0.25">
      <c r="A855" t="s">
        <v>854</v>
      </c>
    </row>
    <row r="856" spans="1:1" x14ac:dyDescent="0.25">
      <c r="A856" t="s">
        <v>855</v>
      </c>
    </row>
    <row r="857" spans="1:1" x14ac:dyDescent="0.25">
      <c r="A857" t="s">
        <v>856</v>
      </c>
    </row>
    <row r="858" spans="1:1" x14ac:dyDescent="0.25">
      <c r="A858" t="s">
        <v>857</v>
      </c>
    </row>
    <row r="859" spans="1:1" x14ac:dyDescent="0.25">
      <c r="A859" t="s">
        <v>858</v>
      </c>
    </row>
    <row r="860" spans="1:1" x14ac:dyDescent="0.25">
      <c r="A860" t="s">
        <v>859</v>
      </c>
    </row>
    <row r="861" spans="1:1" x14ac:dyDescent="0.25">
      <c r="A861" t="s">
        <v>860</v>
      </c>
    </row>
    <row r="862" spans="1:1" x14ac:dyDescent="0.25">
      <c r="A862" t="s">
        <v>861</v>
      </c>
    </row>
    <row r="863" spans="1:1" x14ac:dyDescent="0.25">
      <c r="A863" t="s">
        <v>862</v>
      </c>
    </row>
    <row r="864" spans="1:1" x14ac:dyDescent="0.25">
      <c r="A864" t="s">
        <v>863</v>
      </c>
    </row>
    <row r="865" spans="1:1" x14ac:dyDescent="0.25">
      <c r="A865" t="s">
        <v>864</v>
      </c>
    </row>
    <row r="866" spans="1:1" x14ac:dyDescent="0.25">
      <c r="A866" t="s">
        <v>865</v>
      </c>
    </row>
    <row r="867" spans="1:1" x14ac:dyDescent="0.25">
      <c r="A867" t="s">
        <v>866</v>
      </c>
    </row>
    <row r="868" spans="1:1" x14ac:dyDescent="0.25">
      <c r="A868" t="s">
        <v>867</v>
      </c>
    </row>
    <row r="869" spans="1:1" x14ac:dyDescent="0.25">
      <c r="A869" t="s">
        <v>868</v>
      </c>
    </row>
    <row r="870" spans="1:1" x14ac:dyDescent="0.25">
      <c r="A870" t="s">
        <v>869</v>
      </c>
    </row>
    <row r="871" spans="1:1" x14ac:dyDescent="0.25">
      <c r="A871" t="s">
        <v>870</v>
      </c>
    </row>
    <row r="872" spans="1:1" x14ac:dyDescent="0.25">
      <c r="A872" t="s">
        <v>871</v>
      </c>
    </row>
    <row r="873" spans="1:1" x14ac:dyDescent="0.25">
      <c r="A873" t="s">
        <v>872</v>
      </c>
    </row>
    <row r="874" spans="1:1" x14ac:dyDescent="0.25">
      <c r="A874" t="s">
        <v>873</v>
      </c>
    </row>
    <row r="875" spans="1:1" x14ac:dyDescent="0.25">
      <c r="A875" t="s">
        <v>874</v>
      </c>
    </row>
    <row r="876" spans="1:1" x14ac:dyDescent="0.25">
      <c r="A876" t="s">
        <v>875</v>
      </c>
    </row>
    <row r="877" spans="1:1" x14ac:dyDescent="0.25">
      <c r="A877" t="s">
        <v>876</v>
      </c>
    </row>
    <row r="878" spans="1:1" x14ac:dyDescent="0.25">
      <c r="A878" t="s">
        <v>877</v>
      </c>
    </row>
    <row r="879" spans="1:1" x14ac:dyDescent="0.25">
      <c r="A879" t="s">
        <v>878</v>
      </c>
    </row>
    <row r="880" spans="1:1" x14ac:dyDescent="0.25">
      <c r="A880" t="s">
        <v>879</v>
      </c>
    </row>
    <row r="881" spans="1:1" x14ac:dyDescent="0.25">
      <c r="A881" t="s">
        <v>880</v>
      </c>
    </row>
    <row r="882" spans="1:1" x14ac:dyDescent="0.25">
      <c r="A882" t="s">
        <v>881</v>
      </c>
    </row>
    <row r="883" spans="1:1" x14ac:dyDescent="0.25">
      <c r="A883" t="s">
        <v>882</v>
      </c>
    </row>
    <row r="884" spans="1:1" x14ac:dyDescent="0.25">
      <c r="A884" t="s">
        <v>883</v>
      </c>
    </row>
    <row r="885" spans="1:1" x14ac:dyDescent="0.25">
      <c r="A885" t="s">
        <v>884</v>
      </c>
    </row>
    <row r="886" spans="1:1" x14ac:dyDescent="0.25">
      <c r="A886" t="s">
        <v>885</v>
      </c>
    </row>
    <row r="887" spans="1:1" x14ac:dyDescent="0.25">
      <c r="A887" t="s">
        <v>886</v>
      </c>
    </row>
    <row r="888" spans="1:1" x14ac:dyDescent="0.25">
      <c r="A888" t="s">
        <v>887</v>
      </c>
    </row>
    <row r="889" spans="1:1" x14ac:dyDescent="0.25">
      <c r="A889" t="s">
        <v>888</v>
      </c>
    </row>
    <row r="890" spans="1:1" x14ac:dyDescent="0.25">
      <c r="A890" t="s">
        <v>889</v>
      </c>
    </row>
    <row r="891" spans="1:1" x14ac:dyDescent="0.25">
      <c r="A891" t="s">
        <v>890</v>
      </c>
    </row>
    <row r="892" spans="1:1" x14ac:dyDescent="0.25">
      <c r="A892" t="s">
        <v>891</v>
      </c>
    </row>
    <row r="893" spans="1:1" x14ac:dyDescent="0.25">
      <c r="A893" t="s">
        <v>892</v>
      </c>
    </row>
    <row r="894" spans="1:1" x14ac:dyDescent="0.25">
      <c r="A894" t="s">
        <v>893</v>
      </c>
    </row>
    <row r="895" spans="1:1" x14ac:dyDescent="0.25">
      <c r="A895" t="s">
        <v>894</v>
      </c>
    </row>
    <row r="896" spans="1:1" x14ac:dyDescent="0.25">
      <c r="A896" t="s">
        <v>895</v>
      </c>
    </row>
    <row r="897" spans="1:1" x14ac:dyDescent="0.25">
      <c r="A897" t="s">
        <v>896</v>
      </c>
    </row>
    <row r="898" spans="1:1" x14ac:dyDescent="0.25">
      <c r="A898" t="s">
        <v>897</v>
      </c>
    </row>
    <row r="899" spans="1:1" x14ac:dyDescent="0.25">
      <c r="A899" t="s">
        <v>898</v>
      </c>
    </row>
    <row r="900" spans="1:1" x14ac:dyDescent="0.25">
      <c r="A900" t="s">
        <v>899</v>
      </c>
    </row>
    <row r="901" spans="1:1" x14ac:dyDescent="0.25">
      <c r="A901" t="s">
        <v>900</v>
      </c>
    </row>
    <row r="902" spans="1:1" x14ac:dyDescent="0.25">
      <c r="A902" t="s">
        <v>901</v>
      </c>
    </row>
    <row r="903" spans="1:1" x14ac:dyDescent="0.25">
      <c r="A903" t="s">
        <v>902</v>
      </c>
    </row>
    <row r="904" spans="1:1" x14ac:dyDescent="0.25">
      <c r="A904" t="s">
        <v>903</v>
      </c>
    </row>
    <row r="905" spans="1:1" x14ac:dyDescent="0.25">
      <c r="A905" t="s">
        <v>904</v>
      </c>
    </row>
    <row r="906" spans="1:1" x14ac:dyDescent="0.25">
      <c r="A906" t="s">
        <v>905</v>
      </c>
    </row>
    <row r="907" spans="1:1" x14ac:dyDescent="0.25">
      <c r="A907" t="s">
        <v>906</v>
      </c>
    </row>
    <row r="908" spans="1:1" x14ac:dyDescent="0.25">
      <c r="A908" t="s">
        <v>907</v>
      </c>
    </row>
    <row r="909" spans="1:1" x14ac:dyDescent="0.25">
      <c r="A909" t="s">
        <v>908</v>
      </c>
    </row>
    <row r="910" spans="1:1" x14ac:dyDescent="0.25">
      <c r="A910" t="s">
        <v>909</v>
      </c>
    </row>
    <row r="911" spans="1:1" x14ac:dyDescent="0.25">
      <c r="A911" t="s">
        <v>910</v>
      </c>
    </row>
    <row r="912" spans="1:1" x14ac:dyDescent="0.25">
      <c r="A912" t="s">
        <v>911</v>
      </c>
    </row>
    <row r="913" spans="1:1" x14ac:dyDescent="0.25">
      <c r="A913" t="s">
        <v>912</v>
      </c>
    </row>
    <row r="914" spans="1:1" x14ac:dyDescent="0.25">
      <c r="A914" t="s">
        <v>913</v>
      </c>
    </row>
    <row r="915" spans="1:1" x14ac:dyDescent="0.25">
      <c r="A915" t="s">
        <v>914</v>
      </c>
    </row>
    <row r="916" spans="1:1" x14ac:dyDescent="0.25">
      <c r="A916" t="s">
        <v>915</v>
      </c>
    </row>
    <row r="917" spans="1:1" x14ac:dyDescent="0.25">
      <c r="A917" t="s">
        <v>916</v>
      </c>
    </row>
    <row r="918" spans="1:1" x14ac:dyDescent="0.25">
      <c r="A918" t="s">
        <v>917</v>
      </c>
    </row>
    <row r="919" spans="1:1" x14ac:dyDescent="0.25">
      <c r="A919" t="s">
        <v>918</v>
      </c>
    </row>
    <row r="920" spans="1:1" x14ac:dyDescent="0.25">
      <c r="A920" t="s">
        <v>919</v>
      </c>
    </row>
    <row r="921" spans="1:1" x14ac:dyDescent="0.25">
      <c r="A921" t="s">
        <v>920</v>
      </c>
    </row>
    <row r="922" spans="1:1" x14ac:dyDescent="0.25">
      <c r="A922" t="s">
        <v>921</v>
      </c>
    </row>
    <row r="923" spans="1:1" x14ac:dyDescent="0.25">
      <c r="A923" t="s">
        <v>922</v>
      </c>
    </row>
    <row r="924" spans="1:1" x14ac:dyDescent="0.25">
      <c r="A924" t="s">
        <v>923</v>
      </c>
    </row>
    <row r="925" spans="1:1" x14ac:dyDescent="0.25">
      <c r="A925" t="s">
        <v>924</v>
      </c>
    </row>
    <row r="926" spans="1:1" x14ac:dyDescent="0.25">
      <c r="A926" t="s">
        <v>925</v>
      </c>
    </row>
    <row r="927" spans="1:1" x14ac:dyDescent="0.25">
      <c r="A927" t="s">
        <v>926</v>
      </c>
    </row>
    <row r="928" spans="1:1" x14ac:dyDescent="0.25">
      <c r="A928" t="s">
        <v>927</v>
      </c>
    </row>
    <row r="929" spans="1:1" x14ac:dyDescent="0.25">
      <c r="A929" t="s">
        <v>928</v>
      </c>
    </row>
    <row r="930" spans="1:1" x14ac:dyDescent="0.25">
      <c r="A930" t="s">
        <v>929</v>
      </c>
    </row>
    <row r="931" spans="1:1" x14ac:dyDescent="0.25">
      <c r="A931" t="s">
        <v>930</v>
      </c>
    </row>
    <row r="932" spans="1:1" x14ac:dyDescent="0.25">
      <c r="A932" t="s">
        <v>931</v>
      </c>
    </row>
    <row r="933" spans="1:1" x14ac:dyDescent="0.25">
      <c r="A933" t="s">
        <v>932</v>
      </c>
    </row>
    <row r="934" spans="1:1" x14ac:dyDescent="0.25">
      <c r="A934" t="s">
        <v>933</v>
      </c>
    </row>
    <row r="935" spans="1:1" x14ac:dyDescent="0.25">
      <c r="A935" t="s">
        <v>934</v>
      </c>
    </row>
    <row r="936" spans="1:1" x14ac:dyDescent="0.25">
      <c r="A936" t="s">
        <v>935</v>
      </c>
    </row>
    <row r="937" spans="1:1" x14ac:dyDescent="0.25">
      <c r="A937" t="s">
        <v>936</v>
      </c>
    </row>
    <row r="938" spans="1:1" x14ac:dyDescent="0.25">
      <c r="A938" t="s">
        <v>937</v>
      </c>
    </row>
    <row r="939" spans="1:1" x14ac:dyDescent="0.25">
      <c r="A939" t="s">
        <v>938</v>
      </c>
    </row>
    <row r="940" spans="1:1" x14ac:dyDescent="0.25">
      <c r="A940" t="s">
        <v>939</v>
      </c>
    </row>
    <row r="941" spans="1:1" x14ac:dyDescent="0.25">
      <c r="A941" t="s">
        <v>940</v>
      </c>
    </row>
    <row r="942" spans="1:1" x14ac:dyDescent="0.25">
      <c r="A942" t="s">
        <v>941</v>
      </c>
    </row>
    <row r="943" spans="1:1" x14ac:dyDescent="0.25">
      <c r="A943" t="s">
        <v>942</v>
      </c>
    </row>
    <row r="944" spans="1:1" x14ac:dyDescent="0.25">
      <c r="A944" t="s">
        <v>943</v>
      </c>
    </row>
    <row r="945" spans="1:1" x14ac:dyDescent="0.25">
      <c r="A945" t="s">
        <v>944</v>
      </c>
    </row>
    <row r="946" spans="1:1" x14ac:dyDescent="0.25">
      <c r="A946" t="s">
        <v>945</v>
      </c>
    </row>
    <row r="947" spans="1:1" x14ac:dyDescent="0.25">
      <c r="A947" t="s">
        <v>946</v>
      </c>
    </row>
    <row r="948" spans="1:1" x14ac:dyDescent="0.25">
      <c r="A948" t="s">
        <v>947</v>
      </c>
    </row>
    <row r="949" spans="1:1" x14ac:dyDescent="0.25">
      <c r="A949" t="s">
        <v>948</v>
      </c>
    </row>
    <row r="950" spans="1:1" x14ac:dyDescent="0.25">
      <c r="A950" t="s">
        <v>949</v>
      </c>
    </row>
    <row r="951" spans="1:1" x14ac:dyDescent="0.25">
      <c r="A951" t="s">
        <v>950</v>
      </c>
    </row>
    <row r="952" spans="1:1" x14ac:dyDescent="0.25">
      <c r="A952" t="s">
        <v>951</v>
      </c>
    </row>
    <row r="953" spans="1:1" x14ac:dyDescent="0.25">
      <c r="A953" t="s">
        <v>952</v>
      </c>
    </row>
    <row r="954" spans="1:1" x14ac:dyDescent="0.25">
      <c r="A954" t="s">
        <v>953</v>
      </c>
    </row>
    <row r="955" spans="1:1" x14ac:dyDescent="0.25">
      <c r="A955" t="s">
        <v>954</v>
      </c>
    </row>
    <row r="956" spans="1:1" x14ac:dyDescent="0.25">
      <c r="A956" t="s">
        <v>955</v>
      </c>
    </row>
    <row r="957" spans="1:1" x14ac:dyDescent="0.25">
      <c r="A957" t="s">
        <v>956</v>
      </c>
    </row>
    <row r="958" spans="1:1" x14ac:dyDescent="0.25">
      <c r="A958" t="s">
        <v>957</v>
      </c>
    </row>
    <row r="959" spans="1:1" x14ac:dyDescent="0.25">
      <c r="A959" t="s">
        <v>958</v>
      </c>
    </row>
    <row r="960" spans="1:1" x14ac:dyDescent="0.25">
      <c r="A960" t="s">
        <v>959</v>
      </c>
    </row>
    <row r="961" spans="1:1" x14ac:dyDescent="0.25">
      <c r="A961" t="s">
        <v>960</v>
      </c>
    </row>
    <row r="962" spans="1:1" x14ac:dyDescent="0.25">
      <c r="A962" t="s">
        <v>961</v>
      </c>
    </row>
    <row r="963" spans="1:1" x14ac:dyDescent="0.25">
      <c r="A963" t="s">
        <v>962</v>
      </c>
    </row>
    <row r="964" spans="1:1" x14ac:dyDescent="0.25">
      <c r="A964" t="s">
        <v>963</v>
      </c>
    </row>
    <row r="965" spans="1:1" x14ac:dyDescent="0.25">
      <c r="A965" t="s">
        <v>964</v>
      </c>
    </row>
    <row r="966" spans="1:1" x14ac:dyDescent="0.25">
      <c r="A966" t="s">
        <v>965</v>
      </c>
    </row>
    <row r="967" spans="1:1" x14ac:dyDescent="0.25">
      <c r="A967" t="s">
        <v>966</v>
      </c>
    </row>
    <row r="968" spans="1:1" x14ac:dyDescent="0.25">
      <c r="A968" t="s">
        <v>967</v>
      </c>
    </row>
    <row r="969" spans="1:1" x14ac:dyDescent="0.25">
      <c r="A969" t="s">
        <v>968</v>
      </c>
    </row>
    <row r="970" spans="1:1" x14ac:dyDescent="0.25">
      <c r="A970" t="s">
        <v>969</v>
      </c>
    </row>
    <row r="971" spans="1:1" x14ac:dyDescent="0.25">
      <c r="A971" t="s">
        <v>970</v>
      </c>
    </row>
    <row r="972" spans="1:1" x14ac:dyDescent="0.25">
      <c r="A972" t="s">
        <v>971</v>
      </c>
    </row>
    <row r="973" spans="1:1" x14ac:dyDescent="0.25">
      <c r="A973" t="s">
        <v>972</v>
      </c>
    </row>
    <row r="974" spans="1:1" x14ac:dyDescent="0.25">
      <c r="A974" t="s">
        <v>973</v>
      </c>
    </row>
    <row r="975" spans="1:1" x14ac:dyDescent="0.25">
      <c r="A975" t="s">
        <v>974</v>
      </c>
    </row>
    <row r="976" spans="1:1" x14ac:dyDescent="0.25">
      <c r="A976" t="s">
        <v>975</v>
      </c>
    </row>
    <row r="977" spans="1:1" x14ac:dyDescent="0.25">
      <c r="A977" t="s">
        <v>976</v>
      </c>
    </row>
    <row r="978" spans="1:1" x14ac:dyDescent="0.25">
      <c r="A978" t="s">
        <v>977</v>
      </c>
    </row>
    <row r="979" spans="1:1" x14ac:dyDescent="0.25">
      <c r="A979" t="s">
        <v>978</v>
      </c>
    </row>
    <row r="980" spans="1:1" x14ac:dyDescent="0.25">
      <c r="A980" t="s">
        <v>979</v>
      </c>
    </row>
    <row r="981" spans="1:1" x14ac:dyDescent="0.25">
      <c r="A981" t="s">
        <v>980</v>
      </c>
    </row>
    <row r="982" spans="1:1" x14ac:dyDescent="0.25">
      <c r="A982" t="s">
        <v>981</v>
      </c>
    </row>
    <row r="983" spans="1:1" x14ac:dyDescent="0.25">
      <c r="A983" t="s">
        <v>982</v>
      </c>
    </row>
    <row r="984" spans="1:1" x14ac:dyDescent="0.25">
      <c r="A984" t="s">
        <v>983</v>
      </c>
    </row>
    <row r="985" spans="1:1" x14ac:dyDescent="0.25">
      <c r="A985" t="s">
        <v>984</v>
      </c>
    </row>
    <row r="986" spans="1:1" x14ac:dyDescent="0.25">
      <c r="A986" t="s">
        <v>985</v>
      </c>
    </row>
    <row r="987" spans="1:1" x14ac:dyDescent="0.25">
      <c r="A987" t="s">
        <v>986</v>
      </c>
    </row>
    <row r="988" spans="1:1" x14ac:dyDescent="0.25">
      <c r="A988" t="s">
        <v>987</v>
      </c>
    </row>
    <row r="989" spans="1:1" x14ac:dyDescent="0.25">
      <c r="A989" t="s">
        <v>988</v>
      </c>
    </row>
    <row r="990" spans="1:1" x14ac:dyDescent="0.25">
      <c r="A990" t="s">
        <v>989</v>
      </c>
    </row>
    <row r="991" spans="1:1" x14ac:dyDescent="0.25">
      <c r="A991" t="s">
        <v>990</v>
      </c>
    </row>
    <row r="992" spans="1:1" x14ac:dyDescent="0.25">
      <c r="A992" t="s">
        <v>991</v>
      </c>
    </row>
    <row r="993" spans="1:1" x14ac:dyDescent="0.25">
      <c r="A993" t="s">
        <v>992</v>
      </c>
    </row>
    <row r="994" spans="1:1" x14ac:dyDescent="0.25">
      <c r="A994" t="s">
        <v>993</v>
      </c>
    </row>
    <row r="995" spans="1:1" x14ac:dyDescent="0.25">
      <c r="A995" t="s">
        <v>994</v>
      </c>
    </row>
    <row r="996" spans="1:1" x14ac:dyDescent="0.25">
      <c r="A996" t="s">
        <v>995</v>
      </c>
    </row>
    <row r="997" spans="1:1" x14ac:dyDescent="0.25">
      <c r="A997" t="s">
        <v>996</v>
      </c>
    </row>
    <row r="998" spans="1:1" x14ac:dyDescent="0.25">
      <c r="A998" t="s">
        <v>997</v>
      </c>
    </row>
    <row r="999" spans="1:1" x14ac:dyDescent="0.25">
      <c r="A999" t="s">
        <v>998</v>
      </c>
    </row>
    <row r="1000" spans="1:1" x14ac:dyDescent="0.25">
      <c r="A1000" t="s">
        <v>999</v>
      </c>
    </row>
    <row r="1001" spans="1:1" x14ac:dyDescent="0.25">
      <c r="A1001" t="s">
        <v>1000</v>
      </c>
    </row>
    <row r="1002" spans="1:1" x14ac:dyDescent="0.25">
      <c r="A1002" t="s">
        <v>1001</v>
      </c>
    </row>
    <row r="1003" spans="1:1" x14ac:dyDescent="0.25">
      <c r="A1003" t="s">
        <v>1002</v>
      </c>
    </row>
    <row r="1004" spans="1:1" x14ac:dyDescent="0.25">
      <c r="A1004" t="s">
        <v>1003</v>
      </c>
    </row>
    <row r="1005" spans="1:1" x14ac:dyDescent="0.25">
      <c r="A1005" t="s">
        <v>1004</v>
      </c>
    </row>
    <row r="1006" spans="1:1" x14ac:dyDescent="0.25">
      <c r="A1006" t="s">
        <v>1005</v>
      </c>
    </row>
    <row r="1007" spans="1:1" x14ac:dyDescent="0.25">
      <c r="A1007" t="s">
        <v>1006</v>
      </c>
    </row>
    <row r="1008" spans="1:1" x14ac:dyDescent="0.25">
      <c r="A1008" t="s">
        <v>1007</v>
      </c>
    </row>
    <row r="1009" spans="1:1" x14ac:dyDescent="0.25">
      <c r="A1009" t="s">
        <v>1008</v>
      </c>
    </row>
    <row r="1010" spans="1:1" x14ac:dyDescent="0.25">
      <c r="A1010" t="s">
        <v>1009</v>
      </c>
    </row>
    <row r="1011" spans="1:1" x14ac:dyDescent="0.25">
      <c r="A1011" t="s">
        <v>1010</v>
      </c>
    </row>
    <row r="1012" spans="1:1" x14ac:dyDescent="0.25">
      <c r="A1012" t="s">
        <v>1011</v>
      </c>
    </row>
    <row r="1013" spans="1:1" x14ac:dyDescent="0.25">
      <c r="A1013" t="s">
        <v>1012</v>
      </c>
    </row>
    <row r="1014" spans="1:1" x14ac:dyDescent="0.25">
      <c r="A1014" t="s">
        <v>1013</v>
      </c>
    </row>
    <row r="1015" spans="1:1" x14ac:dyDescent="0.25">
      <c r="A1015" t="s">
        <v>1014</v>
      </c>
    </row>
    <row r="1016" spans="1:1" x14ac:dyDescent="0.25">
      <c r="A1016" t="s">
        <v>1015</v>
      </c>
    </row>
    <row r="1017" spans="1:1" x14ac:dyDescent="0.25">
      <c r="A1017" t="s">
        <v>1016</v>
      </c>
    </row>
    <row r="1018" spans="1:1" x14ac:dyDescent="0.25">
      <c r="A1018" t="s">
        <v>1017</v>
      </c>
    </row>
    <row r="1019" spans="1:1" x14ac:dyDescent="0.25">
      <c r="A1019" t="s">
        <v>1018</v>
      </c>
    </row>
    <row r="1020" spans="1:1" x14ac:dyDescent="0.25">
      <c r="A1020" t="s">
        <v>1019</v>
      </c>
    </row>
    <row r="1021" spans="1:1" x14ac:dyDescent="0.25">
      <c r="A1021" t="s">
        <v>1020</v>
      </c>
    </row>
    <row r="1022" spans="1:1" x14ac:dyDescent="0.25">
      <c r="A1022" t="s">
        <v>1021</v>
      </c>
    </row>
    <row r="1023" spans="1:1" x14ac:dyDescent="0.25">
      <c r="A1023" t="s">
        <v>1022</v>
      </c>
    </row>
    <row r="1024" spans="1:1" x14ac:dyDescent="0.25">
      <c r="A1024" t="s">
        <v>1023</v>
      </c>
    </row>
    <row r="1025" spans="1:1" x14ac:dyDescent="0.25">
      <c r="A1025" t="s">
        <v>1024</v>
      </c>
    </row>
    <row r="1026" spans="1:1" x14ac:dyDescent="0.25">
      <c r="A1026" t="s">
        <v>1025</v>
      </c>
    </row>
    <row r="1027" spans="1:1" x14ac:dyDescent="0.25">
      <c r="A1027" t="s">
        <v>1026</v>
      </c>
    </row>
    <row r="1028" spans="1:1" x14ac:dyDescent="0.25">
      <c r="A1028" t="s">
        <v>1027</v>
      </c>
    </row>
    <row r="1029" spans="1:1" x14ac:dyDescent="0.25">
      <c r="A1029" t="s">
        <v>1028</v>
      </c>
    </row>
    <row r="1030" spans="1:1" x14ac:dyDescent="0.25">
      <c r="A1030" t="s">
        <v>1029</v>
      </c>
    </row>
    <row r="1031" spans="1:1" x14ac:dyDescent="0.25">
      <c r="A1031" t="s">
        <v>1030</v>
      </c>
    </row>
    <row r="1032" spans="1:1" x14ac:dyDescent="0.25">
      <c r="A1032" t="s">
        <v>1031</v>
      </c>
    </row>
    <row r="1033" spans="1:1" x14ac:dyDescent="0.25">
      <c r="A1033" t="s">
        <v>1032</v>
      </c>
    </row>
    <row r="1034" spans="1:1" x14ac:dyDescent="0.25">
      <c r="A1034" t="s">
        <v>1033</v>
      </c>
    </row>
    <row r="1035" spans="1:1" x14ac:dyDescent="0.25">
      <c r="A1035" t="s">
        <v>1034</v>
      </c>
    </row>
    <row r="1036" spans="1:1" x14ac:dyDescent="0.25">
      <c r="A1036" t="s">
        <v>1035</v>
      </c>
    </row>
    <row r="1037" spans="1:1" x14ac:dyDescent="0.25">
      <c r="A1037" t="s">
        <v>1036</v>
      </c>
    </row>
    <row r="1038" spans="1:1" x14ac:dyDescent="0.25">
      <c r="A1038" t="s">
        <v>1037</v>
      </c>
    </row>
    <row r="1039" spans="1:1" x14ac:dyDescent="0.25">
      <c r="A1039" t="s">
        <v>1038</v>
      </c>
    </row>
    <row r="1040" spans="1:1" x14ac:dyDescent="0.25">
      <c r="A1040" t="s">
        <v>1039</v>
      </c>
    </row>
    <row r="1041" spans="1:1" x14ac:dyDescent="0.25">
      <c r="A1041" t="s">
        <v>1040</v>
      </c>
    </row>
    <row r="1042" spans="1:1" x14ac:dyDescent="0.25">
      <c r="A1042" t="s">
        <v>1041</v>
      </c>
    </row>
    <row r="1043" spans="1:1" x14ac:dyDescent="0.25">
      <c r="A1043" t="s">
        <v>1042</v>
      </c>
    </row>
    <row r="1044" spans="1:1" x14ac:dyDescent="0.25">
      <c r="A1044" t="s">
        <v>1043</v>
      </c>
    </row>
    <row r="1045" spans="1:1" x14ac:dyDescent="0.25">
      <c r="A1045" t="s">
        <v>1044</v>
      </c>
    </row>
    <row r="1046" spans="1:1" x14ac:dyDescent="0.25">
      <c r="A1046" t="s">
        <v>1045</v>
      </c>
    </row>
    <row r="1047" spans="1:1" x14ac:dyDescent="0.25">
      <c r="A1047" t="s">
        <v>1046</v>
      </c>
    </row>
    <row r="1048" spans="1:1" x14ac:dyDescent="0.25">
      <c r="A1048" t="s">
        <v>1047</v>
      </c>
    </row>
    <row r="1049" spans="1:1" x14ac:dyDescent="0.25">
      <c r="A1049" t="s">
        <v>1048</v>
      </c>
    </row>
    <row r="1050" spans="1:1" x14ac:dyDescent="0.25">
      <c r="A1050" t="s">
        <v>1049</v>
      </c>
    </row>
    <row r="1051" spans="1:1" x14ac:dyDescent="0.25">
      <c r="A1051" t="s">
        <v>1050</v>
      </c>
    </row>
    <row r="1052" spans="1:1" x14ac:dyDescent="0.25">
      <c r="A1052" t="s">
        <v>1051</v>
      </c>
    </row>
    <row r="1053" spans="1:1" x14ac:dyDescent="0.25">
      <c r="A1053" t="s">
        <v>1052</v>
      </c>
    </row>
    <row r="1054" spans="1:1" x14ac:dyDescent="0.25">
      <c r="A1054" t="s">
        <v>1053</v>
      </c>
    </row>
    <row r="1055" spans="1:1" x14ac:dyDescent="0.25">
      <c r="A1055" t="s">
        <v>1054</v>
      </c>
    </row>
    <row r="1056" spans="1:1" x14ac:dyDescent="0.25">
      <c r="A1056" t="s">
        <v>1055</v>
      </c>
    </row>
    <row r="1057" spans="1:1" x14ac:dyDescent="0.25">
      <c r="A1057" t="s">
        <v>1056</v>
      </c>
    </row>
    <row r="1058" spans="1:1" x14ac:dyDescent="0.25">
      <c r="A1058" t="s">
        <v>1057</v>
      </c>
    </row>
    <row r="1059" spans="1:1" x14ac:dyDescent="0.25">
      <c r="A1059" t="s">
        <v>1058</v>
      </c>
    </row>
    <row r="1060" spans="1:1" x14ac:dyDescent="0.25">
      <c r="A1060" t="s">
        <v>1059</v>
      </c>
    </row>
    <row r="1061" spans="1:1" x14ac:dyDescent="0.25">
      <c r="A1061" t="s">
        <v>1060</v>
      </c>
    </row>
    <row r="1062" spans="1:1" x14ac:dyDescent="0.25">
      <c r="A1062" t="s">
        <v>1061</v>
      </c>
    </row>
    <row r="1063" spans="1:1" x14ac:dyDescent="0.25">
      <c r="A1063" t="s">
        <v>1062</v>
      </c>
    </row>
    <row r="1064" spans="1:1" x14ac:dyDescent="0.25">
      <c r="A1064" t="s">
        <v>1063</v>
      </c>
    </row>
    <row r="1065" spans="1:1" x14ac:dyDescent="0.25">
      <c r="A1065" t="s">
        <v>1064</v>
      </c>
    </row>
    <row r="1066" spans="1:1" x14ac:dyDescent="0.25">
      <c r="A1066" t="s">
        <v>1065</v>
      </c>
    </row>
    <row r="1067" spans="1:1" x14ac:dyDescent="0.25">
      <c r="A1067" t="s">
        <v>1066</v>
      </c>
    </row>
    <row r="1068" spans="1:1" x14ac:dyDescent="0.25">
      <c r="A1068" t="s">
        <v>1067</v>
      </c>
    </row>
    <row r="1069" spans="1:1" x14ac:dyDescent="0.25">
      <c r="A1069" t="s">
        <v>1068</v>
      </c>
    </row>
    <row r="1070" spans="1:1" x14ac:dyDescent="0.25">
      <c r="A1070" t="s">
        <v>1069</v>
      </c>
    </row>
    <row r="1071" spans="1:1" x14ac:dyDescent="0.25">
      <c r="A1071" t="s">
        <v>1070</v>
      </c>
    </row>
    <row r="1072" spans="1:1" x14ac:dyDescent="0.25">
      <c r="A1072" t="s">
        <v>1071</v>
      </c>
    </row>
    <row r="1073" spans="1:1" x14ac:dyDescent="0.25">
      <c r="A1073" t="s">
        <v>1072</v>
      </c>
    </row>
    <row r="1074" spans="1:1" x14ac:dyDescent="0.25">
      <c r="A1074" t="s">
        <v>1073</v>
      </c>
    </row>
    <row r="1075" spans="1:1" x14ac:dyDescent="0.25">
      <c r="A1075" t="s">
        <v>1074</v>
      </c>
    </row>
    <row r="1076" spans="1:1" x14ac:dyDescent="0.25">
      <c r="A1076" t="s">
        <v>1075</v>
      </c>
    </row>
    <row r="1077" spans="1:1" x14ac:dyDescent="0.25">
      <c r="A1077" t="s">
        <v>1076</v>
      </c>
    </row>
    <row r="1078" spans="1:1" x14ac:dyDescent="0.25">
      <c r="A1078" t="s">
        <v>1077</v>
      </c>
    </row>
    <row r="1079" spans="1:1" x14ac:dyDescent="0.25">
      <c r="A1079" t="s">
        <v>1078</v>
      </c>
    </row>
    <row r="1080" spans="1:1" x14ac:dyDescent="0.25">
      <c r="A1080" t="s">
        <v>1079</v>
      </c>
    </row>
    <row r="1081" spans="1:1" x14ac:dyDescent="0.25">
      <c r="A1081" t="s">
        <v>1080</v>
      </c>
    </row>
    <row r="1082" spans="1:1" x14ac:dyDescent="0.25">
      <c r="A1082" t="s">
        <v>1081</v>
      </c>
    </row>
    <row r="1083" spans="1:1" x14ac:dyDescent="0.25">
      <c r="A1083" t="s">
        <v>1082</v>
      </c>
    </row>
    <row r="1084" spans="1:1" x14ac:dyDescent="0.25">
      <c r="A1084" t="s">
        <v>1083</v>
      </c>
    </row>
    <row r="1085" spans="1:1" x14ac:dyDescent="0.25">
      <c r="A1085" t="s">
        <v>1084</v>
      </c>
    </row>
    <row r="1086" spans="1:1" x14ac:dyDescent="0.25">
      <c r="A1086" t="s">
        <v>1085</v>
      </c>
    </row>
    <row r="1087" spans="1:1" x14ac:dyDescent="0.25">
      <c r="A1087" t="s">
        <v>1086</v>
      </c>
    </row>
    <row r="1088" spans="1:1" x14ac:dyDescent="0.25">
      <c r="A1088" t="s">
        <v>1087</v>
      </c>
    </row>
    <row r="1089" spans="1:1" x14ac:dyDescent="0.25">
      <c r="A1089" t="s">
        <v>1088</v>
      </c>
    </row>
    <row r="1090" spans="1:1" x14ac:dyDescent="0.25">
      <c r="A1090" t="s">
        <v>1089</v>
      </c>
    </row>
    <row r="1091" spans="1:1" x14ac:dyDescent="0.25">
      <c r="A1091" t="s">
        <v>1090</v>
      </c>
    </row>
    <row r="1092" spans="1:1" x14ac:dyDescent="0.25">
      <c r="A1092" t="s">
        <v>1091</v>
      </c>
    </row>
    <row r="1093" spans="1:1" x14ac:dyDescent="0.25">
      <c r="A1093" t="s">
        <v>1092</v>
      </c>
    </row>
    <row r="1094" spans="1:1" x14ac:dyDescent="0.25">
      <c r="A1094" t="s">
        <v>1093</v>
      </c>
    </row>
    <row r="1095" spans="1:1" x14ac:dyDescent="0.25">
      <c r="A1095" t="s">
        <v>1094</v>
      </c>
    </row>
    <row r="1096" spans="1:1" x14ac:dyDescent="0.25">
      <c r="A1096" t="s">
        <v>1095</v>
      </c>
    </row>
    <row r="1097" spans="1:1" x14ac:dyDescent="0.25">
      <c r="A1097" t="s">
        <v>1096</v>
      </c>
    </row>
    <row r="1098" spans="1:1" x14ac:dyDescent="0.25">
      <c r="A1098" t="s">
        <v>1097</v>
      </c>
    </row>
    <row r="1099" spans="1:1" x14ac:dyDescent="0.25">
      <c r="A1099" t="s">
        <v>1098</v>
      </c>
    </row>
    <row r="1100" spans="1:1" x14ac:dyDescent="0.25">
      <c r="A1100" t="s">
        <v>1099</v>
      </c>
    </row>
    <row r="1101" spans="1:1" x14ac:dyDescent="0.25">
      <c r="A1101" t="s">
        <v>1100</v>
      </c>
    </row>
    <row r="1102" spans="1:1" x14ac:dyDescent="0.25">
      <c r="A1102" t="s">
        <v>1101</v>
      </c>
    </row>
    <row r="1103" spans="1:1" x14ac:dyDescent="0.25">
      <c r="A1103" t="s">
        <v>1102</v>
      </c>
    </row>
    <row r="1104" spans="1:1" x14ac:dyDescent="0.25">
      <c r="A1104" t="s">
        <v>1103</v>
      </c>
    </row>
    <row r="1105" spans="1:1" x14ac:dyDescent="0.25">
      <c r="A1105" t="s">
        <v>1104</v>
      </c>
    </row>
    <row r="1106" spans="1:1" x14ac:dyDescent="0.25">
      <c r="A1106" t="s">
        <v>1105</v>
      </c>
    </row>
    <row r="1107" spans="1:1" x14ac:dyDescent="0.25">
      <c r="A1107" t="s">
        <v>1106</v>
      </c>
    </row>
    <row r="1108" spans="1:1" x14ac:dyDescent="0.25">
      <c r="A1108" t="s">
        <v>1107</v>
      </c>
    </row>
    <row r="1109" spans="1:1" x14ac:dyDescent="0.25">
      <c r="A1109" t="s">
        <v>1108</v>
      </c>
    </row>
    <row r="1110" spans="1:1" x14ac:dyDescent="0.25">
      <c r="A1110" t="s">
        <v>1109</v>
      </c>
    </row>
    <row r="1111" spans="1:1" x14ac:dyDescent="0.25">
      <c r="A1111" t="s">
        <v>1110</v>
      </c>
    </row>
    <row r="1112" spans="1:1" x14ac:dyDescent="0.25">
      <c r="A1112" t="s">
        <v>1111</v>
      </c>
    </row>
    <row r="1113" spans="1:1" x14ac:dyDescent="0.25">
      <c r="A1113" t="s">
        <v>1112</v>
      </c>
    </row>
    <row r="1114" spans="1:1" x14ac:dyDescent="0.25">
      <c r="A1114" t="s">
        <v>1113</v>
      </c>
    </row>
    <row r="1115" spans="1:1" x14ac:dyDescent="0.25">
      <c r="A1115" t="s">
        <v>1114</v>
      </c>
    </row>
    <row r="1116" spans="1:1" x14ac:dyDescent="0.25">
      <c r="A1116" t="s">
        <v>1115</v>
      </c>
    </row>
    <row r="1117" spans="1:1" x14ac:dyDescent="0.25">
      <c r="A1117" t="s">
        <v>1116</v>
      </c>
    </row>
    <row r="1118" spans="1:1" x14ac:dyDescent="0.25">
      <c r="A1118" t="s">
        <v>1117</v>
      </c>
    </row>
    <row r="1119" spans="1:1" x14ac:dyDescent="0.25">
      <c r="A1119" t="s">
        <v>1118</v>
      </c>
    </row>
    <row r="1120" spans="1:1" x14ac:dyDescent="0.25">
      <c r="A1120" t="s">
        <v>1119</v>
      </c>
    </row>
    <row r="1121" spans="1:1" x14ac:dyDescent="0.25">
      <c r="A1121" t="s">
        <v>1120</v>
      </c>
    </row>
    <row r="1122" spans="1:1" x14ac:dyDescent="0.25">
      <c r="A1122" t="s">
        <v>1121</v>
      </c>
    </row>
    <row r="1123" spans="1:1" x14ac:dyDescent="0.25">
      <c r="A1123" t="s">
        <v>1122</v>
      </c>
    </row>
    <row r="1124" spans="1:1" x14ac:dyDescent="0.25">
      <c r="A1124" t="s">
        <v>1123</v>
      </c>
    </row>
    <row r="1125" spans="1:1" x14ac:dyDescent="0.25">
      <c r="A1125" t="s">
        <v>1124</v>
      </c>
    </row>
    <row r="1126" spans="1:1" x14ac:dyDescent="0.25">
      <c r="A1126" t="s">
        <v>1125</v>
      </c>
    </row>
    <row r="1127" spans="1:1" x14ac:dyDescent="0.25">
      <c r="A1127" t="s">
        <v>1126</v>
      </c>
    </row>
    <row r="1128" spans="1:1" x14ac:dyDescent="0.25">
      <c r="A1128" t="s">
        <v>1127</v>
      </c>
    </row>
    <row r="1129" spans="1:1" x14ac:dyDescent="0.25">
      <c r="A1129" t="s">
        <v>1128</v>
      </c>
    </row>
    <row r="1130" spans="1:1" x14ac:dyDescent="0.25">
      <c r="A1130" t="s">
        <v>1129</v>
      </c>
    </row>
    <row r="1131" spans="1:1" x14ac:dyDescent="0.25">
      <c r="A1131" t="s">
        <v>1130</v>
      </c>
    </row>
    <row r="1132" spans="1:1" x14ac:dyDescent="0.25">
      <c r="A1132" t="s">
        <v>1131</v>
      </c>
    </row>
    <row r="1133" spans="1:1" x14ac:dyDescent="0.25">
      <c r="A1133" t="s">
        <v>1132</v>
      </c>
    </row>
    <row r="1134" spans="1:1" x14ac:dyDescent="0.25">
      <c r="A1134" t="s">
        <v>1133</v>
      </c>
    </row>
    <row r="1135" spans="1:1" x14ac:dyDescent="0.25">
      <c r="A1135" t="s">
        <v>1134</v>
      </c>
    </row>
    <row r="1136" spans="1:1" x14ac:dyDescent="0.25">
      <c r="A1136" t="s">
        <v>1135</v>
      </c>
    </row>
    <row r="1137" spans="1:1" x14ac:dyDescent="0.25">
      <c r="A1137" t="s">
        <v>1136</v>
      </c>
    </row>
    <row r="1138" spans="1:1" x14ac:dyDescent="0.25">
      <c r="A1138" t="s">
        <v>1137</v>
      </c>
    </row>
    <row r="1139" spans="1:1" x14ac:dyDescent="0.25">
      <c r="A1139" t="s">
        <v>1138</v>
      </c>
    </row>
    <row r="1140" spans="1:1" x14ac:dyDescent="0.25">
      <c r="A1140" t="s">
        <v>1139</v>
      </c>
    </row>
    <row r="1141" spans="1:1" x14ac:dyDescent="0.25">
      <c r="A1141" t="s">
        <v>1140</v>
      </c>
    </row>
    <row r="1142" spans="1:1" x14ac:dyDescent="0.25">
      <c r="A1142" t="s">
        <v>1141</v>
      </c>
    </row>
    <row r="1143" spans="1:1" x14ac:dyDescent="0.25">
      <c r="A1143" t="s">
        <v>1142</v>
      </c>
    </row>
    <row r="1144" spans="1:1" x14ac:dyDescent="0.25">
      <c r="A1144" t="s">
        <v>1143</v>
      </c>
    </row>
    <row r="1145" spans="1:1" x14ac:dyDescent="0.25">
      <c r="A1145" t="s">
        <v>1144</v>
      </c>
    </row>
    <row r="1146" spans="1:1" x14ac:dyDescent="0.25">
      <c r="A1146" t="s">
        <v>1145</v>
      </c>
    </row>
    <row r="1147" spans="1:1" x14ac:dyDescent="0.25">
      <c r="A1147" t="s">
        <v>1146</v>
      </c>
    </row>
    <row r="1148" spans="1:1" x14ac:dyDescent="0.25">
      <c r="A1148" t="s">
        <v>1147</v>
      </c>
    </row>
    <row r="1149" spans="1:1" x14ac:dyDescent="0.25">
      <c r="A1149" t="s">
        <v>1148</v>
      </c>
    </row>
    <row r="1150" spans="1:1" x14ac:dyDescent="0.25">
      <c r="A1150" t="s">
        <v>1149</v>
      </c>
    </row>
    <row r="1151" spans="1:1" x14ac:dyDescent="0.25">
      <c r="A1151" t="s">
        <v>1150</v>
      </c>
    </row>
    <row r="1152" spans="1:1" x14ac:dyDescent="0.25">
      <c r="A1152" t="s">
        <v>1151</v>
      </c>
    </row>
    <row r="1153" spans="1:1" x14ac:dyDescent="0.25">
      <c r="A1153" t="s">
        <v>1152</v>
      </c>
    </row>
    <row r="1154" spans="1:1" x14ac:dyDescent="0.25">
      <c r="A1154" t="s">
        <v>1153</v>
      </c>
    </row>
    <row r="1155" spans="1:1" x14ac:dyDescent="0.25">
      <c r="A1155" t="s">
        <v>1154</v>
      </c>
    </row>
    <row r="1156" spans="1:1" x14ac:dyDescent="0.25">
      <c r="A1156" t="s">
        <v>1155</v>
      </c>
    </row>
    <row r="1157" spans="1:1" x14ac:dyDescent="0.25">
      <c r="A1157" t="s">
        <v>1156</v>
      </c>
    </row>
    <row r="1158" spans="1:1" x14ac:dyDescent="0.25">
      <c r="A1158" t="s">
        <v>1157</v>
      </c>
    </row>
    <row r="1159" spans="1:1" x14ac:dyDescent="0.25">
      <c r="A1159" t="s">
        <v>1158</v>
      </c>
    </row>
    <row r="1160" spans="1:1" x14ac:dyDescent="0.25">
      <c r="A1160" t="s">
        <v>1159</v>
      </c>
    </row>
    <row r="1161" spans="1:1" x14ac:dyDescent="0.25">
      <c r="A1161" t="s">
        <v>1160</v>
      </c>
    </row>
    <row r="1162" spans="1:1" x14ac:dyDescent="0.25">
      <c r="A1162" t="s">
        <v>1161</v>
      </c>
    </row>
    <row r="1163" spans="1:1" x14ac:dyDescent="0.25">
      <c r="A1163" t="s">
        <v>1162</v>
      </c>
    </row>
    <row r="1164" spans="1:1" x14ac:dyDescent="0.25">
      <c r="A1164" t="s">
        <v>1163</v>
      </c>
    </row>
    <row r="1165" spans="1:1" x14ac:dyDescent="0.25">
      <c r="A1165" t="s">
        <v>1164</v>
      </c>
    </row>
    <row r="1166" spans="1:1" x14ac:dyDescent="0.25">
      <c r="A1166" t="s">
        <v>1165</v>
      </c>
    </row>
    <row r="1167" spans="1:1" x14ac:dyDescent="0.25">
      <c r="A1167" t="s">
        <v>1166</v>
      </c>
    </row>
    <row r="1168" spans="1:1" x14ac:dyDescent="0.25">
      <c r="A1168" t="s">
        <v>1167</v>
      </c>
    </row>
    <row r="1169" spans="1:1" x14ac:dyDescent="0.25">
      <c r="A1169" t="s">
        <v>1168</v>
      </c>
    </row>
    <row r="1170" spans="1:1" x14ac:dyDescent="0.25">
      <c r="A1170" t="s">
        <v>1169</v>
      </c>
    </row>
    <row r="1171" spans="1:1" x14ac:dyDescent="0.25">
      <c r="A1171" t="s">
        <v>1170</v>
      </c>
    </row>
    <row r="1172" spans="1:1" x14ac:dyDescent="0.25">
      <c r="A1172" t="s">
        <v>1171</v>
      </c>
    </row>
    <row r="1173" spans="1:1" x14ac:dyDescent="0.25">
      <c r="A1173" t="s">
        <v>1172</v>
      </c>
    </row>
    <row r="1174" spans="1:1" x14ac:dyDescent="0.25">
      <c r="A1174" t="s">
        <v>1173</v>
      </c>
    </row>
    <row r="1175" spans="1:1" x14ac:dyDescent="0.25">
      <c r="A1175" t="s">
        <v>1174</v>
      </c>
    </row>
    <row r="1176" spans="1:1" x14ac:dyDescent="0.25">
      <c r="A1176" t="s">
        <v>1175</v>
      </c>
    </row>
    <row r="1177" spans="1:1" x14ac:dyDescent="0.25">
      <c r="A1177" t="s">
        <v>1176</v>
      </c>
    </row>
    <row r="1178" spans="1:1" x14ac:dyDescent="0.25">
      <c r="A1178" t="s">
        <v>1177</v>
      </c>
    </row>
    <row r="1179" spans="1:1" x14ac:dyDescent="0.25">
      <c r="A1179" t="s">
        <v>1178</v>
      </c>
    </row>
    <row r="1180" spans="1:1" x14ac:dyDescent="0.25">
      <c r="A1180" t="s">
        <v>1179</v>
      </c>
    </row>
    <row r="1181" spans="1:1" x14ac:dyDescent="0.25">
      <c r="A1181" t="s">
        <v>1180</v>
      </c>
    </row>
    <row r="1182" spans="1:1" x14ac:dyDescent="0.25">
      <c r="A1182" t="s">
        <v>1181</v>
      </c>
    </row>
    <row r="1183" spans="1:1" x14ac:dyDescent="0.25">
      <c r="A1183" t="s">
        <v>1182</v>
      </c>
    </row>
    <row r="1184" spans="1:1" x14ac:dyDescent="0.25">
      <c r="A1184" t="s">
        <v>1183</v>
      </c>
    </row>
    <row r="1185" spans="1:1" x14ac:dyDescent="0.25">
      <c r="A1185" t="s">
        <v>1184</v>
      </c>
    </row>
    <row r="1186" spans="1:1" x14ac:dyDescent="0.25">
      <c r="A1186" t="s">
        <v>1185</v>
      </c>
    </row>
    <row r="1187" spans="1:1" x14ac:dyDescent="0.25">
      <c r="A1187" t="s">
        <v>1186</v>
      </c>
    </row>
    <row r="1188" spans="1:1" x14ac:dyDescent="0.25">
      <c r="A1188" t="s">
        <v>1187</v>
      </c>
    </row>
    <row r="1189" spans="1:1" x14ac:dyDescent="0.25">
      <c r="A1189" t="s">
        <v>1188</v>
      </c>
    </row>
    <row r="1190" spans="1:1" x14ac:dyDescent="0.25">
      <c r="A1190" t="s">
        <v>1189</v>
      </c>
    </row>
    <row r="1191" spans="1:1" x14ac:dyDescent="0.25">
      <c r="A1191" t="s">
        <v>1190</v>
      </c>
    </row>
    <row r="1192" spans="1:1" x14ac:dyDescent="0.25">
      <c r="A1192" t="s">
        <v>1191</v>
      </c>
    </row>
    <row r="1193" spans="1:1" x14ac:dyDescent="0.25">
      <c r="A1193" t="s">
        <v>1192</v>
      </c>
    </row>
    <row r="1194" spans="1:1" x14ac:dyDescent="0.25">
      <c r="A1194" t="s">
        <v>1193</v>
      </c>
    </row>
    <row r="1195" spans="1:1" x14ac:dyDescent="0.25">
      <c r="A1195" t="s">
        <v>1194</v>
      </c>
    </row>
    <row r="1196" spans="1:1" x14ac:dyDescent="0.25">
      <c r="A1196" t="s">
        <v>1195</v>
      </c>
    </row>
    <row r="1197" spans="1:1" x14ac:dyDescent="0.25">
      <c r="A1197" t="s">
        <v>1196</v>
      </c>
    </row>
    <row r="1198" spans="1:1" x14ac:dyDescent="0.25">
      <c r="A1198" t="s">
        <v>1197</v>
      </c>
    </row>
    <row r="1199" spans="1:1" x14ac:dyDescent="0.25">
      <c r="A1199" t="s">
        <v>1198</v>
      </c>
    </row>
    <row r="1200" spans="1:1" x14ac:dyDescent="0.25">
      <c r="A1200" t="s">
        <v>1199</v>
      </c>
    </row>
    <row r="1201" spans="1:1" x14ac:dyDescent="0.25">
      <c r="A1201" t="s">
        <v>1200</v>
      </c>
    </row>
    <row r="1202" spans="1:1" x14ac:dyDescent="0.25">
      <c r="A1202" t="s">
        <v>1201</v>
      </c>
    </row>
    <row r="1203" spans="1:1" x14ac:dyDescent="0.25">
      <c r="A1203" t="s">
        <v>1202</v>
      </c>
    </row>
    <row r="1204" spans="1:1" x14ac:dyDescent="0.25">
      <c r="A1204" t="s">
        <v>1203</v>
      </c>
    </row>
    <row r="1205" spans="1:1" x14ac:dyDescent="0.25">
      <c r="A1205" t="s">
        <v>1204</v>
      </c>
    </row>
    <row r="1206" spans="1:1" x14ac:dyDescent="0.25">
      <c r="A1206" t="s">
        <v>1205</v>
      </c>
    </row>
    <row r="1207" spans="1:1" x14ac:dyDescent="0.25">
      <c r="A1207" t="s">
        <v>1206</v>
      </c>
    </row>
    <row r="1208" spans="1:1" x14ac:dyDescent="0.25">
      <c r="A1208" t="s">
        <v>1207</v>
      </c>
    </row>
    <row r="1209" spans="1:1" x14ac:dyDescent="0.25">
      <c r="A1209" t="s">
        <v>1208</v>
      </c>
    </row>
    <row r="1210" spans="1:1" x14ac:dyDescent="0.25">
      <c r="A1210" t="s">
        <v>1209</v>
      </c>
    </row>
    <row r="1211" spans="1:1" x14ac:dyDescent="0.25">
      <c r="A1211" t="s">
        <v>1210</v>
      </c>
    </row>
    <row r="1212" spans="1:1" x14ac:dyDescent="0.25">
      <c r="A1212" t="s">
        <v>1211</v>
      </c>
    </row>
    <row r="1213" spans="1:1" x14ac:dyDescent="0.25">
      <c r="A1213" t="s">
        <v>1212</v>
      </c>
    </row>
    <row r="1214" spans="1:1" x14ac:dyDescent="0.25">
      <c r="A1214" t="s">
        <v>1213</v>
      </c>
    </row>
    <row r="1215" spans="1:1" x14ac:dyDescent="0.25">
      <c r="A1215" t="s">
        <v>1214</v>
      </c>
    </row>
    <row r="1216" spans="1:1" x14ac:dyDescent="0.25">
      <c r="A1216" t="s">
        <v>1215</v>
      </c>
    </row>
    <row r="1217" spans="1:1" x14ac:dyDescent="0.25">
      <c r="A1217" t="s">
        <v>1216</v>
      </c>
    </row>
    <row r="1218" spans="1:1" x14ac:dyDescent="0.25">
      <c r="A1218" t="s">
        <v>1217</v>
      </c>
    </row>
    <row r="1219" spans="1:1" x14ac:dyDescent="0.25">
      <c r="A1219" t="s">
        <v>1218</v>
      </c>
    </row>
    <row r="1220" spans="1:1" x14ac:dyDescent="0.25">
      <c r="A1220" t="s">
        <v>1219</v>
      </c>
    </row>
    <row r="1221" spans="1:1" x14ac:dyDescent="0.25">
      <c r="A1221" t="s">
        <v>1220</v>
      </c>
    </row>
    <row r="1222" spans="1:1" x14ac:dyDescent="0.25">
      <c r="A1222" t="s">
        <v>1221</v>
      </c>
    </row>
    <row r="1223" spans="1:1" x14ac:dyDescent="0.25">
      <c r="A1223" t="s">
        <v>1222</v>
      </c>
    </row>
    <row r="1224" spans="1:1" x14ac:dyDescent="0.25">
      <c r="A1224" t="s">
        <v>1223</v>
      </c>
    </row>
    <row r="1225" spans="1:1" x14ac:dyDescent="0.25">
      <c r="A1225" t="s">
        <v>1224</v>
      </c>
    </row>
    <row r="1226" spans="1:1" x14ac:dyDescent="0.25">
      <c r="A1226" t="s">
        <v>1225</v>
      </c>
    </row>
    <row r="1227" spans="1:1" x14ac:dyDescent="0.25">
      <c r="A1227" t="s">
        <v>1226</v>
      </c>
    </row>
    <row r="1228" spans="1:1" x14ac:dyDescent="0.25">
      <c r="A1228" t="s">
        <v>1227</v>
      </c>
    </row>
    <row r="1229" spans="1:1" x14ac:dyDescent="0.25">
      <c r="A1229" t="s">
        <v>1228</v>
      </c>
    </row>
    <row r="1230" spans="1:1" x14ac:dyDescent="0.25">
      <c r="A1230" t="s">
        <v>1229</v>
      </c>
    </row>
    <row r="1231" spans="1:1" x14ac:dyDescent="0.25">
      <c r="A1231" t="s">
        <v>1230</v>
      </c>
    </row>
    <row r="1232" spans="1:1" x14ac:dyDescent="0.25">
      <c r="A1232" t="s">
        <v>1231</v>
      </c>
    </row>
    <row r="1233" spans="1:1" x14ac:dyDescent="0.25">
      <c r="A1233" t="s">
        <v>1232</v>
      </c>
    </row>
    <row r="1234" spans="1:1" x14ac:dyDescent="0.25">
      <c r="A1234" t="s">
        <v>1233</v>
      </c>
    </row>
    <row r="1235" spans="1:1" x14ac:dyDescent="0.25">
      <c r="A1235" t="s">
        <v>1234</v>
      </c>
    </row>
    <row r="1236" spans="1:1" x14ac:dyDescent="0.25">
      <c r="A1236" t="s">
        <v>1235</v>
      </c>
    </row>
    <row r="1237" spans="1:1" x14ac:dyDescent="0.25">
      <c r="A1237" t="s">
        <v>1236</v>
      </c>
    </row>
    <row r="1238" spans="1:1" x14ac:dyDescent="0.25">
      <c r="A1238" t="s">
        <v>1237</v>
      </c>
    </row>
    <row r="1239" spans="1:1" x14ac:dyDescent="0.25">
      <c r="A1239" t="s">
        <v>1238</v>
      </c>
    </row>
    <row r="1240" spans="1:1" x14ac:dyDescent="0.25">
      <c r="A1240" t="s">
        <v>1239</v>
      </c>
    </row>
    <row r="1241" spans="1:1" x14ac:dyDescent="0.25">
      <c r="A1241" t="s">
        <v>1240</v>
      </c>
    </row>
    <row r="1242" spans="1:1" x14ac:dyDescent="0.25">
      <c r="A1242" t="s">
        <v>1241</v>
      </c>
    </row>
    <row r="1243" spans="1:1" x14ac:dyDescent="0.25">
      <c r="A1243" t="s">
        <v>1242</v>
      </c>
    </row>
    <row r="1244" spans="1:1" x14ac:dyDescent="0.25">
      <c r="A1244" t="s">
        <v>1243</v>
      </c>
    </row>
    <row r="1245" spans="1:1" x14ac:dyDescent="0.25">
      <c r="A1245" t="s">
        <v>1244</v>
      </c>
    </row>
    <row r="1246" spans="1:1" x14ac:dyDescent="0.25">
      <c r="A1246" t="s">
        <v>1245</v>
      </c>
    </row>
    <row r="1247" spans="1:1" x14ac:dyDescent="0.25">
      <c r="A1247" t="s">
        <v>1246</v>
      </c>
    </row>
    <row r="1248" spans="1:1" x14ac:dyDescent="0.25">
      <c r="A1248" t="s">
        <v>1247</v>
      </c>
    </row>
    <row r="1249" spans="1:1" x14ac:dyDescent="0.25">
      <c r="A1249" t="s">
        <v>1248</v>
      </c>
    </row>
    <row r="1250" spans="1:1" x14ac:dyDescent="0.25">
      <c r="A1250" t="s">
        <v>1249</v>
      </c>
    </row>
    <row r="1251" spans="1:1" x14ac:dyDescent="0.25">
      <c r="A1251" t="s">
        <v>1250</v>
      </c>
    </row>
    <row r="1252" spans="1:1" x14ac:dyDescent="0.25">
      <c r="A1252" t="s">
        <v>1251</v>
      </c>
    </row>
    <row r="1253" spans="1:1" x14ac:dyDescent="0.25">
      <c r="A1253" t="s">
        <v>1252</v>
      </c>
    </row>
    <row r="1254" spans="1:1" x14ac:dyDescent="0.25">
      <c r="A1254" t="s">
        <v>1253</v>
      </c>
    </row>
    <row r="1255" spans="1:1" x14ac:dyDescent="0.25">
      <c r="A1255" t="s">
        <v>1254</v>
      </c>
    </row>
    <row r="1256" spans="1:1" x14ac:dyDescent="0.25">
      <c r="A1256" t="s">
        <v>1255</v>
      </c>
    </row>
    <row r="1257" spans="1:1" x14ac:dyDescent="0.25">
      <c r="A1257" t="s">
        <v>1256</v>
      </c>
    </row>
    <row r="1258" spans="1:1" x14ac:dyDescent="0.25">
      <c r="A1258" t="s">
        <v>1257</v>
      </c>
    </row>
    <row r="1259" spans="1:1" x14ac:dyDescent="0.25">
      <c r="A1259" t="s">
        <v>1258</v>
      </c>
    </row>
    <row r="1260" spans="1:1" x14ac:dyDescent="0.25">
      <c r="A1260" t="s">
        <v>1259</v>
      </c>
    </row>
    <row r="1261" spans="1:1" x14ac:dyDescent="0.25">
      <c r="A1261" t="s">
        <v>1260</v>
      </c>
    </row>
    <row r="1262" spans="1:1" x14ac:dyDescent="0.25">
      <c r="A1262" t="s">
        <v>1261</v>
      </c>
    </row>
    <row r="1263" spans="1:1" x14ac:dyDescent="0.25">
      <c r="A1263" t="s">
        <v>1262</v>
      </c>
    </row>
    <row r="1264" spans="1:1" x14ac:dyDescent="0.25">
      <c r="A1264" t="s">
        <v>1263</v>
      </c>
    </row>
    <row r="1265" spans="1:1" x14ac:dyDescent="0.25">
      <c r="A1265" t="s">
        <v>1264</v>
      </c>
    </row>
    <row r="1266" spans="1:1" x14ac:dyDescent="0.25">
      <c r="A1266" t="s">
        <v>1265</v>
      </c>
    </row>
    <row r="1267" spans="1:1" x14ac:dyDescent="0.25">
      <c r="A1267" t="s">
        <v>1266</v>
      </c>
    </row>
    <row r="1268" spans="1:1" x14ac:dyDescent="0.25">
      <c r="A1268" t="s">
        <v>1267</v>
      </c>
    </row>
    <row r="1269" spans="1:1" x14ac:dyDescent="0.25">
      <c r="A1269" t="s">
        <v>1268</v>
      </c>
    </row>
    <row r="1270" spans="1:1" x14ac:dyDescent="0.25">
      <c r="A1270" t="s">
        <v>1269</v>
      </c>
    </row>
    <row r="1271" spans="1:1" x14ac:dyDescent="0.25">
      <c r="A1271" t="s">
        <v>1270</v>
      </c>
    </row>
    <row r="1272" spans="1:1" x14ac:dyDescent="0.25">
      <c r="A1272" t="s">
        <v>1271</v>
      </c>
    </row>
    <row r="1273" spans="1:1" x14ac:dyDescent="0.25">
      <c r="A1273" t="s">
        <v>1272</v>
      </c>
    </row>
    <row r="1274" spans="1:1" x14ac:dyDescent="0.25">
      <c r="A1274" t="s">
        <v>1273</v>
      </c>
    </row>
    <row r="1275" spans="1:1" x14ac:dyDescent="0.25">
      <c r="A1275" t="s">
        <v>1274</v>
      </c>
    </row>
    <row r="1276" spans="1:1" x14ac:dyDescent="0.25">
      <c r="A1276" t="s">
        <v>1275</v>
      </c>
    </row>
    <row r="1277" spans="1:1" x14ac:dyDescent="0.25">
      <c r="A1277" t="s">
        <v>1276</v>
      </c>
    </row>
    <row r="1278" spans="1:1" x14ac:dyDescent="0.25">
      <c r="A1278" t="s">
        <v>1277</v>
      </c>
    </row>
    <row r="1279" spans="1:1" x14ac:dyDescent="0.25">
      <c r="A1279" t="s">
        <v>1278</v>
      </c>
    </row>
    <row r="1280" spans="1:1" x14ac:dyDescent="0.25">
      <c r="A1280" t="s">
        <v>1279</v>
      </c>
    </row>
    <row r="1281" spans="1:1" x14ac:dyDescent="0.25">
      <c r="A1281" t="s">
        <v>1280</v>
      </c>
    </row>
    <row r="1282" spans="1:1" x14ac:dyDescent="0.25">
      <c r="A1282" t="s">
        <v>1281</v>
      </c>
    </row>
    <row r="1283" spans="1:1" x14ac:dyDescent="0.25">
      <c r="A1283" t="s">
        <v>1282</v>
      </c>
    </row>
    <row r="1284" spans="1:1" x14ac:dyDescent="0.25">
      <c r="A1284" t="s">
        <v>1283</v>
      </c>
    </row>
    <row r="1285" spans="1:1" x14ac:dyDescent="0.25">
      <c r="A1285" t="s">
        <v>1284</v>
      </c>
    </row>
    <row r="1286" spans="1:1" x14ac:dyDescent="0.25">
      <c r="A1286" t="s">
        <v>1285</v>
      </c>
    </row>
    <row r="1287" spans="1:1" x14ac:dyDescent="0.25">
      <c r="A1287" t="s">
        <v>1286</v>
      </c>
    </row>
    <row r="1288" spans="1:1" x14ac:dyDescent="0.25">
      <c r="A1288" t="s">
        <v>1287</v>
      </c>
    </row>
    <row r="1289" spans="1:1" x14ac:dyDescent="0.25">
      <c r="A1289" t="s">
        <v>1288</v>
      </c>
    </row>
    <row r="1290" spans="1:1" x14ac:dyDescent="0.25">
      <c r="A1290" t="s">
        <v>1289</v>
      </c>
    </row>
    <row r="1291" spans="1:1" x14ac:dyDescent="0.25">
      <c r="A1291" t="s">
        <v>1290</v>
      </c>
    </row>
    <row r="1292" spans="1:1" x14ac:dyDescent="0.25">
      <c r="A1292" t="s">
        <v>1291</v>
      </c>
    </row>
    <row r="1293" spans="1:1" x14ac:dyDescent="0.25">
      <c r="A1293" t="s">
        <v>1292</v>
      </c>
    </row>
    <row r="1294" spans="1:1" x14ac:dyDescent="0.25">
      <c r="A1294" t="s">
        <v>1293</v>
      </c>
    </row>
    <row r="1295" spans="1:1" x14ac:dyDescent="0.25">
      <c r="A1295" t="s">
        <v>1294</v>
      </c>
    </row>
    <row r="1296" spans="1:1" x14ac:dyDescent="0.25">
      <c r="A1296" t="s">
        <v>1295</v>
      </c>
    </row>
    <row r="1297" spans="1:1" x14ac:dyDescent="0.25">
      <c r="A1297" t="s">
        <v>1296</v>
      </c>
    </row>
    <row r="1298" spans="1:1" x14ac:dyDescent="0.25">
      <c r="A1298" t="s">
        <v>1297</v>
      </c>
    </row>
    <row r="1299" spans="1:1" x14ac:dyDescent="0.25">
      <c r="A1299" t="s">
        <v>1298</v>
      </c>
    </row>
    <row r="1300" spans="1:1" x14ac:dyDescent="0.25">
      <c r="A1300" t="s">
        <v>1299</v>
      </c>
    </row>
    <row r="1301" spans="1:1" x14ac:dyDescent="0.25">
      <c r="A1301" t="s">
        <v>1300</v>
      </c>
    </row>
    <row r="1302" spans="1:1" x14ac:dyDescent="0.25">
      <c r="A1302" t="s">
        <v>1301</v>
      </c>
    </row>
    <row r="1303" spans="1:1" x14ac:dyDescent="0.25">
      <c r="A1303" t="s">
        <v>1302</v>
      </c>
    </row>
    <row r="1304" spans="1:1" x14ac:dyDescent="0.25">
      <c r="A1304" t="s">
        <v>1303</v>
      </c>
    </row>
    <row r="1305" spans="1:1" x14ac:dyDescent="0.25">
      <c r="A1305" t="s">
        <v>1304</v>
      </c>
    </row>
    <row r="1306" spans="1:1" x14ac:dyDescent="0.25">
      <c r="A1306" t="s">
        <v>1305</v>
      </c>
    </row>
    <row r="1307" spans="1:1" x14ac:dyDescent="0.25">
      <c r="A1307" t="s">
        <v>1306</v>
      </c>
    </row>
    <row r="1308" spans="1:1" x14ac:dyDescent="0.25">
      <c r="A1308" t="s">
        <v>1307</v>
      </c>
    </row>
    <row r="1309" spans="1:1" x14ac:dyDescent="0.25">
      <c r="A1309" t="s">
        <v>1308</v>
      </c>
    </row>
    <row r="1310" spans="1:1" x14ac:dyDescent="0.25">
      <c r="A1310" t="s">
        <v>1309</v>
      </c>
    </row>
    <row r="1311" spans="1:1" x14ac:dyDescent="0.25">
      <c r="A1311" t="s">
        <v>1310</v>
      </c>
    </row>
    <row r="1312" spans="1:1" x14ac:dyDescent="0.25">
      <c r="A1312" t="s">
        <v>1311</v>
      </c>
    </row>
    <row r="1313" spans="1:1" x14ac:dyDescent="0.25">
      <c r="A1313" t="s">
        <v>1312</v>
      </c>
    </row>
    <row r="1314" spans="1:1" x14ac:dyDescent="0.25">
      <c r="A1314" t="s">
        <v>1313</v>
      </c>
    </row>
    <row r="1315" spans="1:1" x14ac:dyDescent="0.25">
      <c r="A1315" t="s">
        <v>1314</v>
      </c>
    </row>
    <row r="1316" spans="1:1" x14ac:dyDescent="0.25">
      <c r="A1316" t="s">
        <v>1315</v>
      </c>
    </row>
    <row r="1317" spans="1:1" x14ac:dyDescent="0.25">
      <c r="A1317" t="s">
        <v>1316</v>
      </c>
    </row>
    <row r="1318" spans="1:1" x14ac:dyDescent="0.25">
      <c r="A1318" t="s">
        <v>1317</v>
      </c>
    </row>
    <row r="1319" spans="1:1" x14ac:dyDescent="0.25">
      <c r="A1319" t="s">
        <v>1318</v>
      </c>
    </row>
    <row r="1320" spans="1:1" x14ac:dyDescent="0.25">
      <c r="A1320" t="s">
        <v>1319</v>
      </c>
    </row>
    <row r="1321" spans="1:1" x14ac:dyDescent="0.25">
      <c r="A1321" t="s">
        <v>1320</v>
      </c>
    </row>
    <row r="1322" spans="1:1" x14ac:dyDescent="0.25">
      <c r="A1322" t="s">
        <v>1321</v>
      </c>
    </row>
    <row r="1323" spans="1:1" x14ac:dyDescent="0.25">
      <c r="A1323" t="s">
        <v>1322</v>
      </c>
    </row>
    <row r="1324" spans="1:1" x14ac:dyDescent="0.25">
      <c r="A1324" t="s">
        <v>1323</v>
      </c>
    </row>
    <row r="1325" spans="1:1" x14ac:dyDescent="0.25">
      <c r="A1325" t="s">
        <v>1324</v>
      </c>
    </row>
    <row r="1326" spans="1:1" x14ac:dyDescent="0.25">
      <c r="A1326" t="s">
        <v>1325</v>
      </c>
    </row>
    <row r="1327" spans="1:1" x14ac:dyDescent="0.25">
      <c r="A1327" t="s">
        <v>1326</v>
      </c>
    </row>
    <row r="1328" spans="1:1" x14ac:dyDescent="0.25">
      <c r="A1328" t="s">
        <v>1327</v>
      </c>
    </row>
    <row r="1329" spans="1:1" x14ac:dyDescent="0.25">
      <c r="A1329" t="s">
        <v>1328</v>
      </c>
    </row>
    <row r="1330" spans="1:1" x14ac:dyDescent="0.25">
      <c r="A1330" t="s">
        <v>1329</v>
      </c>
    </row>
    <row r="1331" spans="1:1" x14ac:dyDescent="0.25">
      <c r="A1331" t="s">
        <v>1330</v>
      </c>
    </row>
    <row r="1332" spans="1:1" x14ac:dyDescent="0.25">
      <c r="A1332" t="s">
        <v>1331</v>
      </c>
    </row>
    <row r="1333" spans="1:1" x14ac:dyDescent="0.25">
      <c r="A1333" t="s">
        <v>1332</v>
      </c>
    </row>
    <row r="1334" spans="1:1" x14ac:dyDescent="0.25">
      <c r="A1334" t="s">
        <v>1333</v>
      </c>
    </row>
    <row r="1335" spans="1:1" x14ac:dyDescent="0.25">
      <c r="A1335" t="s">
        <v>1334</v>
      </c>
    </row>
    <row r="1336" spans="1:1" x14ac:dyDescent="0.25">
      <c r="A1336" t="s">
        <v>1335</v>
      </c>
    </row>
    <row r="1337" spans="1:1" x14ac:dyDescent="0.25">
      <c r="A1337" t="s">
        <v>1336</v>
      </c>
    </row>
    <row r="1338" spans="1:1" x14ac:dyDescent="0.25">
      <c r="A1338" t="s">
        <v>1337</v>
      </c>
    </row>
    <row r="1339" spans="1:1" x14ac:dyDescent="0.25">
      <c r="A1339" t="s">
        <v>1338</v>
      </c>
    </row>
    <row r="1340" spans="1:1" x14ac:dyDescent="0.25">
      <c r="A1340" t="s">
        <v>1339</v>
      </c>
    </row>
    <row r="1341" spans="1:1" x14ac:dyDescent="0.25">
      <c r="A1341" t="s">
        <v>1340</v>
      </c>
    </row>
    <row r="1342" spans="1:1" x14ac:dyDescent="0.25">
      <c r="A1342" t="s">
        <v>1341</v>
      </c>
    </row>
    <row r="1343" spans="1:1" x14ac:dyDescent="0.25">
      <c r="A1343" t="s">
        <v>1342</v>
      </c>
    </row>
    <row r="1344" spans="1:1" x14ac:dyDescent="0.25">
      <c r="A1344" t="s">
        <v>1343</v>
      </c>
    </row>
    <row r="1345" spans="1:1" x14ac:dyDescent="0.25">
      <c r="A1345" t="s">
        <v>1344</v>
      </c>
    </row>
    <row r="1346" spans="1:1" x14ac:dyDescent="0.25">
      <c r="A1346" t="s">
        <v>1345</v>
      </c>
    </row>
    <row r="1347" spans="1:1" x14ac:dyDescent="0.25">
      <c r="A1347" t="s">
        <v>1346</v>
      </c>
    </row>
    <row r="1348" spans="1:1" x14ac:dyDescent="0.25">
      <c r="A1348" t="s">
        <v>1347</v>
      </c>
    </row>
    <row r="1349" spans="1:1" x14ac:dyDescent="0.25">
      <c r="A1349" t="s">
        <v>1348</v>
      </c>
    </row>
    <row r="1350" spans="1:1" x14ac:dyDescent="0.25">
      <c r="A1350" t="s">
        <v>1349</v>
      </c>
    </row>
    <row r="1351" spans="1:1" x14ac:dyDescent="0.25">
      <c r="A1351" t="s">
        <v>1350</v>
      </c>
    </row>
    <row r="1352" spans="1:1" x14ac:dyDescent="0.25">
      <c r="A1352" t="s">
        <v>1351</v>
      </c>
    </row>
    <row r="1353" spans="1:1" x14ac:dyDescent="0.25">
      <c r="A1353" t="s">
        <v>1352</v>
      </c>
    </row>
    <row r="1354" spans="1:1" x14ac:dyDescent="0.25">
      <c r="A1354" t="s">
        <v>1353</v>
      </c>
    </row>
    <row r="1355" spans="1:1" x14ac:dyDescent="0.25">
      <c r="A1355" t="s">
        <v>1354</v>
      </c>
    </row>
    <row r="1356" spans="1:1" x14ac:dyDescent="0.25">
      <c r="A1356" t="s">
        <v>1355</v>
      </c>
    </row>
    <row r="1357" spans="1:1" x14ac:dyDescent="0.25">
      <c r="A1357" t="s">
        <v>1356</v>
      </c>
    </row>
    <row r="1358" spans="1:1" x14ac:dyDescent="0.25">
      <c r="A1358" t="s">
        <v>1357</v>
      </c>
    </row>
    <row r="1359" spans="1:1" x14ac:dyDescent="0.25">
      <c r="A1359" t="s">
        <v>1358</v>
      </c>
    </row>
    <row r="1360" spans="1:1" x14ac:dyDescent="0.25">
      <c r="A1360" t="s">
        <v>1359</v>
      </c>
    </row>
    <row r="1361" spans="1:1" x14ac:dyDescent="0.25">
      <c r="A1361" t="s">
        <v>1360</v>
      </c>
    </row>
    <row r="1362" spans="1:1" x14ac:dyDescent="0.25">
      <c r="A1362" t="s">
        <v>1361</v>
      </c>
    </row>
    <row r="1363" spans="1:1" x14ac:dyDescent="0.25">
      <c r="A1363" t="s">
        <v>1362</v>
      </c>
    </row>
    <row r="1364" spans="1:1" x14ac:dyDescent="0.25">
      <c r="A1364" t="s">
        <v>1363</v>
      </c>
    </row>
    <row r="1365" spans="1:1" x14ac:dyDescent="0.25">
      <c r="A1365" t="s">
        <v>1364</v>
      </c>
    </row>
    <row r="1366" spans="1:1" x14ac:dyDescent="0.25">
      <c r="A1366" t="s">
        <v>1365</v>
      </c>
    </row>
    <row r="1367" spans="1:1" x14ac:dyDescent="0.25">
      <c r="A1367" t="s">
        <v>1366</v>
      </c>
    </row>
    <row r="1368" spans="1:1" x14ac:dyDescent="0.25">
      <c r="A1368" t="s">
        <v>1367</v>
      </c>
    </row>
    <row r="1369" spans="1:1" x14ac:dyDescent="0.25">
      <c r="A1369" t="s">
        <v>1368</v>
      </c>
    </row>
    <row r="1370" spans="1:1" x14ac:dyDescent="0.25">
      <c r="A1370" t="s">
        <v>1369</v>
      </c>
    </row>
    <row r="1371" spans="1:1" x14ac:dyDescent="0.25">
      <c r="A1371" t="s">
        <v>1370</v>
      </c>
    </row>
    <row r="1372" spans="1:1" x14ac:dyDescent="0.25">
      <c r="A1372" t="s">
        <v>1371</v>
      </c>
    </row>
    <row r="1373" spans="1:1" x14ac:dyDescent="0.25">
      <c r="A1373" t="s">
        <v>1372</v>
      </c>
    </row>
    <row r="1374" spans="1:1" x14ac:dyDescent="0.25">
      <c r="A1374" t="s">
        <v>1373</v>
      </c>
    </row>
    <row r="1375" spans="1:1" x14ac:dyDescent="0.25">
      <c r="A1375" t="s">
        <v>1374</v>
      </c>
    </row>
    <row r="1376" spans="1:1" x14ac:dyDescent="0.25">
      <c r="A1376" t="s">
        <v>1375</v>
      </c>
    </row>
    <row r="1377" spans="1:1" x14ac:dyDescent="0.25">
      <c r="A1377" t="s">
        <v>1376</v>
      </c>
    </row>
    <row r="1378" spans="1:1" x14ac:dyDescent="0.25">
      <c r="A1378" t="s">
        <v>1377</v>
      </c>
    </row>
    <row r="1379" spans="1:1" x14ac:dyDescent="0.25">
      <c r="A1379" t="s">
        <v>1378</v>
      </c>
    </row>
    <row r="1380" spans="1:1" x14ac:dyDescent="0.25">
      <c r="A1380" t="s">
        <v>1379</v>
      </c>
    </row>
    <row r="1381" spans="1:1" x14ac:dyDescent="0.25">
      <c r="A1381" t="s">
        <v>1380</v>
      </c>
    </row>
    <row r="1382" spans="1:1" x14ac:dyDescent="0.25">
      <c r="A1382" t="s">
        <v>1381</v>
      </c>
    </row>
    <row r="1383" spans="1:1" x14ac:dyDescent="0.25">
      <c r="A1383" t="s">
        <v>1382</v>
      </c>
    </row>
    <row r="1384" spans="1:1" x14ac:dyDescent="0.25">
      <c r="A1384" t="s">
        <v>1383</v>
      </c>
    </row>
    <row r="1385" spans="1:1" x14ac:dyDescent="0.25">
      <c r="A1385" t="s">
        <v>1384</v>
      </c>
    </row>
    <row r="1386" spans="1:1" x14ac:dyDescent="0.25">
      <c r="A1386" t="s">
        <v>1385</v>
      </c>
    </row>
    <row r="1387" spans="1:1" x14ac:dyDescent="0.25">
      <c r="A1387" t="s">
        <v>1386</v>
      </c>
    </row>
    <row r="1388" spans="1:1" x14ac:dyDescent="0.25">
      <c r="A1388" t="s">
        <v>1387</v>
      </c>
    </row>
    <row r="1389" spans="1:1" x14ac:dyDescent="0.25">
      <c r="A1389" t="s">
        <v>1388</v>
      </c>
    </row>
    <row r="1390" spans="1:1" x14ac:dyDescent="0.25">
      <c r="A1390" t="s">
        <v>1389</v>
      </c>
    </row>
    <row r="1391" spans="1:1" x14ac:dyDescent="0.25">
      <c r="A1391" t="s">
        <v>1390</v>
      </c>
    </row>
    <row r="1392" spans="1:1" x14ac:dyDescent="0.25">
      <c r="A1392" t="s">
        <v>1391</v>
      </c>
    </row>
    <row r="1393" spans="1:1" x14ac:dyDescent="0.25">
      <c r="A1393" t="s">
        <v>1392</v>
      </c>
    </row>
    <row r="1394" spans="1:1" x14ac:dyDescent="0.25">
      <c r="A1394" t="s">
        <v>1393</v>
      </c>
    </row>
    <row r="1395" spans="1:1" x14ac:dyDescent="0.25">
      <c r="A1395" t="s">
        <v>1394</v>
      </c>
    </row>
    <row r="1396" spans="1:1" x14ac:dyDescent="0.25">
      <c r="A1396" t="s">
        <v>1395</v>
      </c>
    </row>
    <row r="1397" spans="1:1" x14ac:dyDescent="0.25">
      <c r="A1397" t="s">
        <v>1396</v>
      </c>
    </row>
    <row r="1398" spans="1:1" x14ac:dyDescent="0.25">
      <c r="A1398" t="s">
        <v>1397</v>
      </c>
    </row>
    <row r="1399" spans="1:1" x14ac:dyDescent="0.25">
      <c r="A1399" t="s">
        <v>1398</v>
      </c>
    </row>
    <row r="1400" spans="1:1" x14ac:dyDescent="0.25">
      <c r="A1400" t="s">
        <v>1399</v>
      </c>
    </row>
    <row r="1401" spans="1:1" x14ac:dyDescent="0.25">
      <c r="A1401" t="s">
        <v>1400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D7172-FD87-4FCB-988C-50025BA7389B}">
  <sheetPr>
    <pageSetUpPr fitToPage="1"/>
  </sheetPr>
  <dimension ref="A1:P1402"/>
  <sheetViews>
    <sheetView workbookViewId="0">
      <selection sqref="A1:L1402"/>
    </sheetView>
  </sheetViews>
  <sheetFormatPr defaultRowHeight="15" x14ac:dyDescent="0.25"/>
  <cols>
    <col min="1" max="1" width="28.7109375" customWidth="1"/>
    <col min="2" max="2" width="20.42578125" customWidth="1"/>
    <col min="4" max="5" width="27.28515625" customWidth="1"/>
    <col min="7" max="7" width="13.28515625" customWidth="1"/>
    <col min="8" max="8" width="28.85546875" customWidth="1"/>
    <col min="11" max="11" width="19.28515625" customWidth="1"/>
    <col min="12" max="12" width="9.140625" customWidth="1"/>
    <col min="13" max="13" width="22.42578125" customWidth="1"/>
    <col min="14" max="14" width="7.7109375" customWidth="1"/>
    <col min="15" max="15" width="18.140625" customWidth="1"/>
  </cols>
  <sheetData>
    <row r="1" spans="1:16" ht="15.75" thickBot="1" x14ac:dyDescent="0.3">
      <c r="A1" s="35" t="s">
        <v>3715</v>
      </c>
      <c r="B1" s="36"/>
      <c r="C1" s="36"/>
      <c r="D1" s="35" t="s">
        <v>3716</v>
      </c>
      <c r="E1" s="36"/>
      <c r="F1" s="37"/>
      <c r="G1" s="35" t="s">
        <v>3717</v>
      </c>
      <c r="H1" s="36"/>
      <c r="I1" s="36"/>
      <c r="J1" s="35" t="s">
        <v>3718</v>
      </c>
      <c r="K1" s="36"/>
      <c r="L1" s="37"/>
      <c r="N1" s="18" t="s">
        <v>3713</v>
      </c>
      <c r="O1" s="6">
        <f>ROWS(B2:B1229)</f>
        <v>1228</v>
      </c>
      <c r="P1" t="str">
        <f>_xlfn.CONCAT(H2:I1229)</f>
        <v>72,72,72,72,72,72,72,72,72,72,72,72,72,72,72,72,72,72,72,0,0,0,0,0,0,0,0,0,0,0,0,0,0,0,0,0,0,0,0,0,0,0,0,93,93,93,93,93,93,93,93,93,0,0,0,0,0,0,0,0,0,0,89,89,89,89,89,91,91,91,94,94,94,94,94,94,94,94,94,94,94,94,0,94,94,94,98,98,98,98,98,0,0,0,96,96,96,96,96,96,96,96,96,96,96,96,96,96,96,96,96,96,96,96,0,95,95,95,107,107,107,107,107,107,107,107,107,107,107,107,107,107,107,107,107,107,107,107,107,107,107,107,107,107,107,107,107,107,107,107,107,0,0,106,106,106,0,0,0,103,103,103,0,0,0,0,0,0,97,97,97,97,97,97,0,0,0,94,0,0,0,91,91,91,91,91,0,0,0,88,88,88,0,0,0,0,0,0,0,0,80,0,79,79,79,79,79,79,79,79,79,79,79,79,79,79,79,79,79,79,79,79,79,79,79,79,79,79,79,85,85,85,97,97,97,97,97,97,97,0,0,0,0,0,0,91,91,91,0,0,0,88,88,88,88,88,88,0,0,0,0,100,100,100,100,100,100,100,100,106,106,106,0,0,0,0,93,93,93,93,93,0,0,91,0,0,0,0,91,0,90,90,90,90,0,0,0,87,87,87,87,87,87,87,0,86,86,86,86,86,86,86,86,86,86,86,86,86,86,86,86,86,86,86,86,86,86,86,86,86,86,86,86,86,86,86,86,86,87,87,87,87,87,87,87,87,87,87,94,94,94,94,94,94,94,94,94,94,94,94,94,94,94,94,94,94,94,94,94,94,94,94,94,94,94,94,94,94,96,96,96,96,96,96,96,96,96,96,96,96,96,96,96,96,96,96,0,0,0,0,93,93,93,93,93,93,96,96,96,0,0,0,96,96,96,0,0,0,93,93,93,93,93,93,93,93,93,93,93,93,93,93,93,93,93,93,119,119,119,119,119,119,119,119,119,119,119,119,119,119,119,0,0,0,116,116,116,116,116,116,116,116,116,0,0,0,0,112,112,112,112,112,112,112,112,112,115,115,115,121,121,121,121,121,121,121,121,121,121,121,121,121,121,121,121,121,121,121,121,121,121,121,121,0,120,0,0,118,118,118,118,118,0,0,116,116,116,116,116,118,118,118,118,118,118,118,118,118,118,118,118,0,117,117,117,117,117,171,116,0,115,115,0,0,114,115,115,115,0,114,115,115,115,115,115,115,108,114,117,0,122,0,0,0,122,118,118,0,0,0,0,130,130,0,130,130,130,0,133,0,132,0,0,131,131,131,131,131,131,131,131,0,0,129,129,129,0,0,0,0,125,125,125,125,125,125,125,125,125,125,125,125,125,0,124,124,124,124,0,124,124,124,124,124,0,0,122,0,121,121,121,121,121,121,125,125,125,125,125,125,125,125,125,125,125,125,125,125,125,125,125,125,125,125,125,125,125,125,125,126,126,126,126,126,126,126,126,126,126,0,0,125,125,125,126,126,126,0,125,125,0,124,0,0,0,0,0,0,0,0,116,116,116,116,116,116,116,116,116,116,116,116,116,116,116,116,116,116,116,116,0,115,115,117,117,117,117,117,117,117,117,117,117,117,117,117,117,117,117,117,117,117,117,117,117,117,117,117,117,117,117,117,139,139,139,139,139,139,139,139,139,139,139,139,0,0,138,138,0,137,137,137,137,137,137,137,137,137,0,136,136,136,136,136,0,0,0,0,0,0,0,0,128,0,0,126,0,125,125,125,0,0,0,122,122,122,122,122,122,122,122,122,122,122,122,122,122,122,122,122,122,0,194,194,194,194,194,194,194,194,194,194,194,194,194,194,0,0,192,192,192,192,192,192,192,192,192,192,0,0,0,0,0,0,0,185,0,184,0,183,0,0,0,0,0,0,181,181,0,180,180,180,180,0,179,0,0,0,176,176,176,176,0,175,176,174,176,176,176,176,176,176,176,176,176,176,176,176,176,0,0,0,173,173,173,0,172,172,172,0,0,170,0,0,0,0,166,166,0,0,0,0,162,162,162,0,161,161,161,0,0,0,0,0,0,0,0,0,0,151,0,0,0,0,0,0,0,145,145,145,145,145,145,145,145,145,145,145,145,145,0,144,144,144,144,0,166,166,166,166,166,0,165,165,0,0,163,163,163,0,0,161,0,0,0,0,0,0,0,0,0,154,154,189,189,189,189,189,189,189,189,189,189,189,189,189,189,189,189,189,189,189,189,0,188,188,188,188,188,188,188,188,188,188,188,188,188,188,188,188,188,188,188,188,188,0,187,187,187,187,187,187,0,0,0,0,0,0,0,0,180,180,0,0,178,178,178,178,178,178,178,0,0,176,0,0,175,175,175,175,175,175,175,175,175,175,0,0,173,173,173,173,173,173,173,173,175,175,175,175,175,175,175,175,0,177,177,177,177,177,177,177,0,176,176,177,177,0,176,176,176,176,176,176,176,0,175,0,0,0,172,172,172,173,173,173,173,173,173,179,179,0,178,178,0,0,0,0,0,0,0,0,0,0,0,167,167,172,174,175,175,175,175,177,177,179,176,176,177,177,177,177,177,177,177,177,177,184,184,186,186,186,188,188,0,0,187,187,0,0,186,186,186,0,188,188,188,188,190,0,0,0,0,0,0,0,183,183,183,0,0,0,181,0,0,179,181,181,181,181,181,181,181,181,181,181,181,181,181,181,181,181,181,181,181,181,0,0,0,0,0,176,176,0,0,0,173,173,</v>
      </c>
    </row>
    <row r="2" spans="1:16" ht="15.75" thickBot="1" x14ac:dyDescent="0.3">
      <c r="A2" s="9" t="s">
        <v>1401</v>
      </c>
      <c r="B2" s="4" t="str">
        <f t="shared" ref="B2:B65" si="0">_xlfn.TEXTAFTER(A2," ",1)</f>
        <v>Ac.Pno p A L</v>
      </c>
      <c r="C2" s="5" cm="1">
        <f t="array" ref="C2:C1229">ROW(B2:B1229)-1</f>
        <v>1</v>
      </c>
      <c r="D2" s="16" t="s">
        <v>0</v>
      </c>
      <c r="E2" s="4" t="str">
        <f t="shared" ref="E2:E65" si="1">_xlfn.TEXTAFTER(D2," ",1)</f>
        <v>Ult.P*mp A L</v>
      </c>
      <c r="F2" s="10" cm="1">
        <f t="array" ref="F2:F1402">ROW(E2:E1402)-1</f>
        <v>1</v>
      </c>
      <c r="G2" s="16">
        <f>_xlfn.IFNA(_xlfn.XMATCH(B2,E$2:E$1402,0,1),0)</f>
        <v>73</v>
      </c>
      <c r="H2" s="4">
        <f>IF(G2=0,0,G2-C2)</f>
        <v>72</v>
      </c>
      <c r="I2" s="5" t="s">
        <v>3714</v>
      </c>
      <c r="J2" s="16">
        <f>_xlfn.IFNA(_xlfn.XMATCH(E2,B$2:B$1229,0,1),0)</f>
        <v>0</v>
      </c>
      <c r="K2" s="4">
        <f>IF(J2=0,0,J2-F2)</f>
        <v>0</v>
      </c>
      <c r="L2" s="10" t="s">
        <v>3714</v>
      </c>
      <c r="N2" s="19" t="s">
        <v>3712</v>
      </c>
      <c r="O2" s="8">
        <f>ROWS(D2:D1402)</f>
        <v>1401</v>
      </c>
      <c r="P2" t="str">
        <f>_xlfn.CONCAT(K2:L1402)</f>
        <v>0,0,0,0,0,0,0,0,0,0,0,0,0,0,0,0,0,0,0,0,0,0,0,0,0,0,0,0,0,0,0,0,0,0,0,0,0,0,0,0,0,0,0,0,0,0,0,0,0,0,0,0,0,0,0,0,0,0,0,0,0,0,0,0,0,0,0,0,0,0,0,0,-72,-72,-72,-72,-72,-72,-72,-72,-72,-72,-72,-72,-72,-72,-72,-72,-72,-72,-72,0,0,0,0,0,0,0,0,0,0,0,0,0,0,0,0,0,0,0,0,0,0,0,0,0,0,0,0,0,0,0,0,0,0,0,0,0,0,0,0,0,0,0,0,0,-93,-93,-93,-93,-93,-93,-93,-93,-93,0,0,0,0,0,0,-89,-89,-89,-89,-89,0,0,-91,-91,-91,0,0,0,-94,-94,-94,-94,-94,-94,-94,-94,-94,-94,-94,-94,0,-94,-94,-94,0,0,0,0,-98,-98,-98,-98,-98,0,-96,-96,-96,-96,-96,-96,-96,-96,-96,-96,-96,-96,-96,-96,-96,-96,-96,-96,-96,-96,-95,-95,-95,0,0,0,0,0,0,0,0,0,0,0,0,-107,-107,-107,-107,-107,-107,-107,-107,-107,-107,-107,-107,-107,-107,-107,-107,-107,-107,-107,-107,-107,-107,-107,-107,-107,-107,-107,-107,-107,-107,-107,-107,-107,0,-106,-106,-106,-103,-103,-103,-97,-97,-97,-97,-97,-97,-94,-91,-91,-91,-91,-91,-88,-88,-88,-80,-79,-79,-79,-79,-79,-79,-79,-79,-79,-79,-79,-79,-79,-79,-79,-79,-79,-79,-79,-79,-79,-79,-79,-79,-79,-79,-79,0,0,0,0,0,0,-85,-85,-85,0,0,0,0,0,0,0,0,0,0,0,0,-97,-97,-97,-97,-97,-97,-97,-91,-91,-91,-88,-88,-88,-88,-88,-88,0,0,0,0,0,0,0,0,0,0,0,0,0,0,0,0,-100,-100,-100,-100,-100,-100,-100,-100,-93,-93,-93,-93,-93,-91,-106,-106,-106,0,-91,-90,-90,-90,-90,-87,-87,-87,-87,-87,-87,-87,-86,-86,-86,-86,-86,-86,-86,-86,-86,-86,-86,-86,-86,-86,-86,-86,-86,-86,-86,-86,-86,-86,-86,-86,-86,-86,-86,-86,-86,-86,-86,-86,-86,0,-87,-87,-87,-87,-87,-87,-87,-87,-87,-87,0,0,0,0,0,0,0,-94,-94,-94,-94,-94,-94,-94,-94,-94,-94,-94,-94,-94,-94,-94,-94,-94,-94,-94,-94,-94,-94,-94,-94,-94,-94,-94,-94,-94,-94,0,0,-96,-96,-96,-96,-96,-96,-96,-96,-96,-96,-96,-96,-96,-96,-96,-96,-96,-96,0,-93,-93,-93,-93,-93,-93,0,0,0,-96,-96,-96,0,0,0,-96,-96,-96,-93,-93,-93,-93,-93,-93,-93,-93,-93,-93,-93,-93,-93,-93,-93,-93,-93,-93,0,0,0,0,0,0,0,0,0,0,0,0,0,0,0,0,0,0,0,0,0,0,0,0,0,0,-119,-119,-119,-119,-119,-119,-119,-119,-119,-119,-119,-119,-119,-119,-119,-116,-116,-116,-116,-116,-116,-116,-116,-116,-112,-112,-112,-112,-112,-112,-112,-112,-112,0,0,0,-115,-115,-115,0,0,0,0,0,0,-121,-121,-121,-121,-121,-121,-121,-121,-121,-121,-121,-121,-121,-121,-121,-121,-121,-121,-121,-121,-121,-121,-121,-121,-120,-118,-118,-118,-118,-118,-116,-116,-116,-116,-116,0,0,-118,-118,-118,-118,-118,-118,-118,-118,-118,-118,-118,-118,-117,-117,-117,-117,-117,-116,-115,-115,0,-114,0,-115,-115,-115,-114,-108,-115,-115,-115,-115,-115,-115,-114,0,0,0,-117,0,0,0,0,0,0,-122,-118,-118,0,-122,0,0,0,0,0,0,0,0,0,0,0,0,0,0,-130,-130,0,-130,-130,-130,0,-171,0,0,-133,-132,0,-131,-131,-131,-131,-131,-131,-131,-131,-129,-129,-129,-125,-125,-125,-125,-125,-125,-125,-125,-125,-125,-125,-125,-125,-124,-124,-124,-124,0,-124,-124,-124,-124,-124,-122,-121,-121,-121,-121,-121,-121,0,0,0,0,-125,-125,-125,-125,-125,-125,-125,-125,-125,-125,-125,-125,-125,-125,-125,-125,-125,-125,-125,-125,-125,-125,-125,-125,-125,0,-126,-126,-126,-126,-126,-126,-126,-126,-126,-126,0,-125,-125,-125,0,-126,-126,-126,-125,-125,-124,-116,-116,-116,-116,-116,-116,-116,-116,-116,-116,-116,-116,-116,-116,-116,-116,-116,-116,-116,-116,-115,-115,0,0,-117,-117,-117,-117,-117,-117,-117,-117,-117,-117,-117,-117,-117,-117,-117,-117,-117,-117,-117,-117,-117,-117,-117,-117,-117,-117,-117,-117,-117,0,0,0,0,0,0,0,0,0,0,0,0,0,0,0,0,0,0,0,0,0,0,-139,-139,-139,-139,-139,-139,-139,-139,-139,-139,-139,-139,0,-138,-138,-137,-137,-137,-137,-137,-137,-137,-137,-137,-136,-136,-136,-136,-136,-128,-126,-125,-125,-125,-122,-122,-122,-122,-122,-122,-122,-122,-122,-122,-122,-122,-122,-122,-122,-122,-122,-122,0,0,0,0,0,0,0,0,0,0,0,0,0,0,0,0,0,0,0,0,0,0,0,0,0,0,0,0,0,0,0,0,0,0,0,0,0,0,0,0,0,0,0,0,0,0,0,0,0,0,0,0,0,0,0,0,0,0,0,0,0,0,0,0,0,0,0,0,0,0,0,0,0,-194,-194,-194,-194,-194,-194,-194,-194,-194,-194,-194,-194,-194,-194,-192,-192,-192,-192,-192,-192,-192,-192,-192,-192,-185,-184,-183,0,0,0,0,-181,-181,-180,-180,-180,-180,-179,-176,-176,-176,-176,-175,-174,-176,0,-176,-176,-176,-176,-176,-176,-176,-176,-176,-176,-176,-176,-176,-173,-173,-173,-172,-172,-172,-170,-166,-166,-162,-162,-162,-161,-161,-161,-151,0,-145,-145,-145,-145,-145,-145,-145,-145,-145,-145,-145,-145,-145,-144,-144,-144,-144,0,0,0,0,0,0,0,0,0,0,0,0,0,0,0,0,0,0,0,0,0,0,0,-166,-166,-166,-166,-166,-165,-165,-163,-163,-163,-161,0,0,-154,-154,0,0,0,0,0,0,0,0,0,0,0,0,0,0,0,0,0,0,0,0,0,0,0,0,0,0,0,0,0,0,0,0,0,0,0,-189,-189,-189,-189,-189,-189,-189,-189,-189,-189,-189,-189,-189,-189,-189,-189,-189,-189,-189,-189,-188,-188,-188,-188,-188,-188,-188,-188,-188,-188,-188,-188,-188,-188,-188,-188,-188,-188,-188,-188,-188,-187,-187,-187,-187,-187,-187,0,-180,-180,-178,-178,-178,-178,-178,-178,-178,-176,0,-175,-175,-175,-175,-175,-175,-175,-175,-175,-175,-173,-173,-173,-173,-173,-173,-173,-173,0,0,-175,-175,-175,-175,-175,-175,-175,-175,0,0,0,-177,-177,-177,-177,-177,-177,-177,-176,-176,0,-177,-177,-176,-176,-176,-176,-176,-176,-176,-175,-172,-172,-172,0,-173,-173,-173,-173,-173,-173,0,0,0,0,0,0,-179,-179,-178,-178,-167,-167,0,0,0,0,0,-172,0,0,-174,0,-175,-175,-175,-175,0,0,-177,-177,-176,-176,-179,-177,-177,-177,-177,-177,-177,-177,-177,-177,0,0,0,0,0,0,0,-184,-184,0,0,-186,-186,-186,0,0,-188,-188,0,-187,-187,0,-186,-186,-186,0,0,0,-188,-188,-188,-188,0,0,-190,-183,-183,-183,0,-181,-179,0,0,-181,-181,-181,-181,-181,-181,-181,-181,-181,-181,-181,-181,-181,-181,-181,-181,-181,-181,-181,-181,-176,-176,-173,-173,</v>
      </c>
    </row>
    <row r="3" spans="1:16" x14ac:dyDescent="0.25">
      <c r="A3" s="11" t="s">
        <v>1402</v>
      </c>
      <c r="B3" s="2" t="str">
        <f t="shared" si="0"/>
        <v>Ac.Pno p A R</v>
      </c>
      <c r="C3" s="3">
        <v>2</v>
      </c>
      <c r="D3" s="17" t="s">
        <v>1</v>
      </c>
      <c r="E3" s="2" t="str">
        <f t="shared" si="1"/>
        <v>Ult.P*mp A R</v>
      </c>
      <c r="F3" s="12">
        <v>2</v>
      </c>
      <c r="G3" s="17">
        <f t="shared" ref="G3:G66" si="2">_xlfn.IFNA(_xlfn.XMATCH(B3,E$2:E$1402,0,1),0)</f>
        <v>74</v>
      </c>
      <c r="H3" s="2">
        <f t="shared" ref="H3:H66" si="3">IF(G3=0,0,G3-C3)</f>
        <v>72</v>
      </c>
      <c r="I3" s="3" t="s">
        <v>3714</v>
      </c>
      <c r="J3" s="17">
        <f t="shared" ref="J3:J66" si="4">_xlfn.IFNA(_xlfn.XMATCH(E3,B$2:B$1229,0,1),0)</f>
        <v>0</v>
      </c>
      <c r="K3" s="2">
        <f t="shared" ref="K3:K66" si="5">IF(J3=0,0,J3-F3)</f>
        <v>0</v>
      </c>
      <c r="L3" s="12" t="s">
        <v>3714</v>
      </c>
    </row>
    <row r="4" spans="1:16" x14ac:dyDescent="0.25">
      <c r="A4" s="11" t="s">
        <v>1403</v>
      </c>
      <c r="B4" s="2" t="str">
        <f t="shared" si="0"/>
        <v>Ac.Pno p B L</v>
      </c>
      <c r="C4" s="3">
        <v>3</v>
      </c>
      <c r="D4" s="17" t="s">
        <v>2</v>
      </c>
      <c r="E4" s="2" t="str">
        <f t="shared" si="1"/>
        <v>Ult.P*mp B L</v>
      </c>
      <c r="F4" s="12">
        <v>3</v>
      </c>
      <c r="G4" s="17">
        <f t="shared" si="2"/>
        <v>75</v>
      </c>
      <c r="H4" s="2">
        <f t="shared" si="3"/>
        <v>72</v>
      </c>
      <c r="I4" s="3" t="s">
        <v>3714</v>
      </c>
      <c r="J4" s="17">
        <f t="shared" si="4"/>
        <v>0</v>
      </c>
      <c r="K4" s="2">
        <f t="shared" si="5"/>
        <v>0</v>
      </c>
      <c r="L4" s="12" t="s">
        <v>3714</v>
      </c>
    </row>
    <row r="5" spans="1:16" x14ac:dyDescent="0.25">
      <c r="A5" s="11" t="s">
        <v>1404</v>
      </c>
      <c r="B5" s="2" t="str">
        <f t="shared" si="0"/>
        <v>Ac.Pno p B R</v>
      </c>
      <c r="C5" s="3">
        <v>4</v>
      </c>
      <c r="D5" s="17" t="s">
        <v>3</v>
      </c>
      <c r="E5" s="2" t="str">
        <f t="shared" si="1"/>
        <v>Ult.P*mp B R</v>
      </c>
      <c r="F5" s="12">
        <v>4</v>
      </c>
      <c r="G5" s="17">
        <f t="shared" si="2"/>
        <v>76</v>
      </c>
      <c r="H5" s="2">
        <f t="shared" si="3"/>
        <v>72</v>
      </c>
      <c r="I5" s="3" t="s">
        <v>3714</v>
      </c>
      <c r="J5" s="17">
        <f t="shared" si="4"/>
        <v>0</v>
      </c>
      <c r="K5" s="2">
        <f t="shared" si="5"/>
        <v>0</v>
      </c>
      <c r="L5" s="12" t="s">
        <v>3714</v>
      </c>
    </row>
    <row r="6" spans="1:16" x14ac:dyDescent="0.25">
      <c r="A6" s="11" t="s">
        <v>1405</v>
      </c>
      <c r="B6" s="2" t="str">
        <f t="shared" si="0"/>
        <v>Ac.Pno p C L</v>
      </c>
      <c r="C6" s="3">
        <v>5</v>
      </c>
      <c r="D6" s="17" t="s">
        <v>4</v>
      </c>
      <c r="E6" s="2" t="str">
        <f t="shared" si="1"/>
        <v>Ult.P*mp C L</v>
      </c>
      <c r="F6" s="12">
        <v>5</v>
      </c>
      <c r="G6" s="17">
        <f t="shared" si="2"/>
        <v>77</v>
      </c>
      <c r="H6" s="2">
        <f t="shared" si="3"/>
        <v>72</v>
      </c>
      <c r="I6" s="3" t="s">
        <v>3714</v>
      </c>
      <c r="J6" s="17">
        <f t="shared" si="4"/>
        <v>0</v>
      </c>
      <c r="K6" s="2">
        <f t="shared" si="5"/>
        <v>0</v>
      </c>
      <c r="L6" s="12" t="s">
        <v>3714</v>
      </c>
    </row>
    <row r="7" spans="1:16" x14ac:dyDescent="0.25">
      <c r="A7" s="11" t="s">
        <v>1406</v>
      </c>
      <c r="B7" s="2" t="str">
        <f t="shared" si="0"/>
        <v>Ac.Pno p C R</v>
      </c>
      <c r="C7" s="3">
        <v>6</v>
      </c>
      <c r="D7" s="17" t="s">
        <v>5</v>
      </c>
      <c r="E7" s="2" t="str">
        <f t="shared" si="1"/>
        <v>Ult.P*mp C R</v>
      </c>
      <c r="F7" s="12">
        <v>6</v>
      </c>
      <c r="G7" s="17">
        <f t="shared" si="2"/>
        <v>78</v>
      </c>
      <c r="H7" s="2">
        <f t="shared" si="3"/>
        <v>72</v>
      </c>
      <c r="I7" s="3" t="s">
        <v>3714</v>
      </c>
      <c r="J7" s="17">
        <f t="shared" si="4"/>
        <v>0</v>
      </c>
      <c r="K7" s="2">
        <f t="shared" si="5"/>
        <v>0</v>
      </c>
      <c r="L7" s="12" t="s">
        <v>3714</v>
      </c>
    </row>
    <row r="8" spans="1:16" x14ac:dyDescent="0.25">
      <c r="A8" s="11" t="s">
        <v>1407</v>
      </c>
      <c r="B8" s="2" t="str">
        <f t="shared" si="0"/>
        <v>Ac.Pno f A L</v>
      </c>
      <c r="C8" s="3">
        <v>7</v>
      </c>
      <c r="D8" s="17" t="s">
        <v>6</v>
      </c>
      <c r="E8" s="2" t="str">
        <f t="shared" si="1"/>
        <v>Ult.P* f A L</v>
      </c>
      <c r="F8" s="12">
        <v>7</v>
      </c>
      <c r="G8" s="17">
        <f t="shared" si="2"/>
        <v>79</v>
      </c>
      <c r="H8" s="2">
        <f t="shared" si="3"/>
        <v>72</v>
      </c>
      <c r="I8" s="3" t="s">
        <v>3714</v>
      </c>
      <c r="J8" s="17">
        <f t="shared" si="4"/>
        <v>0</v>
      </c>
      <c r="K8" s="2">
        <f t="shared" si="5"/>
        <v>0</v>
      </c>
      <c r="L8" s="12" t="s">
        <v>3714</v>
      </c>
    </row>
    <row r="9" spans="1:16" x14ac:dyDescent="0.25">
      <c r="A9" s="11" t="s">
        <v>1408</v>
      </c>
      <c r="B9" s="2" t="str">
        <f t="shared" si="0"/>
        <v>Ac.Pno f A R</v>
      </c>
      <c r="C9" s="3">
        <v>8</v>
      </c>
      <c r="D9" s="17" t="s">
        <v>7</v>
      </c>
      <c r="E9" s="2" t="str">
        <f t="shared" si="1"/>
        <v>Ult.P* f A R</v>
      </c>
      <c r="F9" s="12">
        <v>8</v>
      </c>
      <c r="G9" s="17">
        <f t="shared" si="2"/>
        <v>80</v>
      </c>
      <c r="H9" s="2">
        <f t="shared" si="3"/>
        <v>72</v>
      </c>
      <c r="I9" s="3" t="s">
        <v>3714</v>
      </c>
      <c r="J9" s="17">
        <f t="shared" si="4"/>
        <v>0</v>
      </c>
      <c r="K9" s="2">
        <f t="shared" si="5"/>
        <v>0</v>
      </c>
      <c r="L9" s="12" t="s">
        <v>3714</v>
      </c>
    </row>
    <row r="10" spans="1:16" x14ac:dyDescent="0.25">
      <c r="A10" s="11" t="s">
        <v>1409</v>
      </c>
      <c r="B10" s="2" t="str">
        <f t="shared" si="0"/>
        <v>Ac.Pno f B L</v>
      </c>
      <c r="C10" s="3">
        <v>9</v>
      </c>
      <c r="D10" s="17" t="s">
        <v>8</v>
      </c>
      <c r="E10" s="2" t="str">
        <f t="shared" si="1"/>
        <v>Ult.P* f B L</v>
      </c>
      <c r="F10" s="12">
        <v>9</v>
      </c>
      <c r="G10" s="17">
        <f t="shared" si="2"/>
        <v>81</v>
      </c>
      <c r="H10" s="2">
        <f t="shared" si="3"/>
        <v>72</v>
      </c>
      <c r="I10" s="3" t="s">
        <v>3714</v>
      </c>
      <c r="J10" s="17">
        <f t="shared" si="4"/>
        <v>0</v>
      </c>
      <c r="K10" s="2">
        <f t="shared" si="5"/>
        <v>0</v>
      </c>
      <c r="L10" s="12" t="s">
        <v>3714</v>
      </c>
    </row>
    <row r="11" spans="1:16" x14ac:dyDescent="0.25">
      <c r="A11" s="11" t="s">
        <v>1410</v>
      </c>
      <c r="B11" s="2" t="str">
        <f t="shared" si="0"/>
        <v>Ac.Pno f B R</v>
      </c>
      <c r="C11" s="3">
        <v>10</v>
      </c>
      <c r="D11" s="17" t="s">
        <v>9</v>
      </c>
      <c r="E11" s="2" t="str">
        <f t="shared" si="1"/>
        <v>Ult.P* f B R</v>
      </c>
      <c r="F11" s="12">
        <v>10</v>
      </c>
      <c r="G11" s="17">
        <f t="shared" si="2"/>
        <v>82</v>
      </c>
      <c r="H11" s="2">
        <f t="shared" si="3"/>
        <v>72</v>
      </c>
      <c r="I11" s="3" t="s">
        <v>3714</v>
      </c>
      <c r="J11" s="17">
        <f t="shared" si="4"/>
        <v>0</v>
      </c>
      <c r="K11" s="2">
        <f t="shared" si="5"/>
        <v>0</v>
      </c>
      <c r="L11" s="12" t="s">
        <v>3714</v>
      </c>
    </row>
    <row r="12" spans="1:16" x14ac:dyDescent="0.25">
      <c r="A12" s="11" t="s">
        <v>1411</v>
      </c>
      <c r="B12" s="2" t="str">
        <f t="shared" si="0"/>
        <v>Ac.Pno f C L</v>
      </c>
      <c r="C12" s="3">
        <v>11</v>
      </c>
      <c r="D12" s="17" t="s">
        <v>10</v>
      </c>
      <c r="E12" s="2" t="str">
        <f t="shared" si="1"/>
        <v>Ult.P* f C L</v>
      </c>
      <c r="F12" s="12">
        <v>11</v>
      </c>
      <c r="G12" s="17">
        <f t="shared" si="2"/>
        <v>83</v>
      </c>
      <c r="H12" s="2">
        <f t="shared" si="3"/>
        <v>72</v>
      </c>
      <c r="I12" s="3" t="s">
        <v>3714</v>
      </c>
      <c r="J12" s="17">
        <f t="shared" si="4"/>
        <v>0</v>
      </c>
      <c r="K12" s="2">
        <f t="shared" si="5"/>
        <v>0</v>
      </c>
      <c r="L12" s="12" t="s">
        <v>3714</v>
      </c>
    </row>
    <row r="13" spans="1:16" x14ac:dyDescent="0.25">
      <c r="A13" s="11" t="s">
        <v>1412</v>
      </c>
      <c r="B13" s="2" t="str">
        <f t="shared" si="0"/>
        <v>Ac.Pno f C R</v>
      </c>
      <c r="C13" s="3">
        <v>12</v>
      </c>
      <c r="D13" s="17" t="s">
        <v>11</v>
      </c>
      <c r="E13" s="2" t="str">
        <f t="shared" si="1"/>
        <v>Ult.P* f C R</v>
      </c>
      <c r="F13" s="12">
        <v>12</v>
      </c>
      <c r="G13" s="17">
        <f t="shared" si="2"/>
        <v>84</v>
      </c>
      <c r="H13" s="2">
        <f t="shared" si="3"/>
        <v>72</v>
      </c>
      <c r="I13" s="3" t="s">
        <v>3714</v>
      </c>
      <c r="J13" s="17">
        <f t="shared" si="4"/>
        <v>0</v>
      </c>
      <c r="K13" s="2">
        <f t="shared" si="5"/>
        <v>0</v>
      </c>
      <c r="L13" s="12" t="s">
        <v>3714</v>
      </c>
    </row>
    <row r="14" spans="1:16" x14ac:dyDescent="0.25">
      <c r="A14" s="11" t="s">
        <v>1413</v>
      </c>
      <c r="B14" s="2" t="str">
        <f t="shared" si="0"/>
        <v>JD Piano A</v>
      </c>
      <c r="C14" s="3">
        <v>13</v>
      </c>
      <c r="D14" s="17" t="s">
        <v>12</v>
      </c>
      <c r="E14" s="2" t="str">
        <f t="shared" si="1"/>
        <v>Ult.P*ff A L</v>
      </c>
      <c r="F14" s="12">
        <v>13</v>
      </c>
      <c r="G14" s="17">
        <f t="shared" si="2"/>
        <v>85</v>
      </c>
      <c r="H14" s="2">
        <f t="shared" si="3"/>
        <v>72</v>
      </c>
      <c r="I14" s="3" t="s">
        <v>3714</v>
      </c>
      <c r="J14" s="17">
        <f t="shared" si="4"/>
        <v>0</v>
      </c>
      <c r="K14" s="2">
        <f t="shared" si="5"/>
        <v>0</v>
      </c>
      <c r="L14" s="12" t="s">
        <v>3714</v>
      </c>
    </row>
    <row r="15" spans="1:16" x14ac:dyDescent="0.25">
      <c r="A15" s="11" t="s">
        <v>1414</v>
      </c>
      <c r="B15" s="2" t="str">
        <f t="shared" si="0"/>
        <v>JD Piano B</v>
      </c>
      <c r="C15" s="3">
        <v>14</v>
      </c>
      <c r="D15" s="17" t="s">
        <v>13</v>
      </c>
      <c r="E15" s="2" t="str">
        <f t="shared" si="1"/>
        <v>Ult.P*ff A R</v>
      </c>
      <c r="F15" s="12">
        <v>14</v>
      </c>
      <c r="G15" s="17">
        <f t="shared" si="2"/>
        <v>86</v>
      </c>
      <c r="H15" s="2">
        <f t="shared" si="3"/>
        <v>72</v>
      </c>
      <c r="I15" s="3" t="s">
        <v>3714</v>
      </c>
      <c r="J15" s="17">
        <f t="shared" si="4"/>
        <v>0</v>
      </c>
      <c r="K15" s="2">
        <f t="shared" si="5"/>
        <v>0</v>
      </c>
      <c r="L15" s="12" t="s">
        <v>3714</v>
      </c>
    </row>
    <row r="16" spans="1:16" x14ac:dyDescent="0.25">
      <c r="A16" s="11" t="s">
        <v>1415</v>
      </c>
      <c r="B16" s="2" t="str">
        <f t="shared" si="0"/>
        <v>JD Piano C</v>
      </c>
      <c r="C16" s="3">
        <v>15</v>
      </c>
      <c r="D16" s="17" t="s">
        <v>14</v>
      </c>
      <c r="E16" s="2" t="str">
        <f t="shared" si="1"/>
        <v>Ult.P*ff B L</v>
      </c>
      <c r="F16" s="12">
        <v>15</v>
      </c>
      <c r="G16" s="17">
        <f t="shared" si="2"/>
        <v>87</v>
      </c>
      <c r="H16" s="2">
        <f t="shared" si="3"/>
        <v>72</v>
      </c>
      <c r="I16" s="3" t="s">
        <v>3714</v>
      </c>
      <c r="J16" s="17">
        <f t="shared" si="4"/>
        <v>0</v>
      </c>
      <c r="K16" s="2">
        <f t="shared" si="5"/>
        <v>0</v>
      </c>
      <c r="L16" s="12" t="s">
        <v>3714</v>
      </c>
    </row>
    <row r="17" spans="1:12" x14ac:dyDescent="0.25">
      <c r="A17" s="11" t="s">
        <v>1416</v>
      </c>
      <c r="B17" s="2" t="str">
        <f t="shared" si="0"/>
        <v>Piano Atk Nz</v>
      </c>
      <c r="C17" s="3">
        <v>16</v>
      </c>
      <c r="D17" s="17" t="s">
        <v>15</v>
      </c>
      <c r="E17" s="2" t="str">
        <f t="shared" si="1"/>
        <v>Ult.P*ff B R</v>
      </c>
      <c r="F17" s="12">
        <v>16</v>
      </c>
      <c r="G17" s="17">
        <f t="shared" si="2"/>
        <v>88</v>
      </c>
      <c r="H17" s="2">
        <f t="shared" si="3"/>
        <v>72</v>
      </c>
      <c r="I17" s="3" t="s">
        <v>3714</v>
      </c>
      <c r="J17" s="17">
        <f t="shared" si="4"/>
        <v>0</v>
      </c>
      <c r="K17" s="2">
        <f t="shared" si="5"/>
        <v>0</v>
      </c>
      <c r="L17" s="12" t="s">
        <v>3714</v>
      </c>
    </row>
    <row r="18" spans="1:12" x14ac:dyDescent="0.25">
      <c r="A18" s="11" t="s">
        <v>1417</v>
      </c>
      <c r="B18" s="2" t="str">
        <f t="shared" si="0"/>
        <v>MKS Piano A</v>
      </c>
      <c r="C18" s="3">
        <v>17</v>
      </c>
      <c r="D18" s="17" t="s">
        <v>16</v>
      </c>
      <c r="E18" s="2" t="str">
        <f t="shared" si="1"/>
        <v>Ult.P*ff C L</v>
      </c>
      <c r="F18" s="12">
        <v>17</v>
      </c>
      <c r="G18" s="17">
        <f t="shared" si="2"/>
        <v>89</v>
      </c>
      <c r="H18" s="2">
        <f t="shared" si="3"/>
        <v>72</v>
      </c>
      <c r="I18" s="3" t="s">
        <v>3714</v>
      </c>
      <c r="J18" s="17">
        <f t="shared" si="4"/>
        <v>0</v>
      </c>
      <c r="K18" s="2">
        <f t="shared" si="5"/>
        <v>0</v>
      </c>
      <c r="L18" s="12" t="s">
        <v>3714</v>
      </c>
    </row>
    <row r="19" spans="1:12" x14ac:dyDescent="0.25">
      <c r="A19" s="11" t="s">
        <v>1418</v>
      </c>
      <c r="B19" s="2" t="str">
        <f t="shared" si="0"/>
        <v>MKS Piano B</v>
      </c>
      <c r="C19" s="3">
        <v>18</v>
      </c>
      <c r="D19" s="17" t="s">
        <v>17</v>
      </c>
      <c r="E19" s="2" t="str">
        <f t="shared" si="1"/>
        <v>Ult.P*ff C R</v>
      </c>
      <c r="F19" s="12">
        <v>18</v>
      </c>
      <c r="G19" s="17">
        <f t="shared" si="2"/>
        <v>90</v>
      </c>
      <c r="H19" s="2">
        <f t="shared" si="3"/>
        <v>72</v>
      </c>
      <c r="I19" s="3" t="s">
        <v>3714</v>
      </c>
      <c r="J19" s="17">
        <f t="shared" si="4"/>
        <v>0</v>
      </c>
      <c r="K19" s="2">
        <f t="shared" si="5"/>
        <v>0</v>
      </c>
      <c r="L19" s="12" t="s">
        <v>3714</v>
      </c>
    </row>
    <row r="20" spans="1:12" x14ac:dyDescent="0.25">
      <c r="A20" s="11" t="s">
        <v>1419</v>
      </c>
      <c r="B20" s="2" t="str">
        <f t="shared" si="0"/>
        <v>MKS Piano C</v>
      </c>
      <c r="C20" s="3">
        <v>19</v>
      </c>
      <c r="D20" s="17" t="s">
        <v>18</v>
      </c>
      <c r="E20" s="2" t="str">
        <f t="shared" si="1"/>
        <v>XPr.P*mp A L</v>
      </c>
      <c r="F20" s="12">
        <v>19</v>
      </c>
      <c r="G20" s="17">
        <f t="shared" si="2"/>
        <v>91</v>
      </c>
      <c r="H20" s="2">
        <f t="shared" si="3"/>
        <v>72</v>
      </c>
      <c r="I20" s="3" t="s">
        <v>3714</v>
      </c>
      <c r="J20" s="17">
        <f t="shared" si="4"/>
        <v>0</v>
      </c>
      <c r="K20" s="2">
        <f t="shared" si="5"/>
        <v>0</v>
      </c>
      <c r="L20" s="12" t="s">
        <v>3714</v>
      </c>
    </row>
    <row r="21" spans="1:12" x14ac:dyDescent="0.25">
      <c r="A21" s="11" t="s">
        <v>1420</v>
      </c>
      <c r="B21" s="2" t="str">
        <f t="shared" si="0"/>
        <v>StageRhd p A</v>
      </c>
      <c r="C21" s="3">
        <v>20</v>
      </c>
      <c r="D21" s="17" t="s">
        <v>19</v>
      </c>
      <c r="E21" s="2" t="str">
        <f t="shared" si="1"/>
        <v>XPr.P*mp A R</v>
      </c>
      <c r="F21" s="12">
        <v>20</v>
      </c>
      <c r="G21" s="17">
        <f t="shared" si="2"/>
        <v>0</v>
      </c>
      <c r="H21" s="2">
        <f t="shared" si="3"/>
        <v>0</v>
      </c>
      <c r="I21" s="3" t="s">
        <v>3714</v>
      </c>
      <c r="J21" s="17">
        <f t="shared" si="4"/>
        <v>0</v>
      </c>
      <c r="K21" s="2">
        <f t="shared" si="5"/>
        <v>0</v>
      </c>
      <c r="L21" s="12" t="s">
        <v>3714</v>
      </c>
    </row>
    <row r="22" spans="1:12" x14ac:dyDescent="0.25">
      <c r="A22" s="11" t="s">
        <v>1421</v>
      </c>
      <c r="B22" s="2" t="str">
        <f t="shared" si="0"/>
        <v>StageRhd p B</v>
      </c>
      <c r="C22" s="3">
        <v>21</v>
      </c>
      <c r="D22" s="17" t="s">
        <v>20</v>
      </c>
      <c r="E22" s="2" t="str">
        <f t="shared" si="1"/>
        <v>XPr.P*mp B L</v>
      </c>
      <c r="F22" s="12">
        <v>21</v>
      </c>
      <c r="G22" s="17">
        <f t="shared" si="2"/>
        <v>0</v>
      </c>
      <c r="H22" s="2">
        <f t="shared" si="3"/>
        <v>0</v>
      </c>
      <c r="I22" s="3" t="s">
        <v>3714</v>
      </c>
      <c r="J22" s="17">
        <f t="shared" si="4"/>
        <v>0</v>
      </c>
      <c r="K22" s="2">
        <f t="shared" si="5"/>
        <v>0</v>
      </c>
      <c r="L22" s="12" t="s">
        <v>3714</v>
      </c>
    </row>
    <row r="23" spans="1:12" x14ac:dyDescent="0.25">
      <c r="A23" s="11" t="s">
        <v>1422</v>
      </c>
      <c r="B23" s="2" t="str">
        <f t="shared" si="0"/>
        <v>StageRhd p C</v>
      </c>
      <c r="C23" s="3">
        <v>22</v>
      </c>
      <c r="D23" s="17" t="s">
        <v>21</v>
      </c>
      <c r="E23" s="2" t="str">
        <f t="shared" si="1"/>
        <v>XPr.P*mp B R</v>
      </c>
      <c r="F23" s="12">
        <v>22</v>
      </c>
      <c r="G23" s="17">
        <f t="shared" si="2"/>
        <v>0</v>
      </c>
      <c r="H23" s="2">
        <f t="shared" si="3"/>
        <v>0</v>
      </c>
      <c r="I23" s="3" t="s">
        <v>3714</v>
      </c>
      <c r="J23" s="17">
        <f t="shared" si="4"/>
        <v>0</v>
      </c>
      <c r="K23" s="2">
        <f t="shared" si="5"/>
        <v>0</v>
      </c>
      <c r="L23" s="12" t="s">
        <v>3714</v>
      </c>
    </row>
    <row r="24" spans="1:12" x14ac:dyDescent="0.25">
      <c r="A24" s="11" t="s">
        <v>1423</v>
      </c>
      <c r="B24" s="2" t="str">
        <f t="shared" si="0"/>
        <v>StageRhd f A</v>
      </c>
      <c r="C24" s="3">
        <v>23</v>
      </c>
      <c r="D24" s="17" t="s">
        <v>22</v>
      </c>
      <c r="E24" s="2" t="str">
        <f t="shared" si="1"/>
        <v>XPr.P*mp C L</v>
      </c>
      <c r="F24" s="12">
        <v>23</v>
      </c>
      <c r="G24" s="17">
        <f t="shared" si="2"/>
        <v>0</v>
      </c>
      <c r="H24" s="2">
        <f t="shared" si="3"/>
        <v>0</v>
      </c>
      <c r="I24" s="3" t="s">
        <v>3714</v>
      </c>
      <c r="J24" s="17">
        <f t="shared" si="4"/>
        <v>0</v>
      </c>
      <c r="K24" s="2">
        <f t="shared" si="5"/>
        <v>0</v>
      </c>
      <c r="L24" s="12" t="s">
        <v>3714</v>
      </c>
    </row>
    <row r="25" spans="1:12" x14ac:dyDescent="0.25">
      <c r="A25" s="11" t="s">
        <v>1424</v>
      </c>
      <c r="B25" s="2" t="str">
        <f t="shared" si="0"/>
        <v>StageRhd f B</v>
      </c>
      <c r="C25" s="3">
        <v>24</v>
      </c>
      <c r="D25" s="17" t="s">
        <v>23</v>
      </c>
      <c r="E25" s="2" t="str">
        <f t="shared" si="1"/>
        <v>XPr.P*mp C R</v>
      </c>
      <c r="F25" s="12">
        <v>24</v>
      </c>
      <c r="G25" s="17">
        <f t="shared" si="2"/>
        <v>0</v>
      </c>
      <c r="H25" s="2">
        <f t="shared" si="3"/>
        <v>0</v>
      </c>
      <c r="I25" s="3" t="s">
        <v>3714</v>
      </c>
      <c r="J25" s="17">
        <f t="shared" si="4"/>
        <v>0</v>
      </c>
      <c r="K25" s="2">
        <f t="shared" si="5"/>
        <v>0</v>
      </c>
      <c r="L25" s="12" t="s">
        <v>3714</v>
      </c>
    </row>
    <row r="26" spans="1:12" x14ac:dyDescent="0.25">
      <c r="A26" s="11" t="s">
        <v>1425</v>
      </c>
      <c r="B26" s="2" t="str">
        <f t="shared" si="0"/>
        <v>StageRhd f C</v>
      </c>
      <c r="C26" s="3">
        <v>25</v>
      </c>
      <c r="D26" s="17" t="s">
        <v>24</v>
      </c>
      <c r="E26" s="2" t="str">
        <f t="shared" si="1"/>
        <v>XPr.P* f A L</v>
      </c>
      <c r="F26" s="12">
        <v>25</v>
      </c>
      <c r="G26" s="17">
        <f t="shared" si="2"/>
        <v>0</v>
      </c>
      <c r="H26" s="2">
        <f t="shared" si="3"/>
        <v>0</v>
      </c>
      <c r="I26" s="3" t="s">
        <v>3714</v>
      </c>
      <c r="J26" s="17">
        <f t="shared" si="4"/>
        <v>0</v>
      </c>
      <c r="K26" s="2">
        <f t="shared" si="5"/>
        <v>0</v>
      </c>
      <c r="L26" s="12" t="s">
        <v>3714</v>
      </c>
    </row>
    <row r="27" spans="1:12" x14ac:dyDescent="0.25">
      <c r="A27" s="11" t="s">
        <v>1426</v>
      </c>
      <c r="B27" s="2" t="str">
        <f t="shared" si="0"/>
        <v>Tine Rhd p A</v>
      </c>
      <c r="C27" s="3">
        <v>26</v>
      </c>
      <c r="D27" s="17" t="s">
        <v>25</v>
      </c>
      <c r="E27" s="2" t="str">
        <f t="shared" si="1"/>
        <v>XPr.P* f A R</v>
      </c>
      <c r="F27" s="12">
        <v>26</v>
      </c>
      <c r="G27" s="17">
        <f t="shared" si="2"/>
        <v>0</v>
      </c>
      <c r="H27" s="2">
        <f t="shared" si="3"/>
        <v>0</v>
      </c>
      <c r="I27" s="3" t="s">
        <v>3714</v>
      </c>
      <c r="J27" s="17">
        <f t="shared" si="4"/>
        <v>0</v>
      </c>
      <c r="K27" s="2">
        <f t="shared" si="5"/>
        <v>0</v>
      </c>
      <c r="L27" s="12" t="s">
        <v>3714</v>
      </c>
    </row>
    <row r="28" spans="1:12" x14ac:dyDescent="0.25">
      <c r="A28" s="11" t="s">
        <v>1427</v>
      </c>
      <c r="B28" s="2" t="str">
        <f t="shared" si="0"/>
        <v>Tine Rhd p B</v>
      </c>
      <c r="C28" s="3">
        <v>27</v>
      </c>
      <c r="D28" s="17" t="s">
        <v>26</v>
      </c>
      <c r="E28" s="2" t="str">
        <f t="shared" si="1"/>
        <v>XPr.P* f B L</v>
      </c>
      <c r="F28" s="12">
        <v>27</v>
      </c>
      <c r="G28" s="17">
        <f t="shared" si="2"/>
        <v>0</v>
      </c>
      <c r="H28" s="2">
        <f t="shared" si="3"/>
        <v>0</v>
      </c>
      <c r="I28" s="3" t="s">
        <v>3714</v>
      </c>
      <c r="J28" s="17">
        <f t="shared" si="4"/>
        <v>0</v>
      </c>
      <c r="K28" s="2">
        <f t="shared" si="5"/>
        <v>0</v>
      </c>
      <c r="L28" s="12" t="s">
        <v>3714</v>
      </c>
    </row>
    <row r="29" spans="1:12" x14ac:dyDescent="0.25">
      <c r="A29" s="11" t="s">
        <v>1428</v>
      </c>
      <c r="B29" s="2" t="str">
        <f t="shared" si="0"/>
        <v>Tine Rhd p C</v>
      </c>
      <c r="C29" s="3">
        <v>28</v>
      </c>
      <c r="D29" s="17" t="s">
        <v>27</v>
      </c>
      <c r="E29" s="2" t="str">
        <f t="shared" si="1"/>
        <v>XPr.P* f B R</v>
      </c>
      <c r="F29" s="12">
        <v>28</v>
      </c>
      <c r="G29" s="17">
        <f t="shared" si="2"/>
        <v>0</v>
      </c>
      <c r="H29" s="2">
        <f t="shared" si="3"/>
        <v>0</v>
      </c>
      <c r="I29" s="3" t="s">
        <v>3714</v>
      </c>
      <c r="J29" s="17">
        <f t="shared" si="4"/>
        <v>0</v>
      </c>
      <c r="K29" s="2">
        <f t="shared" si="5"/>
        <v>0</v>
      </c>
      <c r="L29" s="12" t="s">
        <v>3714</v>
      </c>
    </row>
    <row r="30" spans="1:12" x14ac:dyDescent="0.25">
      <c r="A30" s="11" t="s">
        <v>1429</v>
      </c>
      <c r="B30" s="2" t="str">
        <f t="shared" si="0"/>
        <v>Tine Rhd mfA</v>
      </c>
      <c r="C30" s="3">
        <v>29</v>
      </c>
      <c r="D30" s="17" t="s">
        <v>28</v>
      </c>
      <c r="E30" s="2" t="str">
        <f t="shared" si="1"/>
        <v>XPr.P* f C L</v>
      </c>
      <c r="F30" s="12">
        <v>29</v>
      </c>
      <c r="G30" s="17">
        <f t="shared" si="2"/>
        <v>0</v>
      </c>
      <c r="H30" s="2">
        <f t="shared" si="3"/>
        <v>0</v>
      </c>
      <c r="I30" s="3" t="s">
        <v>3714</v>
      </c>
      <c r="J30" s="17">
        <f t="shared" si="4"/>
        <v>0</v>
      </c>
      <c r="K30" s="2">
        <f t="shared" si="5"/>
        <v>0</v>
      </c>
      <c r="L30" s="12" t="s">
        <v>3714</v>
      </c>
    </row>
    <row r="31" spans="1:12" x14ac:dyDescent="0.25">
      <c r="A31" s="11" t="s">
        <v>1430</v>
      </c>
      <c r="B31" s="2" t="str">
        <f t="shared" si="0"/>
        <v>Tine Rhd mfB</v>
      </c>
      <c r="C31" s="3">
        <v>30</v>
      </c>
      <c r="D31" s="17" t="s">
        <v>29</v>
      </c>
      <c r="E31" s="2" t="str">
        <f t="shared" si="1"/>
        <v>XPr.P* f C R</v>
      </c>
      <c r="F31" s="12">
        <v>30</v>
      </c>
      <c r="G31" s="17">
        <f t="shared" si="2"/>
        <v>0</v>
      </c>
      <c r="H31" s="2">
        <f t="shared" si="3"/>
        <v>0</v>
      </c>
      <c r="I31" s="3" t="s">
        <v>3714</v>
      </c>
      <c r="J31" s="17">
        <f t="shared" si="4"/>
        <v>0</v>
      </c>
      <c r="K31" s="2">
        <f t="shared" si="5"/>
        <v>0</v>
      </c>
      <c r="L31" s="12" t="s">
        <v>3714</v>
      </c>
    </row>
    <row r="32" spans="1:12" x14ac:dyDescent="0.25">
      <c r="A32" s="11" t="s">
        <v>1431</v>
      </c>
      <c r="B32" s="2" t="str">
        <f t="shared" si="0"/>
        <v>Tine Rhd mfC</v>
      </c>
      <c r="C32" s="3">
        <v>31</v>
      </c>
      <c r="D32" s="17" t="s">
        <v>30</v>
      </c>
      <c r="E32" s="2" t="str">
        <f t="shared" si="1"/>
        <v>XPr.P*ff A L</v>
      </c>
      <c r="F32" s="12">
        <v>31</v>
      </c>
      <c r="G32" s="17">
        <f t="shared" si="2"/>
        <v>0</v>
      </c>
      <c r="H32" s="2">
        <f t="shared" si="3"/>
        <v>0</v>
      </c>
      <c r="I32" s="3" t="s">
        <v>3714</v>
      </c>
      <c r="J32" s="17">
        <f t="shared" si="4"/>
        <v>0</v>
      </c>
      <c r="K32" s="2">
        <f t="shared" si="5"/>
        <v>0</v>
      </c>
      <c r="L32" s="12" t="s">
        <v>3714</v>
      </c>
    </row>
    <row r="33" spans="1:12" x14ac:dyDescent="0.25">
      <c r="A33" s="11" t="s">
        <v>1432</v>
      </c>
      <c r="B33" s="2" t="str">
        <f t="shared" si="0"/>
        <v>Tine Rhd ffA</v>
      </c>
      <c r="C33" s="3">
        <v>32</v>
      </c>
      <c r="D33" s="17" t="s">
        <v>31</v>
      </c>
      <c r="E33" s="2" t="str">
        <f t="shared" si="1"/>
        <v>XPr.P*ff A R</v>
      </c>
      <c r="F33" s="12">
        <v>32</v>
      </c>
      <c r="G33" s="17">
        <f t="shared" si="2"/>
        <v>0</v>
      </c>
      <c r="H33" s="2">
        <f t="shared" si="3"/>
        <v>0</v>
      </c>
      <c r="I33" s="3" t="s">
        <v>3714</v>
      </c>
      <c r="J33" s="17">
        <f t="shared" si="4"/>
        <v>0</v>
      </c>
      <c r="K33" s="2">
        <f t="shared" si="5"/>
        <v>0</v>
      </c>
      <c r="L33" s="12" t="s">
        <v>3714</v>
      </c>
    </row>
    <row r="34" spans="1:12" x14ac:dyDescent="0.25">
      <c r="A34" s="11" t="s">
        <v>1433</v>
      </c>
      <c r="B34" s="2" t="str">
        <f t="shared" si="0"/>
        <v>Tine Rhd ffB</v>
      </c>
      <c r="C34" s="3">
        <v>33</v>
      </c>
      <c r="D34" s="17" t="s">
        <v>32</v>
      </c>
      <c r="E34" s="2" t="str">
        <f t="shared" si="1"/>
        <v>XPr.P*ff B L</v>
      </c>
      <c r="F34" s="12">
        <v>33</v>
      </c>
      <c r="G34" s="17">
        <f t="shared" si="2"/>
        <v>0</v>
      </c>
      <c r="H34" s="2">
        <f t="shared" si="3"/>
        <v>0</v>
      </c>
      <c r="I34" s="3" t="s">
        <v>3714</v>
      </c>
      <c r="J34" s="17">
        <f t="shared" si="4"/>
        <v>0</v>
      </c>
      <c r="K34" s="2">
        <f t="shared" si="5"/>
        <v>0</v>
      </c>
      <c r="L34" s="12" t="s">
        <v>3714</v>
      </c>
    </row>
    <row r="35" spans="1:12" x14ac:dyDescent="0.25">
      <c r="A35" s="11" t="s">
        <v>1434</v>
      </c>
      <c r="B35" s="2" t="str">
        <f t="shared" si="0"/>
        <v>Tine Rhd ffC</v>
      </c>
      <c r="C35" s="3">
        <v>34</v>
      </c>
      <c r="D35" s="17" t="s">
        <v>33</v>
      </c>
      <c r="E35" s="2" t="str">
        <f t="shared" si="1"/>
        <v>XPr.P*ff B R</v>
      </c>
      <c r="F35" s="12">
        <v>34</v>
      </c>
      <c r="G35" s="17">
        <f t="shared" si="2"/>
        <v>0</v>
      </c>
      <c r="H35" s="2">
        <f t="shared" si="3"/>
        <v>0</v>
      </c>
      <c r="I35" s="3" t="s">
        <v>3714</v>
      </c>
      <c r="J35" s="17">
        <f t="shared" si="4"/>
        <v>0</v>
      </c>
      <c r="K35" s="2">
        <f t="shared" si="5"/>
        <v>0</v>
      </c>
      <c r="L35" s="12" t="s">
        <v>3714</v>
      </c>
    </row>
    <row r="36" spans="1:12" x14ac:dyDescent="0.25">
      <c r="A36" s="11" t="s">
        <v>1435</v>
      </c>
      <c r="B36" s="2" t="str">
        <f t="shared" si="0"/>
        <v>Dyno Rhd mpA</v>
      </c>
      <c r="C36" s="3">
        <v>35</v>
      </c>
      <c r="D36" s="17" t="s">
        <v>34</v>
      </c>
      <c r="E36" s="2" t="str">
        <f t="shared" si="1"/>
        <v>XPr.P*ff C L</v>
      </c>
      <c r="F36" s="12">
        <v>35</v>
      </c>
      <c r="G36" s="17">
        <f t="shared" si="2"/>
        <v>0</v>
      </c>
      <c r="H36" s="2">
        <f t="shared" si="3"/>
        <v>0</v>
      </c>
      <c r="I36" s="3" t="s">
        <v>3714</v>
      </c>
      <c r="J36" s="17">
        <f t="shared" si="4"/>
        <v>0</v>
      </c>
      <c r="K36" s="2">
        <f t="shared" si="5"/>
        <v>0</v>
      </c>
      <c r="L36" s="12" t="s">
        <v>3714</v>
      </c>
    </row>
    <row r="37" spans="1:12" x14ac:dyDescent="0.25">
      <c r="A37" s="11" t="s">
        <v>1436</v>
      </c>
      <c r="B37" s="2" t="str">
        <f t="shared" si="0"/>
        <v>Dyno Rhd mpB</v>
      </c>
      <c r="C37" s="3">
        <v>36</v>
      </c>
      <c r="D37" s="17" t="s">
        <v>35</v>
      </c>
      <c r="E37" s="2" t="str">
        <f t="shared" si="1"/>
        <v>XPr.P*ff C R</v>
      </c>
      <c r="F37" s="12">
        <v>36</v>
      </c>
      <c r="G37" s="17">
        <f t="shared" si="2"/>
        <v>0</v>
      </c>
      <c r="H37" s="2">
        <f t="shared" si="3"/>
        <v>0</v>
      </c>
      <c r="I37" s="3" t="s">
        <v>3714</v>
      </c>
      <c r="J37" s="17">
        <f t="shared" si="4"/>
        <v>0</v>
      </c>
      <c r="K37" s="2">
        <f t="shared" si="5"/>
        <v>0</v>
      </c>
      <c r="L37" s="12" t="s">
        <v>3714</v>
      </c>
    </row>
    <row r="38" spans="1:12" x14ac:dyDescent="0.25">
      <c r="A38" s="11" t="s">
        <v>1437</v>
      </c>
      <c r="B38" s="2" t="str">
        <f t="shared" si="0"/>
        <v>Dyno Rhd mpC</v>
      </c>
      <c r="C38" s="3">
        <v>37</v>
      </c>
      <c r="D38" s="17" t="s">
        <v>36</v>
      </c>
      <c r="E38" s="2" t="str">
        <f t="shared" si="1"/>
        <v>Ult.P mp A L</v>
      </c>
      <c r="F38" s="12">
        <v>37</v>
      </c>
      <c r="G38" s="17">
        <f t="shared" si="2"/>
        <v>0</v>
      </c>
      <c r="H38" s="2">
        <f t="shared" si="3"/>
        <v>0</v>
      </c>
      <c r="I38" s="3" t="s">
        <v>3714</v>
      </c>
      <c r="J38" s="17">
        <f t="shared" si="4"/>
        <v>0</v>
      </c>
      <c r="K38" s="2">
        <f t="shared" si="5"/>
        <v>0</v>
      </c>
      <c r="L38" s="12" t="s">
        <v>3714</v>
      </c>
    </row>
    <row r="39" spans="1:12" x14ac:dyDescent="0.25">
      <c r="A39" s="11" t="s">
        <v>1438</v>
      </c>
      <c r="B39" s="2" t="str">
        <f t="shared" si="0"/>
        <v>Dyno Rhd mfA</v>
      </c>
      <c r="C39" s="3">
        <v>38</v>
      </c>
      <c r="D39" s="17" t="s">
        <v>37</v>
      </c>
      <c r="E39" s="2" t="str">
        <f t="shared" si="1"/>
        <v>Ult.P mp A R</v>
      </c>
      <c r="F39" s="12">
        <v>38</v>
      </c>
      <c r="G39" s="17">
        <f t="shared" si="2"/>
        <v>0</v>
      </c>
      <c r="H39" s="2">
        <f t="shared" si="3"/>
        <v>0</v>
      </c>
      <c r="I39" s="3" t="s">
        <v>3714</v>
      </c>
      <c r="J39" s="17">
        <f t="shared" si="4"/>
        <v>0</v>
      </c>
      <c r="K39" s="2">
        <f t="shared" si="5"/>
        <v>0</v>
      </c>
      <c r="L39" s="12" t="s">
        <v>3714</v>
      </c>
    </row>
    <row r="40" spans="1:12" x14ac:dyDescent="0.25">
      <c r="A40" s="11" t="s">
        <v>1439</v>
      </c>
      <c r="B40" s="2" t="str">
        <f t="shared" si="0"/>
        <v>Dyno Rhd mfB</v>
      </c>
      <c r="C40" s="3">
        <v>39</v>
      </c>
      <c r="D40" s="17" t="s">
        <v>38</v>
      </c>
      <c r="E40" s="2" t="str">
        <f t="shared" si="1"/>
        <v>Ult.P mp B L</v>
      </c>
      <c r="F40" s="12">
        <v>39</v>
      </c>
      <c r="G40" s="17">
        <f t="shared" si="2"/>
        <v>0</v>
      </c>
      <c r="H40" s="2">
        <f t="shared" si="3"/>
        <v>0</v>
      </c>
      <c r="I40" s="3" t="s">
        <v>3714</v>
      </c>
      <c r="J40" s="17">
        <f t="shared" si="4"/>
        <v>0</v>
      </c>
      <c r="K40" s="2">
        <f t="shared" si="5"/>
        <v>0</v>
      </c>
      <c r="L40" s="12" t="s">
        <v>3714</v>
      </c>
    </row>
    <row r="41" spans="1:12" x14ac:dyDescent="0.25">
      <c r="A41" s="11" t="s">
        <v>1440</v>
      </c>
      <c r="B41" s="2" t="str">
        <f t="shared" si="0"/>
        <v>Dyno Rhd mfC</v>
      </c>
      <c r="C41" s="3">
        <v>40</v>
      </c>
      <c r="D41" s="17" t="s">
        <v>39</v>
      </c>
      <c r="E41" s="2" t="str">
        <f t="shared" si="1"/>
        <v>Ult.P mp B R</v>
      </c>
      <c r="F41" s="12">
        <v>40</v>
      </c>
      <c r="G41" s="17">
        <f t="shared" si="2"/>
        <v>0</v>
      </c>
      <c r="H41" s="2">
        <f t="shared" si="3"/>
        <v>0</v>
      </c>
      <c r="I41" s="3" t="s">
        <v>3714</v>
      </c>
      <c r="J41" s="17">
        <f t="shared" si="4"/>
        <v>0</v>
      </c>
      <c r="K41" s="2">
        <f t="shared" si="5"/>
        <v>0</v>
      </c>
      <c r="L41" s="12" t="s">
        <v>3714</v>
      </c>
    </row>
    <row r="42" spans="1:12" x14ac:dyDescent="0.25">
      <c r="A42" s="11" t="s">
        <v>1441</v>
      </c>
      <c r="B42" s="2" t="str">
        <f t="shared" si="0"/>
        <v>Dyno Rhd ffA</v>
      </c>
      <c r="C42" s="3">
        <v>41</v>
      </c>
      <c r="D42" s="17" t="s">
        <v>40</v>
      </c>
      <c r="E42" s="2" t="str">
        <f t="shared" si="1"/>
        <v>Ult.P mp C L</v>
      </c>
      <c r="F42" s="12">
        <v>41</v>
      </c>
      <c r="G42" s="17">
        <f t="shared" si="2"/>
        <v>0</v>
      </c>
      <c r="H42" s="2">
        <f t="shared" si="3"/>
        <v>0</v>
      </c>
      <c r="I42" s="3" t="s">
        <v>3714</v>
      </c>
      <c r="J42" s="17">
        <f t="shared" si="4"/>
        <v>0</v>
      </c>
      <c r="K42" s="2">
        <f t="shared" si="5"/>
        <v>0</v>
      </c>
      <c r="L42" s="12" t="s">
        <v>3714</v>
      </c>
    </row>
    <row r="43" spans="1:12" x14ac:dyDescent="0.25">
      <c r="A43" s="11" t="s">
        <v>1442</v>
      </c>
      <c r="B43" s="2" t="str">
        <f t="shared" si="0"/>
        <v>Dyno Rhd ffB</v>
      </c>
      <c r="C43" s="3">
        <v>42</v>
      </c>
      <c r="D43" s="17" t="s">
        <v>41</v>
      </c>
      <c r="E43" s="2" t="str">
        <f t="shared" si="1"/>
        <v>Ult.P mp C R</v>
      </c>
      <c r="F43" s="12">
        <v>42</v>
      </c>
      <c r="G43" s="17">
        <f t="shared" si="2"/>
        <v>0</v>
      </c>
      <c r="H43" s="2">
        <f t="shared" si="3"/>
        <v>0</v>
      </c>
      <c r="I43" s="3" t="s">
        <v>3714</v>
      </c>
      <c r="J43" s="17">
        <f t="shared" si="4"/>
        <v>0</v>
      </c>
      <c r="K43" s="2">
        <f t="shared" si="5"/>
        <v>0</v>
      </c>
      <c r="L43" s="12" t="s">
        <v>3714</v>
      </c>
    </row>
    <row r="44" spans="1:12" x14ac:dyDescent="0.25">
      <c r="A44" s="11" t="s">
        <v>1443</v>
      </c>
      <c r="B44" s="2" t="str">
        <f t="shared" si="0"/>
        <v>Dyno Rhd ffC</v>
      </c>
      <c r="C44" s="3">
        <v>43</v>
      </c>
      <c r="D44" s="17" t="s">
        <v>42</v>
      </c>
      <c r="E44" s="2" t="str">
        <f t="shared" si="1"/>
        <v>Ult.P f A L</v>
      </c>
      <c r="F44" s="12">
        <v>43</v>
      </c>
      <c r="G44" s="17">
        <f t="shared" si="2"/>
        <v>0</v>
      </c>
      <c r="H44" s="2">
        <f t="shared" si="3"/>
        <v>0</v>
      </c>
      <c r="I44" s="3" t="s">
        <v>3714</v>
      </c>
      <c r="J44" s="17">
        <f t="shared" si="4"/>
        <v>0</v>
      </c>
      <c r="K44" s="2">
        <f t="shared" si="5"/>
        <v>0</v>
      </c>
      <c r="L44" s="12" t="s">
        <v>3714</v>
      </c>
    </row>
    <row r="45" spans="1:12" x14ac:dyDescent="0.25">
      <c r="A45" s="11" t="s">
        <v>1444</v>
      </c>
      <c r="B45" s="2" t="str">
        <f t="shared" si="0"/>
        <v>Wurly mp A</v>
      </c>
      <c r="C45" s="3">
        <v>44</v>
      </c>
      <c r="D45" s="17" t="s">
        <v>43</v>
      </c>
      <c r="E45" s="2" t="str">
        <f t="shared" si="1"/>
        <v>Ult.P f A R</v>
      </c>
      <c r="F45" s="12">
        <v>44</v>
      </c>
      <c r="G45" s="17">
        <f t="shared" si="2"/>
        <v>137</v>
      </c>
      <c r="H45" s="2">
        <f t="shared" si="3"/>
        <v>93</v>
      </c>
      <c r="I45" s="3" t="s">
        <v>3714</v>
      </c>
      <c r="J45" s="17">
        <f t="shared" si="4"/>
        <v>0</v>
      </c>
      <c r="K45" s="2">
        <f t="shared" si="5"/>
        <v>0</v>
      </c>
      <c r="L45" s="12" t="s">
        <v>3714</v>
      </c>
    </row>
    <row r="46" spans="1:12" x14ac:dyDescent="0.25">
      <c r="A46" s="11" t="s">
        <v>1445</v>
      </c>
      <c r="B46" s="2" t="str">
        <f t="shared" si="0"/>
        <v>Wurly mp B</v>
      </c>
      <c r="C46" s="3">
        <v>45</v>
      </c>
      <c r="D46" s="17" t="s">
        <v>44</v>
      </c>
      <c r="E46" s="2" t="str">
        <f t="shared" si="1"/>
        <v>Ult.P f B L</v>
      </c>
      <c r="F46" s="12">
        <v>45</v>
      </c>
      <c r="G46" s="17">
        <f t="shared" si="2"/>
        <v>138</v>
      </c>
      <c r="H46" s="2">
        <f t="shared" si="3"/>
        <v>93</v>
      </c>
      <c r="I46" s="3" t="s">
        <v>3714</v>
      </c>
      <c r="J46" s="17">
        <f t="shared" si="4"/>
        <v>0</v>
      </c>
      <c r="K46" s="2">
        <f t="shared" si="5"/>
        <v>0</v>
      </c>
      <c r="L46" s="12" t="s">
        <v>3714</v>
      </c>
    </row>
    <row r="47" spans="1:12" x14ac:dyDescent="0.25">
      <c r="A47" s="11" t="s">
        <v>1446</v>
      </c>
      <c r="B47" s="2" t="str">
        <f t="shared" si="0"/>
        <v>Wurly mp C</v>
      </c>
      <c r="C47" s="3">
        <v>46</v>
      </c>
      <c r="D47" s="17" t="s">
        <v>45</v>
      </c>
      <c r="E47" s="2" t="str">
        <f t="shared" si="1"/>
        <v>Ult.P f B R</v>
      </c>
      <c r="F47" s="12">
        <v>46</v>
      </c>
      <c r="G47" s="17">
        <f t="shared" si="2"/>
        <v>139</v>
      </c>
      <c r="H47" s="2">
        <f t="shared" si="3"/>
        <v>93</v>
      </c>
      <c r="I47" s="3" t="s">
        <v>3714</v>
      </c>
      <c r="J47" s="17">
        <f t="shared" si="4"/>
        <v>0</v>
      </c>
      <c r="K47" s="2">
        <f t="shared" si="5"/>
        <v>0</v>
      </c>
      <c r="L47" s="12" t="s">
        <v>3714</v>
      </c>
    </row>
    <row r="48" spans="1:12" x14ac:dyDescent="0.25">
      <c r="A48" s="11" t="s">
        <v>1447</v>
      </c>
      <c r="B48" s="2" t="str">
        <f t="shared" si="0"/>
        <v>Wurly mf A</v>
      </c>
      <c r="C48" s="3">
        <v>47</v>
      </c>
      <c r="D48" s="17" t="s">
        <v>46</v>
      </c>
      <c r="E48" s="2" t="str">
        <f t="shared" si="1"/>
        <v>Ult.P f C L</v>
      </c>
      <c r="F48" s="12">
        <v>47</v>
      </c>
      <c r="G48" s="17">
        <f t="shared" si="2"/>
        <v>140</v>
      </c>
      <c r="H48" s="2">
        <f t="shared" si="3"/>
        <v>93</v>
      </c>
      <c r="I48" s="3" t="s">
        <v>3714</v>
      </c>
      <c r="J48" s="17">
        <f t="shared" si="4"/>
        <v>0</v>
      </c>
      <c r="K48" s="2">
        <f t="shared" si="5"/>
        <v>0</v>
      </c>
      <c r="L48" s="12" t="s">
        <v>3714</v>
      </c>
    </row>
    <row r="49" spans="1:12" x14ac:dyDescent="0.25">
      <c r="A49" s="11" t="s">
        <v>1448</v>
      </c>
      <c r="B49" s="2" t="str">
        <f t="shared" si="0"/>
        <v>Wurly mf B</v>
      </c>
      <c r="C49" s="3">
        <v>48</v>
      </c>
      <c r="D49" s="17" t="s">
        <v>47</v>
      </c>
      <c r="E49" s="2" t="str">
        <f t="shared" si="1"/>
        <v>Ult.P f C R</v>
      </c>
      <c r="F49" s="12">
        <v>48</v>
      </c>
      <c r="G49" s="17">
        <f t="shared" si="2"/>
        <v>141</v>
      </c>
      <c r="H49" s="2">
        <f t="shared" si="3"/>
        <v>93</v>
      </c>
      <c r="I49" s="3" t="s">
        <v>3714</v>
      </c>
      <c r="J49" s="17">
        <f t="shared" si="4"/>
        <v>0</v>
      </c>
      <c r="K49" s="2">
        <f t="shared" si="5"/>
        <v>0</v>
      </c>
      <c r="L49" s="12" t="s">
        <v>3714</v>
      </c>
    </row>
    <row r="50" spans="1:12" x14ac:dyDescent="0.25">
      <c r="A50" s="11" t="s">
        <v>1449</v>
      </c>
      <c r="B50" s="2" t="str">
        <f t="shared" si="0"/>
        <v>Wurly mf C</v>
      </c>
      <c r="C50" s="3">
        <v>49</v>
      </c>
      <c r="D50" s="17" t="s">
        <v>48</v>
      </c>
      <c r="E50" s="2" t="str">
        <f t="shared" si="1"/>
        <v>Ult.P ff A L</v>
      </c>
      <c r="F50" s="12">
        <v>49</v>
      </c>
      <c r="G50" s="17">
        <f t="shared" si="2"/>
        <v>142</v>
      </c>
      <c r="H50" s="2">
        <f t="shared" si="3"/>
        <v>93</v>
      </c>
      <c r="I50" s="3" t="s">
        <v>3714</v>
      </c>
      <c r="J50" s="17">
        <f t="shared" si="4"/>
        <v>0</v>
      </c>
      <c r="K50" s="2">
        <f t="shared" si="5"/>
        <v>0</v>
      </c>
      <c r="L50" s="12" t="s">
        <v>3714</v>
      </c>
    </row>
    <row r="51" spans="1:12" x14ac:dyDescent="0.25">
      <c r="A51" s="11" t="s">
        <v>1450</v>
      </c>
      <c r="B51" s="2" t="str">
        <f t="shared" si="0"/>
        <v>Wurly ff A</v>
      </c>
      <c r="C51" s="3">
        <v>50</v>
      </c>
      <c r="D51" s="17" t="s">
        <v>49</v>
      </c>
      <c r="E51" s="2" t="str">
        <f t="shared" si="1"/>
        <v>Ult.P ff A R</v>
      </c>
      <c r="F51" s="12">
        <v>50</v>
      </c>
      <c r="G51" s="17">
        <f t="shared" si="2"/>
        <v>143</v>
      </c>
      <c r="H51" s="2">
        <f t="shared" si="3"/>
        <v>93</v>
      </c>
      <c r="I51" s="3" t="s">
        <v>3714</v>
      </c>
      <c r="J51" s="17">
        <f t="shared" si="4"/>
        <v>0</v>
      </c>
      <c r="K51" s="2">
        <f t="shared" si="5"/>
        <v>0</v>
      </c>
      <c r="L51" s="12" t="s">
        <v>3714</v>
      </c>
    </row>
    <row r="52" spans="1:12" x14ac:dyDescent="0.25">
      <c r="A52" s="11" t="s">
        <v>1451</v>
      </c>
      <c r="B52" s="2" t="str">
        <f t="shared" si="0"/>
        <v>Wurly ff B</v>
      </c>
      <c r="C52" s="3">
        <v>51</v>
      </c>
      <c r="D52" s="17" t="s">
        <v>50</v>
      </c>
      <c r="E52" s="2" t="str">
        <f t="shared" si="1"/>
        <v>Ult.P ff B L</v>
      </c>
      <c r="F52" s="12">
        <v>51</v>
      </c>
      <c r="G52" s="17">
        <f t="shared" si="2"/>
        <v>144</v>
      </c>
      <c r="H52" s="2">
        <f t="shared" si="3"/>
        <v>93</v>
      </c>
      <c r="I52" s="3" t="s">
        <v>3714</v>
      </c>
      <c r="J52" s="17">
        <f t="shared" si="4"/>
        <v>0</v>
      </c>
      <c r="K52" s="2">
        <f t="shared" si="5"/>
        <v>0</v>
      </c>
      <c r="L52" s="12" t="s">
        <v>3714</v>
      </c>
    </row>
    <row r="53" spans="1:12" x14ac:dyDescent="0.25">
      <c r="A53" s="11" t="s">
        <v>1452</v>
      </c>
      <c r="B53" s="2" t="str">
        <f t="shared" si="0"/>
        <v>Wurly ff C</v>
      </c>
      <c r="C53" s="3">
        <v>52</v>
      </c>
      <c r="D53" s="17" t="s">
        <v>51</v>
      </c>
      <c r="E53" s="2" t="str">
        <f t="shared" si="1"/>
        <v>Ult.P ff B R</v>
      </c>
      <c r="F53" s="12">
        <v>52</v>
      </c>
      <c r="G53" s="17">
        <f t="shared" si="2"/>
        <v>145</v>
      </c>
      <c r="H53" s="2">
        <f t="shared" si="3"/>
        <v>93</v>
      </c>
      <c r="I53" s="3" t="s">
        <v>3714</v>
      </c>
      <c r="J53" s="17">
        <f t="shared" si="4"/>
        <v>0</v>
      </c>
      <c r="K53" s="2">
        <f t="shared" si="5"/>
        <v>0</v>
      </c>
      <c r="L53" s="12" t="s">
        <v>3714</v>
      </c>
    </row>
    <row r="54" spans="1:12" x14ac:dyDescent="0.25">
      <c r="A54" s="11" t="s">
        <v>1453</v>
      </c>
      <c r="B54" s="2" t="str">
        <f t="shared" si="0"/>
        <v>Lo-Fi Wurly</v>
      </c>
      <c r="C54" s="3">
        <v>53</v>
      </c>
      <c r="D54" s="17" t="s">
        <v>52</v>
      </c>
      <c r="E54" s="2" t="str">
        <f t="shared" si="1"/>
        <v>Ult.P ff C L</v>
      </c>
      <c r="F54" s="12">
        <v>53</v>
      </c>
      <c r="G54" s="17">
        <f t="shared" si="2"/>
        <v>0</v>
      </c>
      <c r="H54" s="2">
        <f t="shared" si="3"/>
        <v>0</v>
      </c>
      <c r="I54" s="3" t="s">
        <v>3714</v>
      </c>
      <c r="J54" s="17">
        <f t="shared" si="4"/>
        <v>0</v>
      </c>
      <c r="K54" s="2">
        <f t="shared" si="5"/>
        <v>0</v>
      </c>
      <c r="L54" s="12" t="s">
        <v>3714</v>
      </c>
    </row>
    <row r="55" spans="1:12" x14ac:dyDescent="0.25">
      <c r="A55" s="11" t="s">
        <v>1454</v>
      </c>
      <c r="B55" s="2" t="str">
        <f t="shared" si="0"/>
        <v>Sft SA Rhd A</v>
      </c>
      <c r="C55" s="3">
        <v>54</v>
      </c>
      <c r="D55" s="17" t="s">
        <v>53</v>
      </c>
      <c r="E55" s="2" t="str">
        <f t="shared" si="1"/>
        <v>Ult.P ff C R</v>
      </c>
      <c r="F55" s="12">
        <v>54</v>
      </c>
      <c r="G55" s="17">
        <f t="shared" si="2"/>
        <v>0</v>
      </c>
      <c r="H55" s="2">
        <f t="shared" si="3"/>
        <v>0</v>
      </c>
      <c r="I55" s="3" t="s">
        <v>3714</v>
      </c>
      <c r="J55" s="17">
        <f t="shared" si="4"/>
        <v>0</v>
      </c>
      <c r="K55" s="2">
        <f t="shared" si="5"/>
        <v>0</v>
      </c>
      <c r="L55" s="12" t="s">
        <v>3714</v>
      </c>
    </row>
    <row r="56" spans="1:12" x14ac:dyDescent="0.25">
      <c r="A56" s="11" t="s">
        <v>1455</v>
      </c>
      <c r="B56" s="2" t="str">
        <f t="shared" si="0"/>
        <v>Sft SA Rhd B</v>
      </c>
      <c r="C56" s="3">
        <v>55</v>
      </c>
      <c r="D56" s="17" t="s">
        <v>54</v>
      </c>
      <c r="E56" s="2" t="str">
        <f t="shared" si="1"/>
        <v>XPr.P mp A L</v>
      </c>
      <c r="F56" s="12">
        <v>55</v>
      </c>
      <c r="G56" s="17">
        <f t="shared" si="2"/>
        <v>0</v>
      </c>
      <c r="H56" s="2">
        <f t="shared" si="3"/>
        <v>0</v>
      </c>
      <c r="I56" s="3" t="s">
        <v>3714</v>
      </c>
      <c r="J56" s="17">
        <f t="shared" si="4"/>
        <v>0</v>
      </c>
      <c r="K56" s="2">
        <f t="shared" si="5"/>
        <v>0</v>
      </c>
      <c r="L56" s="12" t="s">
        <v>3714</v>
      </c>
    </row>
    <row r="57" spans="1:12" x14ac:dyDescent="0.25">
      <c r="A57" s="11" t="s">
        <v>1456</v>
      </c>
      <c r="B57" s="2" t="str">
        <f t="shared" si="0"/>
        <v>Sft SA Rhd C</v>
      </c>
      <c r="C57" s="3">
        <v>56</v>
      </c>
      <c r="D57" s="17" t="s">
        <v>55</v>
      </c>
      <c r="E57" s="2" t="str">
        <f t="shared" si="1"/>
        <v>XPr.P mp A R</v>
      </c>
      <c r="F57" s="12">
        <v>56</v>
      </c>
      <c r="G57" s="17">
        <f t="shared" si="2"/>
        <v>0</v>
      </c>
      <c r="H57" s="2">
        <f t="shared" si="3"/>
        <v>0</v>
      </c>
      <c r="I57" s="3" t="s">
        <v>3714</v>
      </c>
      <c r="J57" s="17">
        <f t="shared" si="4"/>
        <v>0</v>
      </c>
      <c r="K57" s="2">
        <f t="shared" si="5"/>
        <v>0</v>
      </c>
      <c r="L57" s="12" t="s">
        <v>3714</v>
      </c>
    </row>
    <row r="58" spans="1:12" x14ac:dyDescent="0.25">
      <c r="A58" s="11" t="s">
        <v>1457</v>
      </c>
      <c r="B58" s="2" t="str">
        <f t="shared" si="0"/>
        <v>Hrd SA Rhd A</v>
      </c>
      <c r="C58" s="3">
        <v>57</v>
      </c>
      <c r="D58" s="17" t="s">
        <v>56</v>
      </c>
      <c r="E58" s="2" t="str">
        <f t="shared" si="1"/>
        <v>XPr.P mp B L</v>
      </c>
      <c r="F58" s="12">
        <v>57</v>
      </c>
      <c r="G58" s="17">
        <f t="shared" si="2"/>
        <v>0</v>
      </c>
      <c r="H58" s="2">
        <f t="shared" si="3"/>
        <v>0</v>
      </c>
      <c r="I58" s="3" t="s">
        <v>3714</v>
      </c>
      <c r="J58" s="17">
        <f t="shared" si="4"/>
        <v>0</v>
      </c>
      <c r="K58" s="2">
        <f t="shared" si="5"/>
        <v>0</v>
      </c>
      <c r="L58" s="12" t="s">
        <v>3714</v>
      </c>
    </row>
    <row r="59" spans="1:12" x14ac:dyDescent="0.25">
      <c r="A59" s="11" t="s">
        <v>1458</v>
      </c>
      <c r="B59" s="2" t="str">
        <f t="shared" si="0"/>
        <v>Hrd SA Rhd B</v>
      </c>
      <c r="C59" s="3">
        <v>58</v>
      </c>
      <c r="D59" s="17" t="s">
        <v>57</v>
      </c>
      <c r="E59" s="2" t="str">
        <f t="shared" si="1"/>
        <v>XPr.P mp B R</v>
      </c>
      <c r="F59" s="12">
        <v>58</v>
      </c>
      <c r="G59" s="17">
        <f t="shared" si="2"/>
        <v>0</v>
      </c>
      <c r="H59" s="2">
        <f t="shared" si="3"/>
        <v>0</v>
      </c>
      <c r="I59" s="3" t="s">
        <v>3714</v>
      </c>
      <c r="J59" s="17">
        <f t="shared" si="4"/>
        <v>0</v>
      </c>
      <c r="K59" s="2">
        <f t="shared" si="5"/>
        <v>0</v>
      </c>
      <c r="L59" s="12" t="s">
        <v>3714</v>
      </c>
    </row>
    <row r="60" spans="1:12" x14ac:dyDescent="0.25">
      <c r="A60" s="11" t="s">
        <v>1459</v>
      </c>
      <c r="B60" s="2" t="str">
        <f t="shared" si="0"/>
        <v>Hrd SA Rhd C</v>
      </c>
      <c r="C60" s="3">
        <v>59</v>
      </c>
      <c r="D60" s="17" t="s">
        <v>58</v>
      </c>
      <c r="E60" s="2" t="str">
        <f t="shared" si="1"/>
        <v>XPr.P mp C L</v>
      </c>
      <c r="F60" s="12">
        <v>59</v>
      </c>
      <c r="G60" s="17">
        <f t="shared" si="2"/>
        <v>0</v>
      </c>
      <c r="H60" s="2">
        <f t="shared" si="3"/>
        <v>0</v>
      </c>
      <c r="I60" s="3" t="s">
        <v>3714</v>
      </c>
      <c r="J60" s="17">
        <f t="shared" si="4"/>
        <v>0</v>
      </c>
      <c r="K60" s="2">
        <f t="shared" si="5"/>
        <v>0</v>
      </c>
      <c r="L60" s="12" t="s">
        <v>3714</v>
      </c>
    </row>
    <row r="61" spans="1:12" x14ac:dyDescent="0.25">
      <c r="A61" s="11" t="s">
        <v>1460</v>
      </c>
      <c r="B61" s="2" t="str">
        <f t="shared" si="0"/>
        <v>SA Rhd Ens A</v>
      </c>
      <c r="C61" s="3">
        <v>60</v>
      </c>
      <c r="D61" s="17" t="s">
        <v>59</v>
      </c>
      <c r="E61" s="2" t="str">
        <f t="shared" si="1"/>
        <v>XPr.P mp C R</v>
      </c>
      <c r="F61" s="12">
        <v>60</v>
      </c>
      <c r="G61" s="17">
        <f t="shared" si="2"/>
        <v>0</v>
      </c>
      <c r="H61" s="2">
        <f t="shared" si="3"/>
        <v>0</v>
      </c>
      <c r="I61" s="3" t="s">
        <v>3714</v>
      </c>
      <c r="J61" s="17">
        <f t="shared" si="4"/>
        <v>0</v>
      </c>
      <c r="K61" s="2">
        <f t="shared" si="5"/>
        <v>0</v>
      </c>
      <c r="L61" s="12" t="s">
        <v>3714</v>
      </c>
    </row>
    <row r="62" spans="1:12" x14ac:dyDescent="0.25">
      <c r="A62" s="11" t="s">
        <v>1461</v>
      </c>
      <c r="B62" s="2" t="str">
        <f t="shared" si="0"/>
        <v>SA Rhd Ens B</v>
      </c>
      <c r="C62" s="3">
        <v>61</v>
      </c>
      <c r="D62" s="17" t="s">
        <v>60</v>
      </c>
      <c r="E62" s="2" t="str">
        <f t="shared" si="1"/>
        <v>XPr.P f A L</v>
      </c>
      <c r="F62" s="12">
        <v>61</v>
      </c>
      <c r="G62" s="17">
        <f t="shared" si="2"/>
        <v>0</v>
      </c>
      <c r="H62" s="2">
        <f t="shared" si="3"/>
        <v>0</v>
      </c>
      <c r="I62" s="3" t="s">
        <v>3714</v>
      </c>
      <c r="J62" s="17">
        <f t="shared" si="4"/>
        <v>0</v>
      </c>
      <c r="K62" s="2">
        <f t="shared" si="5"/>
        <v>0</v>
      </c>
      <c r="L62" s="12" t="s">
        <v>3714</v>
      </c>
    </row>
    <row r="63" spans="1:12" x14ac:dyDescent="0.25">
      <c r="A63" s="11" t="s">
        <v>1462</v>
      </c>
      <c r="B63" s="2" t="str">
        <f t="shared" si="0"/>
        <v>SA Rhd Ens C</v>
      </c>
      <c r="C63" s="3">
        <v>62</v>
      </c>
      <c r="D63" s="17" t="s">
        <v>61</v>
      </c>
      <c r="E63" s="2" t="str">
        <f t="shared" si="1"/>
        <v>XPr.P f A R</v>
      </c>
      <c r="F63" s="12">
        <v>62</v>
      </c>
      <c r="G63" s="17">
        <f t="shared" si="2"/>
        <v>0</v>
      </c>
      <c r="H63" s="2">
        <f t="shared" si="3"/>
        <v>0</v>
      </c>
      <c r="I63" s="3" t="s">
        <v>3714</v>
      </c>
      <c r="J63" s="17">
        <f t="shared" si="4"/>
        <v>0</v>
      </c>
      <c r="K63" s="2">
        <f t="shared" si="5"/>
        <v>0</v>
      </c>
      <c r="L63" s="12" t="s">
        <v>3714</v>
      </c>
    </row>
    <row r="64" spans="1:12" x14ac:dyDescent="0.25">
      <c r="A64" s="11" t="s">
        <v>1463</v>
      </c>
      <c r="B64" s="2" t="str">
        <f t="shared" si="0"/>
        <v>SA E.Piano A</v>
      </c>
      <c r="C64" s="3">
        <v>63</v>
      </c>
      <c r="D64" s="17" t="s">
        <v>62</v>
      </c>
      <c r="E64" s="2" t="str">
        <f t="shared" si="1"/>
        <v>XPr.P f B L</v>
      </c>
      <c r="F64" s="12">
        <v>63</v>
      </c>
      <c r="G64" s="17">
        <f t="shared" si="2"/>
        <v>152</v>
      </c>
      <c r="H64" s="2">
        <f t="shared" si="3"/>
        <v>89</v>
      </c>
      <c r="I64" s="3" t="s">
        <v>3714</v>
      </c>
      <c r="J64" s="17">
        <f t="shared" si="4"/>
        <v>0</v>
      </c>
      <c r="K64" s="2">
        <f t="shared" si="5"/>
        <v>0</v>
      </c>
      <c r="L64" s="12" t="s">
        <v>3714</v>
      </c>
    </row>
    <row r="65" spans="1:12" x14ac:dyDescent="0.25">
      <c r="A65" s="11" t="s">
        <v>1464</v>
      </c>
      <c r="B65" s="2" t="str">
        <f t="shared" si="0"/>
        <v>SA E.Piano B</v>
      </c>
      <c r="C65" s="3">
        <v>64</v>
      </c>
      <c r="D65" s="17" t="s">
        <v>63</v>
      </c>
      <c r="E65" s="2" t="str">
        <f t="shared" si="1"/>
        <v>XPr.P f B R</v>
      </c>
      <c r="F65" s="12">
        <v>64</v>
      </c>
      <c r="G65" s="17">
        <f t="shared" si="2"/>
        <v>153</v>
      </c>
      <c r="H65" s="2">
        <f t="shared" si="3"/>
        <v>89</v>
      </c>
      <c r="I65" s="3" t="s">
        <v>3714</v>
      </c>
      <c r="J65" s="17">
        <f t="shared" si="4"/>
        <v>0</v>
      </c>
      <c r="K65" s="2">
        <f t="shared" si="5"/>
        <v>0</v>
      </c>
      <c r="L65" s="12" t="s">
        <v>3714</v>
      </c>
    </row>
    <row r="66" spans="1:12" x14ac:dyDescent="0.25">
      <c r="A66" s="11" t="s">
        <v>1465</v>
      </c>
      <c r="B66" s="2" t="str">
        <f t="shared" ref="B66:B129" si="6">_xlfn.TEXTAFTER(A66," ",1)</f>
        <v>SA E.Piano C</v>
      </c>
      <c r="C66" s="3">
        <v>65</v>
      </c>
      <c r="D66" s="17" t="s">
        <v>64</v>
      </c>
      <c r="E66" s="2" t="str">
        <f t="shared" ref="E66:E129" si="7">_xlfn.TEXTAFTER(D66," ",1)</f>
        <v>XPr.P f C L</v>
      </c>
      <c r="F66" s="12">
        <v>65</v>
      </c>
      <c r="G66" s="17">
        <f t="shared" si="2"/>
        <v>154</v>
      </c>
      <c r="H66" s="2">
        <f t="shared" si="3"/>
        <v>89</v>
      </c>
      <c r="I66" s="3" t="s">
        <v>3714</v>
      </c>
      <c r="J66" s="17">
        <f t="shared" si="4"/>
        <v>0</v>
      </c>
      <c r="K66" s="2">
        <f t="shared" si="5"/>
        <v>0</v>
      </c>
      <c r="L66" s="12" t="s">
        <v>3714</v>
      </c>
    </row>
    <row r="67" spans="1:12" x14ac:dyDescent="0.25">
      <c r="A67" s="11" t="s">
        <v>1466</v>
      </c>
      <c r="B67" s="2" t="str">
        <f t="shared" si="6"/>
        <v>80's E.Pno 1</v>
      </c>
      <c r="C67" s="3">
        <v>66</v>
      </c>
      <c r="D67" s="17" t="s">
        <v>65</v>
      </c>
      <c r="E67" s="2" t="str">
        <f t="shared" si="7"/>
        <v>XPr.P f C R</v>
      </c>
      <c r="F67" s="12">
        <v>66</v>
      </c>
      <c r="G67" s="17">
        <f t="shared" ref="G67:G130" si="8">_xlfn.IFNA(_xlfn.XMATCH(B67,E$2:E$1402,0,1),0)</f>
        <v>155</v>
      </c>
      <c r="H67" s="2">
        <f t="shared" ref="H67:H130" si="9">IF(G67=0,0,G67-C67)</f>
        <v>89</v>
      </c>
      <c r="I67" s="3" t="s">
        <v>3714</v>
      </c>
      <c r="J67" s="17">
        <f t="shared" ref="J67:J130" si="10">_xlfn.IFNA(_xlfn.XMATCH(E67,B$2:B$1229,0,1),0)</f>
        <v>0</v>
      </c>
      <c r="K67" s="2">
        <f t="shared" ref="K67:K130" si="11">IF(J67=0,0,J67-F67)</f>
        <v>0</v>
      </c>
      <c r="L67" s="12" t="s">
        <v>3714</v>
      </c>
    </row>
    <row r="68" spans="1:12" x14ac:dyDescent="0.25">
      <c r="A68" s="11" t="s">
        <v>1467</v>
      </c>
      <c r="B68" s="2" t="str">
        <f t="shared" si="6"/>
        <v>80's E.Pno 2</v>
      </c>
      <c r="C68" s="3">
        <v>67</v>
      </c>
      <c r="D68" s="17" t="s">
        <v>66</v>
      </c>
      <c r="E68" s="2" t="str">
        <f t="shared" si="7"/>
        <v>XPr.P ff A L</v>
      </c>
      <c r="F68" s="12">
        <v>67</v>
      </c>
      <c r="G68" s="17">
        <f t="shared" si="8"/>
        <v>156</v>
      </c>
      <c r="H68" s="2">
        <f t="shared" si="9"/>
        <v>89</v>
      </c>
      <c r="I68" s="3" t="s">
        <v>3714</v>
      </c>
      <c r="J68" s="17">
        <f t="shared" si="10"/>
        <v>0</v>
      </c>
      <c r="K68" s="2">
        <f t="shared" si="11"/>
        <v>0</v>
      </c>
      <c r="L68" s="12" t="s">
        <v>3714</v>
      </c>
    </row>
    <row r="69" spans="1:12" x14ac:dyDescent="0.25">
      <c r="A69" s="11" t="s">
        <v>1468</v>
      </c>
      <c r="B69" s="2" t="str">
        <f t="shared" si="6"/>
        <v>Hard E.Pno</v>
      </c>
      <c r="C69" s="3">
        <v>68</v>
      </c>
      <c r="D69" s="17" t="s">
        <v>67</v>
      </c>
      <c r="E69" s="2" t="str">
        <f t="shared" si="7"/>
        <v>XPr.P ff A R</v>
      </c>
      <c r="F69" s="12">
        <v>68</v>
      </c>
      <c r="G69" s="17">
        <f t="shared" si="8"/>
        <v>159</v>
      </c>
      <c r="H69" s="2">
        <f t="shared" si="9"/>
        <v>91</v>
      </c>
      <c r="I69" s="3" t="s">
        <v>3714</v>
      </c>
      <c r="J69" s="17">
        <f t="shared" si="10"/>
        <v>0</v>
      </c>
      <c r="K69" s="2">
        <f t="shared" si="11"/>
        <v>0</v>
      </c>
      <c r="L69" s="12" t="s">
        <v>3714</v>
      </c>
    </row>
    <row r="70" spans="1:12" x14ac:dyDescent="0.25">
      <c r="A70" s="11" t="s">
        <v>1469</v>
      </c>
      <c r="B70" s="2" t="str">
        <f t="shared" si="6"/>
        <v>Celesta</v>
      </c>
      <c r="C70" s="3">
        <v>69</v>
      </c>
      <c r="D70" s="17" t="s">
        <v>68</v>
      </c>
      <c r="E70" s="2" t="str">
        <f t="shared" si="7"/>
        <v>XPr.P ff B L</v>
      </c>
      <c r="F70" s="12">
        <v>69</v>
      </c>
      <c r="G70" s="17">
        <f t="shared" si="8"/>
        <v>160</v>
      </c>
      <c r="H70" s="2">
        <f t="shared" si="9"/>
        <v>91</v>
      </c>
      <c r="I70" s="3" t="s">
        <v>3714</v>
      </c>
      <c r="J70" s="17">
        <f t="shared" si="10"/>
        <v>0</v>
      </c>
      <c r="K70" s="2">
        <f t="shared" si="11"/>
        <v>0</v>
      </c>
      <c r="L70" s="12" t="s">
        <v>3714</v>
      </c>
    </row>
    <row r="71" spans="1:12" x14ac:dyDescent="0.25">
      <c r="A71" s="11" t="s">
        <v>1470</v>
      </c>
      <c r="B71" s="2" t="str">
        <f t="shared" si="6"/>
        <v>Music Box</v>
      </c>
      <c r="C71" s="3">
        <v>70</v>
      </c>
      <c r="D71" s="17" t="s">
        <v>69</v>
      </c>
      <c r="E71" s="2" t="str">
        <f t="shared" si="7"/>
        <v>XPr.P ff B R</v>
      </c>
      <c r="F71" s="12">
        <v>70</v>
      </c>
      <c r="G71" s="17">
        <f t="shared" si="8"/>
        <v>161</v>
      </c>
      <c r="H71" s="2">
        <f t="shared" si="9"/>
        <v>91</v>
      </c>
      <c r="I71" s="3" t="s">
        <v>3714</v>
      </c>
      <c r="J71" s="17">
        <f t="shared" si="10"/>
        <v>0</v>
      </c>
      <c r="K71" s="2">
        <f t="shared" si="11"/>
        <v>0</v>
      </c>
      <c r="L71" s="12" t="s">
        <v>3714</v>
      </c>
    </row>
    <row r="72" spans="1:12" x14ac:dyDescent="0.25">
      <c r="A72" s="11" t="s">
        <v>1471</v>
      </c>
      <c r="B72" s="2" t="str">
        <f t="shared" si="6"/>
        <v>Reg.Clav A</v>
      </c>
      <c r="C72" s="3">
        <v>71</v>
      </c>
      <c r="D72" s="17" t="s">
        <v>70</v>
      </c>
      <c r="E72" s="2" t="str">
        <f t="shared" si="7"/>
        <v>XPr.P ff C L</v>
      </c>
      <c r="F72" s="12">
        <v>71</v>
      </c>
      <c r="G72" s="17">
        <f t="shared" si="8"/>
        <v>165</v>
      </c>
      <c r="H72" s="2">
        <f t="shared" si="9"/>
        <v>94</v>
      </c>
      <c r="I72" s="3" t="s">
        <v>3714</v>
      </c>
      <c r="J72" s="17">
        <f t="shared" si="10"/>
        <v>0</v>
      </c>
      <c r="K72" s="2">
        <f t="shared" si="11"/>
        <v>0</v>
      </c>
      <c r="L72" s="12" t="s">
        <v>3714</v>
      </c>
    </row>
    <row r="73" spans="1:12" x14ac:dyDescent="0.25">
      <c r="A73" s="11" t="s">
        <v>1472</v>
      </c>
      <c r="B73" s="2" t="str">
        <f t="shared" si="6"/>
        <v>Reg.Clav B</v>
      </c>
      <c r="C73" s="3">
        <v>72</v>
      </c>
      <c r="D73" s="17" t="s">
        <v>71</v>
      </c>
      <c r="E73" s="2" t="str">
        <f t="shared" si="7"/>
        <v>XPr.P ff C R</v>
      </c>
      <c r="F73" s="12">
        <v>72</v>
      </c>
      <c r="G73" s="17">
        <f t="shared" si="8"/>
        <v>166</v>
      </c>
      <c r="H73" s="2">
        <f t="shared" si="9"/>
        <v>94</v>
      </c>
      <c r="I73" s="3" t="s">
        <v>3714</v>
      </c>
      <c r="J73" s="17">
        <f t="shared" si="10"/>
        <v>0</v>
      </c>
      <c r="K73" s="2">
        <f t="shared" si="11"/>
        <v>0</v>
      </c>
      <c r="L73" s="12" t="s">
        <v>3714</v>
      </c>
    </row>
    <row r="74" spans="1:12" x14ac:dyDescent="0.25">
      <c r="A74" s="11" t="s">
        <v>1473</v>
      </c>
      <c r="B74" s="2" t="str">
        <f t="shared" si="6"/>
        <v>Reg.Clav C</v>
      </c>
      <c r="C74" s="3">
        <v>73</v>
      </c>
      <c r="D74" s="17" t="s">
        <v>72</v>
      </c>
      <c r="E74" s="2" t="str">
        <f t="shared" si="7"/>
        <v>Ac.Pno p A L</v>
      </c>
      <c r="F74" s="12">
        <v>73</v>
      </c>
      <c r="G74" s="17">
        <f t="shared" si="8"/>
        <v>167</v>
      </c>
      <c r="H74" s="2">
        <f t="shared" si="9"/>
        <v>94</v>
      </c>
      <c r="I74" s="3" t="s">
        <v>3714</v>
      </c>
      <c r="J74" s="17">
        <f t="shared" si="10"/>
        <v>1</v>
      </c>
      <c r="K74" s="2">
        <f t="shared" si="11"/>
        <v>-72</v>
      </c>
      <c r="L74" s="12" t="s">
        <v>3714</v>
      </c>
    </row>
    <row r="75" spans="1:12" x14ac:dyDescent="0.25">
      <c r="A75" s="11" t="s">
        <v>1474</v>
      </c>
      <c r="B75" s="2" t="str">
        <f t="shared" si="6"/>
        <v>Retro Clav A</v>
      </c>
      <c r="C75" s="3">
        <v>74</v>
      </c>
      <c r="D75" s="17" t="s">
        <v>73</v>
      </c>
      <c r="E75" s="2" t="str">
        <f t="shared" si="7"/>
        <v>Ac.Pno p A R</v>
      </c>
      <c r="F75" s="12">
        <v>74</v>
      </c>
      <c r="G75" s="17">
        <f t="shared" si="8"/>
        <v>168</v>
      </c>
      <c r="H75" s="2">
        <f t="shared" si="9"/>
        <v>94</v>
      </c>
      <c r="I75" s="3" t="s">
        <v>3714</v>
      </c>
      <c r="J75" s="17">
        <f t="shared" si="10"/>
        <v>2</v>
      </c>
      <c r="K75" s="2">
        <f t="shared" si="11"/>
        <v>-72</v>
      </c>
      <c r="L75" s="12" t="s">
        <v>3714</v>
      </c>
    </row>
    <row r="76" spans="1:12" x14ac:dyDescent="0.25">
      <c r="A76" s="11" t="s">
        <v>1475</v>
      </c>
      <c r="B76" s="2" t="str">
        <f t="shared" si="6"/>
        <v>Retro Clav B</v>
      </c>
      <c r="C76" s="3">
        <v>75</v>
      </c>
      <c r="D76" s="17" t="s">
        <v>74</v>
      </c>
      <c r="E76" s="2" t="str">
        <f t="shared" si="7"/>
        <v>Ac.Pno p B L</v>
      </c>
      <c r="F76" s="12">
        <v>75</v>
      </c>
      <c r="G76" s="17">
        <f t="shared" si="8"/>
        <v>169</v>
      </c>
      <c r="H76" s="2">
        <f t="shared" si="9"/>
        <v>94</v>
      </c>
      <c r="I76" s="3" t="s">
        <v>3714</v>
      </c>
      <c r="J76" s="17">
        <f t="shared" si="10"/>
        <v>3</v>
      </c>
      <c r="K76" s="2">
        <f t="shared" si="11"/>
        <v>-72</v>
      </c>
      <c r="L76" s="12" t="s">
        <v>3714</v>
      </c>
    </row>
    <row r="77" spans="1:12" x14ac:dyDescent="0.25">
      <c r="A77" s="11" t="s">
        <v>1476</v>
      </c>
      <c r="B77" s="2" t="str">
        <f t="shared" si="6"/>
        <v>Retro Clav C</v>
      </c>
      <c r="C77" s="3">
        <v>76</v>
      </c>
      <c r="D77" s="17" t="s">
        <v>75</v>
      </c>
      <c r="E77" s="2" t="str">
        <f t="shared" si="7"/>
        <v>Ac.Pno p B R</v>
      </c>
      <c r="F77" s="12">
        <v>76</v>
      </c>
      <c r="G77" s="17">
        <f t="shared" si="8"/>
        <v>170</v>
      </c>
      <c r="H77" s="2">
        <f t="shared" si="9"/>
        <v>94</v>
      </c>
      <c r="I77" s="3" t="s">
        <v>3714</v>
      </c>
      <c r="J77" s="17">
        <f t="shared" si="10"/>
        <v>4</v>
      </c>
      <c r="K77" s="2">
        <f t="shared" si="11"/>
        <v>-72</v>
      </c>
      <c r="L77" s="12" t="s">
        <v>3714</v>
      </c>
    </row>
    <row r="78" spans="1:12" x14ac:dyDescent="0.25">
      <c r="A78" s="11" t="s">
        <v>1477</v>
      </c>
      <c r="B78" s="2" t="str">
        <f t="shared" si="6"/>
        <v>Tight Clav A</v>
      </c>
      <c r="C78" s="3">
        <v>77</v>
      </c>
      <c r="D78" s="17" t="s">
        <v>76</v>
      </c>
      <c r="E78" s="2" t="str">
        <f t="shared" si="7"/>
        <v>Ac.Pno p C L</v>
      </c>
      <c r="F78" s="12">
        <v>77</v>
      </c>
      <c r="G78" s="17">
        <f t="shared" si="8"/>
        <v>171</v>
      </c>
      <c r="H78" s="2">
        <f t="shared" si="9"/>
        <v>94</v>
      </c>
      <c r="I78" s="3" t="s">
        <v>3714</v>
      </c>
      <c r="J78" s="17">
        <f t="shared" si="10"/>
        <v>5</v>
      </c>
      <c r="K78" s="2">
        <f t="shared" si="11"/>
        <v>-72</v>
      </c>
      <c r="L78" s="12" t="s">
        <v>3714</v>
      </c>
    </row>
    <row r="79" spans="1:12" x14ac:dyDescent="0.25">
      <c r="A79" s="11" t="s">
        <v>1478</v>
      </c>
      <c r="B79" s="2" t="str">
        <f t="shared" si="6"/>
        <v>Tight Clav B</v>
      </c>
      <c r="C79" s="3">
        <v>78</v>
      </c>
      <c r="D79" s="17" t="s">
        <v>77</v>
      </c>
      <c r="E79" s="2" t="str">
        <f t="shared" si="7"/>
        <v>Ac.Pno p C R</v>
      </c>
      <c r="F79" s="12">
        <v>78</v>
      </c>
      <c r="G79" s="17">
        <f t="shared" si="8"/>
        <v>172</v>
      </c>
      <c r="H79" s="2">
        <f t="shared" si="9"/>
        <v>94</v>
      </c>
      <c r="I79" s="3" t="s">
        <v>3714</v>
      </c>
      <c r="J79" s="17">
        <f t="shared" si="10"/>
        <v>6</v>
      </c>
      <c r="K79" s="2">
        <f t="shared" si="11"/>
        <v>-72</v>
      </c>
      <c r="L79" s="12" t="s">
        <v>3714</v>
      </c>
    </row>
    <row r="80" spans="1:12" x14ac:dyDescent="0.25">
      <c r="A80" s="11" t="s">
        <v>1479</v>
      </c>
      <c r="B80" s="2" t="str">
        <f t="shared" si="6"/>
        <v>Tight Clav C</v>
      </c>
      <c r="C80" s="3">
        <v>79</v>
      </c>
      <c r="D80" s="17" t="s">
        <v>78</v>
      </c>
      <c r="E80" s="2" t="str">
        <f t="shared" si="7"/>
        <v>Ac.Pno f A L</v>
      </c>
      <c r="F80" s="12">
        <v>79</v>
      </c>
      <c r="G80" s="17">
        <f t="shared" si="8"/>
        <v>173</v>
      </c>
      <c r="H80" s="2">
        <f t="shared" si="9"/>
        <v>94</v>
      </c>
      <c r="I80" s="3" t="s">
        <v>3714</v>
      </c>
      <c r="J80" s="17">
        <f t="shared" si="10"/>
        <v>7</v>
      </c>
      <c r="K80" s="2">
        <f t="shared" si="11"/>
        <v>-72</v>
      </c>
      <c r="L80" s="12" t="s">
        <v>3714</v>
      </c>
    </row>
    <row r="81" spans="1:12" x14ac:dyDescent="0.25">
      <c r="A81" s="11" t="s">
        <v>1480</v>
      </c>
      <c r="B81" s="2" t="str">
        <f t="shared" si="6"/>
        <v>Hard Clav A</v>
      </c>
      <c r="C81" s="3">
        <v>80</v>
      </c>
      <c r="D81" s="17" t="s">
        <v>79</v>
      </c>
      <c r="E81" s="2" t="str">
        <f t="shared" si="7"/>
        <v>Ac.Pno f A R</v>
      </c>
      <c r="F81" s="12">
        <v>80</v>
      </c>
      <c r="G81" s="17">
        <f t="shared" si="8"/>
        <v>174</v>
      </c>
      <c r="H81" s="2">
        <f t="shared" si="9"/>
        <v>94</v>
      </c>
      <c r="I81" s="3" t="s">
        <v>3714</v>
      </c>
      <c r="J81" s="17">
        <f t="shared" si="10"/>
        <v>8</v>
      </c>
      <c r="K81" s="2">
        <f t="shared" si="11"/>
        <v>-72</v>
      </c>
      <c r="L81" s="12" t="s">
        <v>3714</v>
      </c>
    </row>
    <row r="82" spans="1:12" x14ac:dyDescent="0.25">
      <c r="A82" s="11" t="s">
        <v>1481</v>
      </c>
      <c r="B82" s="2" t="str">
        <f t="shared" si="6"/>
        <v>Hard Clav B</v>
      </c>
      <c r="C82" s="3">
        <v>81</v>
      </c>
      <c r="D82" s="17" t="s">
        <v>80</v>
      </c>
      <c r="E82" s="2" t="str">
        <f t="shared" si="7"/>
        <v>Ac.Pno f B L</v>
      </c>
      <c r="F82" s="12">
        <v>81</v>
      </c>
      <c r="G82" s="17">
        <f t="shared" si="8"/>
        <v>175</v>
      </c>
      <c r="H82" s="2">
        <f t="shared" si="9"/>
        <v>94</v>
      </c>
      <c r="I82" s="3" t="s">
        <v>3714</v>
      </c>
      <c r="J82" s="17">
        <f t="shared" si="10"/>
        <v>9</v>
      </c>
      <c r="K82" s="2">
        <f t="shared" si="11"/>
        <v>-72</v>
      </c>
      <c r="L82" s="12" t="s">
        <v>3714</v>
      </c>
    </row>
    <row r="83" spans="1:12" x14ac:dyDescent="0.25">
      <c r="A83" s="11" t="s">
        <v>1482</v>
      </c>
      <c r="B83" s="2" t="str">
        <f t="shared" si="6"/>
        <v>Hard Clav C</v>
      </c>
      <c r="C83" s="3">
        <v>82</v>
      </c>
      <c r="D83" s="17" t="s">
        <v>81</v>
      </c>
      <c r="E83" s="2" t="str">
        <f t="shared" si="7"/>
        <v>Ac.Pno f B R</v>
      </c>
      <c r="F83" s="12">
        <v>82</v>
      </c>
      <c r="G83" s="17">
        <f t="shared" si="8"/>
        <v>176</v>
      </c>
      <c r="H83" s="2">
        <f t="shared" si="9"/>
        <v>94</v>
      </c>
      <c r="I83" s="3" t="s">
        <v>3714</v>
      </c>
      <c r="J83" s="17">
        <f t="shared" si="10"/>
        <v>10</v>
      </c>
      <c r="K83" s="2">
        <f t="shared" si="11"/>
        <v>-72</v>
      </c>
      <c r="L83" s="12" t="s">
        <v>3714</v>
      </c>
    </row>
    <row r="84" spans="1:12" x14ac:dyDescent="0.25">
      <c r="A84" s="11" t="s">
        <v>1483</v>
      </c>
      <c r="B84" s="2" t="str">
        <f t="shared" si="6"/>
        <v>JD Clav</v>
      </c>
      <c r="C84" s="3">
        <v>83</v>
      </c>
      <c r="D84" s="17" t="s">
        <v>82</v>
      </c>
      <c r="E84" s="2" t="str">
        <f t="shared" si="7"/>
        <v>Ac.Pno f C L</v>
      </c>
      <c r="F84" s="12">
        <v>83</v>
      </c>
      <c r="G84" s="17">
        <f t="shared" si="8"/>
        <v>0</v>
      </c>
      <c r="H84" s="2">
        <f t="shared" si="9"/>
        <v>0</v>
      </c>
      <c r="I84" s="3" t="s">
        <v>3714</v>
      </c>
      <c r="J84" s="17">
        <f t="shared" si="10"/>
        <v>11</v>
      </c>
      <c r="K84" s="2">
        <f t="shared" si="11"/>
        <v>-72</v>
      </c>
      <c r="L84" s="12" t="s">
        <v>3714</v>
      </c>
    </row>
    <row r="85" spans="1:12" x14ac:dyDescent="0.25">
      <c r="A85" s="11" t="s">
        <v>1484</v>
      </c>
      <c r="B85" s="2" t="str">
        <f t="shared" si="6"/>
        <v>Harpsi A</v>
      </c>
      <c r="C85" s="3">
        <v>84</v>
      </c>
      <c r="D85" s="17" t="s">
        <v>83</v>
      </c>
      <c r="E85" s="2" t="str">
        <f t="shared" si="7"/>
        <v>Ac.Pno f C R</v>
      </c>
      <c r="F85" s="12">
        <v>84</v>
      </c>
      <c r="G85" s="17">
        <f t="shared" si="8"/>
        <v>178</v>
      </c>
      <c r="H85" s="2">
        <f t="shared" si="9"/>
        <v>94</v>
      </c>
      <c r="I85" s="3" t="s">
        <v>3714</v>
      </c>
      <c r="J85" s="17">
        <f t="shared" si="10"/>
        <v>12</v>
      </c>
      <c r="K85" s="2">
        <f t="shared" si="11"/>
        <v>-72</v>
      </c>
      <c r="L85" s="12" t="s">
        <v>3714</v>
      </c>
    </row>
    <row r="86" spans="1:12" x14ac:dyDescent="0.25">
      <c r="A86" s="11" t="s">
        <v>1485</v>
      </c>
      <c r="B86" s="2" t="str">
        <f t="shared" si="6"/>
        <v>Harpsi B</v>
      </c>
      <c r="C86" s="3">
        <v>85</v>
      </c>
      <c r="D86" s="17" t="s">
        <v>84</v>
      </c>
      <c r="E86" s="2" t="str">
        <f t="shared" si="7"/>
        <v>JD Piano A</v>
      </c>
      <c r="F86" s="12">
        <v>85</v>
      </c>
      <c r="G86" s="17">
        <f t="shared" si="8"/>
        <v>179</v>
      </c>
      <c r="H86" s="2">
        <f t="shared" si="9"/>
        <v>94</v>
      </c>
      <c r="I86" s="3" t="s">
        <v>3714</v>
      </c>
      <c r="J86" s="17">
        <f t="shared" si="10"/>
        <v>13</v>
      </c>
      <c r="K86" s="2">
        <f t="shared" si="11"/>
        <v>-72</v>
      </c>
      <c r="L86" s="12" t="s">
        <v>3714</v>
      </c>
    </row>
    <row r="87" spans="1:12" x14ac:dyDescent="0.25">
      <c r="A87" s="11" t="s">
        <v>1486</v>
      </c>
      <c r="B87" s="2" t="str">
        <f t="shared" si="6"/>
        <v>Harpsi C</v>
      </c>
      <c r="C87" s="3">
        <v>86</v>
      </c>
      <c r="D87" s="17" t="s">
        <v>85</v>
      </c>
      <c r="E87" s="2" t="str">
        <f t="shared" si="7"/>
        <v>JD Piano B</v>
      </c>
      <c r="F87" s="12">
        <v>86</v>
      </c>
      <c r="G87" s="17">
        <f t="shared" si="8"/>
        <v>180</v>
      </c>
      <c r="H87" s="2">
        <f t="shared" si="9"/>
        <v>94</v>
      </c>
      <c r="I87" s="3" t="s">
        <v>3714</v>
      </c>
      <c r="J87" s="17">
        <f t="shared" si="10"/>
        <v>14</v>
      </c>
      <c r="K87" s="2">
        <f t="shared" si="11"/>
        <v>-72</v>
      </c>
      <c r="L87" s="12" t="s">
        <v>3714</v>
      </c>
    </row>
    <row r="88" spans="1:12" x14ac:dyDescent="0.25">
      <c r="A88" s="11" t="s">
        <v>1487</v>
      </c>
      <c r="B88" s="2" t="str">
        <f t="shared" si="6"/>
        <v>JD Full Draw</v>
      </c>
      <c r="C88" s="3">
        <v>87</v>
      </c>
      <c r="D88" s="17" t="s">
        <v>86</v>
      </c>
      <c r="E88" s="2" t="str">
        <f t="shared" si="7"/>
        <v>JD Piano C</v>
      </c>
      <c r="F88" s="12">
        <v>87</v>
      </c>
      <c r="G88" s="17">
        <f t="shared" si="8"/>
        <v>185</v>
      </c>
      <c r="H88" s="2">
        <f t="shared" si="9"/>
        <v>98</v>
      </c>
      <c r="I88" s="3" t="s">
        <v>3714</v>
      </c>
      <c r="J88" s="17">
        <f t="shared" si="10"/>
        <v>15</v>
      </c>
      <c r="K88" s="2">
        <f t="shared" si="11"/>
        <v>-72</v>
      </c>
      <c r="L88" s="12" t="s">
        <v>3714</v>
      </c>
    </row>
    <row r="89" spans="1:12" x14ac:dyDescent="0.25">
      <c r="A89" s="11" t="s">
        <v>1488</v>
      </c>
      <c r="B89" s="2" t="str">
        <f t="shared" si="6"/>
        <v>Org Basic 1</v>
      </c>
      <c r="C89" s="3">
        <v>88</v>
      </c>
      <c r="D89" s="17" t="s">
        <v>87</v>
      </c>
      <c r="E89" s="2" t="str">
        <f t="shared" si="7"/>
        <v>Piano Atk Nz</v>
      </c>
      <c r="F89" s="12">
        <v>88</v>
      </c>
      <c r="G89" s="17">
        <f t="shared" si="8"/>
        <v>186</v>
      </c>
      <c r="H89" s="2">
        <f t="shared" si="9"/>
        <v>98</v>
      </c>
      <c r="I89" s="3" t="s">
        <v>3714</v>
      </c>
      <c r="J89" s="17">
        <f t="shared" si="10"/>
        <v>16</v>
      </c>
      <c r="K89" s="2">
        <f t="shared" si="11"/>
        <v>-72</v>
      </c>
      <c r="L89" s="12" t="s">
        <v>3714</v>
      </c>
    </row>
    <row r="90" spans="1:12" x14ac:dyDescent="0.25">
      <c r="A90" s="11" t="s">
        <v>1489</v>
      </c>
      <c r="B90" s="2" t="str">
        <f t="shared" si="6"/>
        <v>Org Basic 2</v>
      </c>
      <c r="C90" s="3">
        <v>89</v>
      </c>
      <c r="D90" s="17" t="s">
        <v>88</v>
      </c>
      <c r="E90" s="2" t="str">
        <f t="shared" si="7"/>
        <v>MKS Piano A</v>
      </c>
      <c r="F90" s="12">
        <v>89</v>
      </c>
      <c r="G90" s="17">
        <f t="shared" si="8"/>
        <v>187</v>
      </c>
      <c r="H90" s="2">
        <f t="shared" si="9"/>
        <v>98</v>
      </c>
      <c r="I90" s="3" t="s">
        <v>3714</v>
      </c>
      <c r="J90" s="17">
        <f t="shared" si="10"/>
        <v>17</v>
      </c>
      <c r="K90" s="2">
        <f t="shared" si="11"/>
        <v>-72</v>
      </c>
      <c r="L90" s="12" t="s">
        <v>3714</v>
      </c>
    </row>
    <row r="91" spans="1:12" x14ac:dyDescent="0.25">
      <c r="A91" s="11" t="s">
        <v>1490</v>
      </c>
      <c r="B91" s="2" t="str">
        <f t="shared" si="6"/>
        <v>Ballad Org</v>
      </c>
      <c r="C91" s="3">
        <v>90</v>
      </c>
      <c r="D91" s="17" t="s">
        <v>89</v>
      </c>
      <c r="E91" s="2" t="str">
        <f t="shared" si="7"/>
        <v>MKS Piano B</v>
      </c>
      <c r="F91" s="12">
        <v>90</v>
      </c>
      <c r="G91" s="17">
        <f t="shared" si="8"/>
        <v>188</v>
      </c>
      <c r="H91" s="2">
        <f t="shared" si="9"/>
        <v>98</v>
      </c>
      <c r="I91" s="3" t="s">
        <v>3714</v>
      </c>
      <c r="J91" s="17">
        <f t="shared" si="10"/>
        <v>18</v>
      </c>
      <c r="K91" s="2">
        <f t="shared" si="11"/>
        <v>-72</v>
      </c>
      <c r="L91" s="12" t="s">
        <v>3714</v>
      </c>
    </row>
    <row r="92" spans="1:12" x14ac:dyDescent="0.25">
      <c r="A92" s="11" t="s">
        <v>1491</v>
      </c>
      <c r="B92" s="2" t="str">
        <f t="shared" si="6"/>
        <v>3rd Perc Org</v>
      </c>
      <c r="C92" s="3">
        <v>91</v>
      </c>
      <c r="D92" s="17" t="s">
        <v>90</v>
      </c>
      <c r="E92" s="2" t="str">
        <f t="shared" si="7"/>
        <v>MKS Piano C</v>
      </c>
      <c r="F92" s="12">
        <v>91</v>
      </c>
      <c r="G92" s="17">
        <f t="shared" si="8"/>
        <v>189</v>
      </c>
      <c r="H92" s="2">
        <f t="shared" si="9"/>
        <v>98</v>
      </c>
      <c r="I92" s="3" t="s">
        <v>3714</v>
      </c>
      <c r="J92" s="17">
        <f t="shared" si="10"/>
        <v>19</v>
      </c>
      <c r="K92" s="2">
        <f t="shared" si="11"/>
        <v>-72</v>
      </c>
      <c r="L92" s="12" t="s">
        <v>3714</v>
      </c>
    </row>
    <row r="93" spans="1:12" x14ac:dyDescent="0.25">
      <c r="A93" s="11" t="s">
        <v>1492</v>
      </c>
      <c r="B93" s="2" t="str">
        <f t="shared" si="6"/>
        <v>Lo-Fi Organ</v>
      </c>
      <c r="C93" s="3">
        <v>92</v>
      </c>
      <c r="D93" s="17" t="s">
        <v>91</v>
      </c>
      <c r="E93" s="2" t="str">
        <f t="shared" si="7"/>
        <v>Vint.EP pp A</v>
      </c>
      <c r="F93" s="12">
        <v>92</v>
      </c>
      <c r="G93" s="17">
        <f t="shared" si="8"/>
        <v>0</v>
      </c>
      <c r="H93" s="2">
        <f t="shared" si="9"/>
        <v>0</v>
      </c>
      <c r="I93" s="3" t="s">
        <v>3714</v>
      </c>
      <c r="J93" s="17">
        <f t="shared" si="10"/>
        <v>0</v>
      </c>
      <c r="K93" s="2">
        <f t="shared" si="11"/>
        <v>0</v>
      </c>
      <c r="L93" s="12" t="s">
        <v>3714</v>
      </c>
    </row>
    <row r="94" spans="1:12" x14ac:dyDescent="0.25">
      <c r="A94" s="11" t="s">
        <v>1493</v>
      </c>
      <c r="B94" s="2" t="str">
        <f t="shared" si="6"/>
        <v>Perc Organ 1</v>
      </c>
      <c r="C94" s="3">
        <v>93</v>
      </c>
      <c r="D94" s="17" t="s">
        <v>92</v>
      </c>
      <c r="E94" s="2" t="str">
        <f t="shared" si="7"/>
        <v>Vint.EP pp B</v>
      </c>
      <c r="F94" s="12">
        <v>93</v>
      </c>
      <c r="G94" s="17">
        <f t="shared" si="8"/>
        <v>0</v>
      </c>
      <c r="H94" s="2">
        <f t="shared" si="9"/>
        <v>0</v>
      </c>
      <c r="I94" s="3" t="s">
        <v>3714</v>
      </c>
      <c r="J94" s="17">
        <f t="shared" si="10"/>
        <v>0</v>
      </c>
      <c r="K94" s="2">
        <f t="shared" si="11"/>
        <v>0</v>
      </c>
      <c r="L94" s="12" t="s">
        <v>3714</v>
      </c>
    </row>
    <row r="95" spans="1:12" x14ac:dyDescent="0.25">
      <c r="A95" s="11" t="s">
        <v>1494</v>
      </c>
      <c r="B95" s="2" t="str">
        <f t="shared" si="6"/>
        <v>Perc Organ 2</v>
      </c>
      <c r="C95" s="3">
        <v>94</v>
      </c>
      <c r="D95" s="17" t="s">
        <v>93</v>
      </c>
      <c r="E95" s="2" t="str">
        <f t="shared" si="7"/>
        <v>Vint.EP pp C</v>
      </c>
      <c r="F95" s="12">
        <v>94</v>
      </c>
      <c r="G95" s="17">
        <f t="shared" si="8"/>
        <v>0</v>
      </c>
      <c r="H95" s="2">
        <f t="shared" si="9"/>
        <v>0</v>
      </c>
      <c r="I95" s="3" t="s">
        <v>3714</v>
      </c>
      <c r="J95" s="17">
        <f t="shared" si="10"/>
        <v>0</v>
      </c>
      <c r="K95" s="2">
        <f t="shared" si="11"/>
        <v>0</v>
      </c>
      <c r="L95" s="12" t="s">
        <v>3714</v>
      </c>
    </row>
    <row r="96" spans="1:12" x14ac:dyDescent="0.25">
      <c r="A96" s="11" t="s">
        <v>1495</v>
      </c>
      <c r="B96" s="2" t="str">
        <f t="shared" si="6"/>
        <v>Rock Organ A</v>
      </c>
      <c r="C96" s="3">
        <v>95</v>
      </c>
      <c r="D96" s="17" t="s">
        <v>94</v>
      </c>
      <c r="E96" s="2" t="str">
        <f t="shared" si="7"/>
        <v>Vint.EP mp A</v>
      </c>
      <c r="F96" s="12">
        <v>95</v>
      </c>
      <c r="G96" s="17">
        <f t="shared" si="8"/>
        <v>191</v>
      </c>
      <c r="H96" s="2">
        <f t="shared" si="9"/>
        <v>96</v>
      </c>
      <c r="I96" s="3" t="s">
        <v>3714</v>
      </c>
      <c r="J96" s="17">
        <f t="shared" si="10"/>
        <v>0</v>
      </c>
      <c r="K96" s="2">
        <f t="shared" si="11"/>
        <v>0</v>
      </c>
      <c r="L96" s="12" t="s">
        <v>3714</v>
      </c>
    </row>
    <row r="97" spans="1:12" x14ac:dyDescent="0.25">
      <c r="A97" s="11" t="s">
        <v>1496</v>
      </c>
      <c r="B97" s="2" t="str">
        <f t="shared" si="6"/>
        <v>Rock Organ B</v>
      </c>
      <c r="C97" s="3">
        <v>96</v>
      </c>
      <c r="D97" s="17" t="s">
        <v>95</v>
      </c>
      <c r="E97" s="2" t="str">
        <f t="shared" si="7"/>
        <v>Vint.EP mp B</v>
      </c>
      <c r="F97" s="12">
        <v>96</v>
      </c>
      <c r="G97" s="17">
        <f t="shared" si="8"/>
        <v>192</v>
      </c>
      <c r="H97" s="2">
        <f t="shared" si="9"/>
        <v>96</v>
      </c>
      <c r="I97" s="3" t="s">
        <v>3714</v>
      </c>
      <c r="J97" s="17">
        <f t="shared" si="10"/>
        <v>0</v>
      </c>
      <c r="K97" s="2">
        <f t="shared" si="11"/>
        <v>0</v>
      </c>
      <c r="L97" s="12" t="s">
        <v>3714</v>
      </c>
    </row>
    <row r="98" spans="1:12" x14ac:dyDescent="0.25">
      <c r="A98" s="11" t="s">
        <v>1497</v>
      </c>
      <c r="B98" s="2" t="str">
        <f t="shared" si="6"/>
        <v>Rock Organ C</v>
      </c>
      <c r="C98" s="3">
        <v>97</v>
      </c>
      <c r="D98" s="17" t="s">
        <v>96</v>
      </c>
      <c r="E98" s="2" t="str">
        <f t="shared" si="7"/>
        <v>Vint.EP mp C</v>
      </c>
      <c r="F98" s="12">
        <v>97</v>
      </c>
      <c r="G98" s="17">
        <f t="shared" si="8"/>
        <v>193</v>
      </c>
      <c r="H98" s="2">
        <f t="shared" si="9"/>
        <v>96</v>
      </c>
      <c r="I98" s="3" t="s">
        <v>3714</v>
      </c>
      <c r="J98" s="17">
        <f t="shared" si="10"/>
        <v>0</v>
      </c>
      <c r="K98" s="2">
        <f t="shared" si="11"/>
        <v>0</v>
      </c>
      <c r="L98" s="12" t="s">
        <v>3714</v>
      </c>
    </row>
    <row r="99" spans="1:12" x14ac:dyDescent="0.25">
      <c r="A99" s="11" t="s">
        <v>1498</v>
      </c>
      <c r="B99" s="2" t="str">
        <f t="shared" si="6"/>
        <v>RtryOrg1 A L</v>
      </c>
      <c r="C99" s="3">
        <v>98</v>
      </c>
      <c r="D99" s="17" t="s">
        <v>97</v>
      </c>
      <c r="E99" s="2" t="str">
        <f t="shared" si="7"/>
        <v>Vint.EP f A</v>
      </c>
      <c r="F99" s="12">
        <v>98</v>
      </c>
      <c r="G99" s="17">
        <f t="shared" si="8"/>
        <v>194</v>
      </c>
      <c r="H99" s="2">
        <f t="shared" si="9"/>
        <v>96</v>
      </c>
      <c r="I99" s="3" t="s">
        <v>3714</v>
      </c>
      <c r="J99" s="17">
        <f t="shared" si="10"/>
        <v>0</v>
      </c>
      <c r="K99" s="2">
        <f t="shared" si="11"/>
        <v>0</v>
      </c>
      <c r="L99" s="12" t="s">
        <v>3714</v>
      </c>
    </row>
    <row r="100" spans="1:12" x14ac:dyDescent="0.25">
      <c r="A100" s="11" t="s">
        <v>1499</v>
      </c>
      <c r="B100" s="2" t="str">
        <f t="shared" si="6"/>
        <v>RtryOrg1 A R</v>
      </c>
      <c r="C100" s="3">
        <v>99</v>
      </c>
      <c r="D100" s="17" t="s">
        <v>98</v>
      </c>
      <c r="E100" s="2" t="str">
        <f t="shared" si="7"/>
        <v>Vint.EP f B</v>
      </c>
      <c r="F100" s="12">
        <v>99</v>
      </c>
      <c r="G100" s="17">
        <f t="shared" si="8"/>
        <v>195</v>
      </c>
      <c r="H100" s="2">
        <f t="shared" si="9"/>
        <v>96</v>
      </c>
      <c r="I100" s="3" t="s">
        <v>3714</v>
      </c>
      <c r="J100" s="17">
        <f t="shared" si="10"/>
        <v>0</v>
      </c>
      <c r="K100" s="2">
        <f t="shared" si="11"/>
        <v>0</v>
      </c>
      <c r="L100" s="12" t="s">
        <v>3714</v>
      </c>
    </row>
    <row r="101" spans="1:12" x14ac:dyDescent="0.25">
      <c r="A101" s="11" t="s">
        <v>1500</v>
      </c>
      <c r="B101" s="2" t="str">
        <f t="shared" si="6"/>
        <v>RtryOrg1 B L</v>
      </c>
      <c r="C101" s="3">
        <v>100</v>
      </c>
      <c r="D101" s="17" t="s">
        <v>99</v>
      </c>
      <c r="E101" s="2" t="str">
        <f t="shared" si="7"/>
        <v>Vint.EP f C</v>
      </c>
      <c r="F101" s="12">
        <v>100</v>
      </c>
      <c r="G101" s="17">
        <f t="shared" si="8"/>
        <v>196</v>
      </c>
      <c r="H101" s="2">
        <f t="shared" si="9"/>
        <v>96</v>
      </c>
      <c r="I101" s="3" t="s">
        <v>3714</v>
      </c>
      <c r="J101" s="17">
        <f t="shared" si="10"/>
        <v>0</v>
      </c>
      <c r="K101" s="2">
        <f t="shared" si="11"/>
        <v>0</v>
      </c>
      <c r="L101" s="12" t="s">
        <v>3714</v>
      </c>
    </row>
    <row r="102" spans="1:12" x14ac:dyDescent="0.25">
      <c r="A102" s="11" t="s">
        <v>1501</v>
      </c>
      <c r="B102" s="2" t="str">
        <f t="shared" si="6"/>
        <v>RtryOrg1 B R</v>
      </c>
      <c r="C102" s="3">
        <v>101</v>
      </c>
      <c r="D102" s="17" t="s">
        <v>100</v>
      </c>
      <c r="E102" s="2" t="str">
        <f t="shared" si="7"/>
        <v>Vint.EP ff A</v>
      </c>
      <c r="F102" s="12">
        <v>101</v>
      </c>
      <c r="G102" s="17">
        <f t="shared" si="8"/>
        <v>197</v>
      </c>
      <c r="H102" s="2">
        <f t="shared" si="9"/>
        <v>96</v>
      </c>
      <c r="I102" s="3" t="s">
        <v>3714</v>
      </c>
      <c r="J102" s="17">
        <f t="shared" si="10"/>
        <v>0</v>
      </c>
      <c r="K102" s="2">
        <f t="shared" si="11"/>
        <v>0</v>
      </c>
      <c r="L102" s="12" t="s">
        <v>3714</v>
      </c>
    </row>
    <row r="103" spans="1:12" x14ac:dyDescent="0.25">
      <c r="A103" s="11" t="s">
        <v>1502</v>
      </c>
      <c r="B103" s="2" t="str">
        <f t="shared" si="6"/>
        <v>RtryOrg1 C L</v>
      </c>
      <c r="C103" s="3">
        <v>102</v>
      </c>
      <c r="D103" s="17" t="s">
        <v>101</v>
      </c>
      <c r="E103" s="2" t="str">
        <f t="shared" si="7"/>
        <v>Vint.EP ff B</v>
      </c>
      <c r="F103" s="12">
        <v>102</v>
      </c>
      <c r="G103" s="17">
        <f t="shared" si="8"/>
        <v>198</v>
      </c>
      <c r="H103" s="2">
        <f t="shared" si="9"/>
        <v>96</v>
      </c>
      <c r="I103" s="3" t="s">
        <v>3714</v>
      </c>
      <c r="J103" s="17">
        <f t="shared" si="10"/>
        <v>0</v>
      </c>
      <c r="K103" s="2">
        <f t="shared" si="11"/>
        <v>0</v>
      </c>
      <c r="L103" s="12" t="s">
        <v>3714</v>
      </c>
    </row>
    <row r="104" spans="1:12" x14ac:dyDescent="0.25">
      <c r="A104" s="11" t="s">
        <v>1503</v>
      </c>
      <c r="B104" s="2" t="str">
        <f t="shared" si="6"/>
        <v>RtryOrg1 C R</v>
      </c>
      <c r="C104" s="3">
        <v>103</v>
      </c>
      <c r="D104" s="17" t="s">
        <v>102</v>
      </c>
      <c r="E104" s="2" t="str">
        <f t="shared" si="7"/>
        <v>Vint.EP ff C</v>
      </c>
      <c r="F104" s="12">
        <v>103</v>
      </c>
      <c r="G104" s="17">
        <f t="shared" si="8"/>
        <v>199</v>
      </c>
      <c r="H104" s="2">
        <f t="shared" si="9"/>
        <v>96</v>
      </c>
      <c r="I104" s="3" t="s">
        <v>3714</v>
      </c>
      <c r="J104" s="17">
        <f t="shared" si="10"/>
        <v>0</v>
      </c>
      <c r="K104" s="2">
        <f t="shared" si="11"/>
        <v>0</v>
      </c>
      <c r="L104" s="12" t="s">
        <v>3714</v>
      </c>
    </row>
    <row r="105" spans="1:12" x14ac:dyDescent="0.25">
      <c r="A105" s="11" t="s">
        <v>1504</v>
      </c>
      <c r="B105" s="2" t="str">
        <f t="shared" si="6"/>
        <v>RtryOrg2 A L</v>
      </c>
      <c r="C105" s="3">
        <v>104</v>
      </c>
      <c r="D105" s="17" t="s">
        <v>103</v>
      </c>
      <c r="E105" s="2" t="str">
        <f t="shared" si="7"/>
        <v>Stage EP p A</v>
      </c>
      <c r="F105" s="12">
        <v>104</v>
      </c>
      <c r="G105" s="17">
        <f t="shared" si="8"/>
        <v>200</v>
      </c>
      <c r="H105" s="2">
        <f t="shared" si="9"/>
        <v>96</v>
      </c>
      <c r="I105" s="3" t="s">
        <v>3714</v>
      </c>
      <c r="J105" s="17">
        <f t="shared" si="10"/>
        <v>0</v>
      </c>
      <c r="K105" s="2">
        <f t="shared" si="11"/>
        <v>0</v>
      </c>
      <c r="L105" s="12" t="s">
        <v>3714</v>
      </c>
    </row>
    <row r="106" spans="1:12" x14ac:dyDescent="0.25">
      <c r="A106" s="11" t="s">
        <v>1505</v>
      </c>
      <c r="B106" s="2" t="str">
        <f t="shared" si="6"/>
        <v>RtryOrg2 A R</v>
      </c>
      <c r="C106" s="3">
        <v>105</v>
      </c>
      <c r="D106" s="17" t="s">
        <v>104</v>
      </c>
      <c r="E106" s="2" t="str">
        <f t="shared" si="7"/>
        <v>Stage EP p B</v>
      </c>
      <c r="F106" s="12">
        <v>105</v>
      </c>
      <c r="G106" s="17">
        <f t="shared" si="8"/>
        <v>201</v>
      </c>
      <c r="H106" s="2">
        <f t="shared" si="9"/>
        <v>96</v>
      </c>
      <c r="I106" s="3" t="s">
        <v>3714</v>
      </c>
      <c r="J106" s="17">
        <f t="shared" si="10"/>
        <v>0</v>
      </c>
      <c r="K106" s="2">
        <f t="shared" si="11"/>
        <v>0</v>
      </c>
      <c r="L106" s="12" t="s">
        <v>3714</v>
      </c>
    </row>
    <row r="107" spans="1:12" x14ac:dyDescent="0.25">
      <c r="A107" s="11" t="s">
        <v>1506</v>
      </c>
      <c r="B107" s="2" t="str">
        <f t="shared" si="6"/>
        <v>RtryOrg2 B L</v>
      </c>
      <c r="C107" s="3">
        <v>106</v>
      </c>
      <c r="D107" s="17" t="s">
        <v>105</v>
      </c>
      <c r="E107" s="2" t="str">
        <f t="shared" si="7"/>
        <v>Stage EP p C</v>
      </c>
      <c r="F107" s="12">
        <v>106</v>
      </c>
      <c r="G107" s="17">
        <f t="shared" si="8"/>
        <v>202</v>
      </c>
      <c r="H107" s="2">
        <f t="shared" si="9"/>
        <v>96</v>
      </c>
      <c r="I107" s="3" t="s">
        <v>3714</v>
      </c>
      <c r="J107" s="17">
        <f t="shared" si="10"/>
        <v>0</v>
      </c>
      <c r="K107" s="2">
        <f t="shared" si="11"/>
        <v>0</v>
      </c>
      <c r="L107" s="12" t="s">
        <v>3714</v>
      </c>
    </row>
    <row r="108" spans="1:12" x14ac:dyDescent="0.25">
      <c r="A108" s="11" t="s">
        <v>1507</v>
      </c>
      <c r="B108" s="2" t="str">
        <f t="shared" si="6"/>
        <v>RtryOrg2 B R</v>
      </c>
      <c r="C108" s="3">
        <v>107</v>
      </c>
      <c r="D108" s="17" t="s">
        <v>106</v>
      </c>
      <c r="E108" s="2" t="str">
        <f t="shared" si="7"/>
        <v>Stage EP f A</v>
      </c>
      <c r="F108" s="12">
        <v>107</v>
      </c>
      <c r="G108" s="17">
        <f t="shared" si="8"/>
        <v>203</v>
      </c>
      <c r="H108" s="2">
        <f t="shared" si="9"/>
        <v>96</v>
      </c>
      <c r="I108" s="3" t="s">
        <v>3714</v>
      </c>
      <c r="J108" s="17">
        <f t="shared" si="10"/>
        <v>0</v>
      </c>
      <c r="K108" s="2">
        <f t="shared" si="11"/>
        <v>0</v>
      </c>
      <c r="L108" s="12" t="s">
        <v>3714</v>
      </c>
    </row>
    <row r="109" spans="1:12" x14ac:dyDescent="0.25">
      <c r="A109" s="11" t="s">
        <v>1508</v>
      </c>
      <c r="B109" s="2" t="str">
        <f t="shared" si="6"/>
        <v>RtryOrg2 C L</v>
      </c>
      <c r="C109" s="3">
        <v>108</v>
      </c>
      <c r="D109" s="17" t="s">
        <v>107</v>
      </c>
      <c r="E109" s="2" t="str">
        <f t="shared" si="7"/>
        <v>Stage EP f B</v>
      </c>
      <c r="F109" s="12">
        <v>108</v>
      </c>
      <c r="G109" s="17">
        <f t="shared" si="8"/>
        <v>204</v>
      </c>
      <c r="H109" s="2">
        <f t="shared" si="9"/>
        <v>96</v>
      </c>
      <c r="I109" s="3" t="s">
        <v>3714</v>
      </c>
      <c r="J109" s="17">
        <f t="shared" si="10"/>
        <v>0</v>
      </c>
      <c r="K109" s="2">
        <f t="shared" si="11"/>
        <v>0</v>
      </c>
      <c r="L109" s="12" t="s">
        <v>3714</v>
      </c>
    </row>
    <row r="110" spans="1:12" x14ac:dyDescent="0.25">
      <c r="A110" s="11" t="s">
        <v>1509</v>
      </c>
      <c r="B110" s="2" t="str">
        <f t="shared" si="6"/>
        <v>RtryOrg2 C R</v>
      </c>
      <c r="C110" s="3">
        <v>109</v>
      </c>
      <c r="D110" s="17" t="s">
        <v>108</v>
      </c>
      <c r="E110" s="2" t="str">
        <f t="shared" si="7"/>
        <v>Stage EP f C</v>
      </c>
      <c r="F110" s="12">
        <v>109</v>
      </c>
      <c r="G110" s="17">
        <f t="shared" si="8"/>
        <v>205</v>
      </c>
      <c r="H110" s="2">
        <f t="shared" si="9"/>
        <v>96</v>
      </c>
      <c r="I110" s="3" t="s">
        <v>3714</v>
      </c>
      <c r="J110" s="17">
        <f t="shared" si="10"/>
        <v>0</v>
      </c>
      <c r="K110" s="2">
        <f t="shared" si="11"/>
        <v>0</v>
      </c>
      <c r="L110" s="12" t="s">
        <v>3714</v>
      </c>
    </row>
    <row r="111" spans="1:12" x14ac:dyDescent="0.25">
      <c r="A111" s="11" t="s">
        <v>1510</v>
      </c>
      <c r="B111" s="2" t="str">
        <f t="shared" si="6"/>
        <v>LoFi RtryOrg</v>
      </c>
      <c r="C111" s="3">
        <v>110</v>
      </c>
      <c r="D111" s="17" t="s">
        <v>109</v>
      </c>
      <c r="E111" s="2" t="str">
        <f t="shared" si="7"/>
        <v>Tine EP p A</v>
      </c>
      <c r="F111" s="12">
        <v>110</v>
      </c>
      <c r="G111" s="17">
        <f t="shared" si="8"/>
        <v>206</v>
      </c>
      <c r="H111" s="2">
        <f t="shared" si="9"/>
        <v>96</v>
      </c>
      <c r="I111" s="3" t="s">
        <v>3714</v>
      </c>
      <c r="J111" s="17">
        <f t="shared" si="10"/>
        <v>0</v>
      </c>
      <c r="K111" s="2">
        <f t="shared" si="11"/>
        <v>0</v>
      </c>
      <c r="L111" s="12" t="s">
        <v>3714</v>
      </c>
    </row>
    <row r="112" spans="1:12" x14ac:dyDescent="0.25">
      <c r="A112" s="11" t="s">
        <v>1511</v>
      </c>
      <c r="B112" s="2" t="str">
        <f t="shared" si="6"/>
        <v>Vint.Org 1</v>
      </c>
      <c r="C112" s="3">
        <v>111</v>
      </c>
      <c r="D112" s="17" t="s">
        <v>110</v>
      </c>
      <c r="E112" s="2" t="str">
        <f t="shared" si="7"/>
        <v>Tine EP p B</v>
      </c>
      <c r="F112" s="12">
        <v>111</v>
      </c>
      <c r="G112" s="17">
        <f t="shared" si="8"/>
        <v>207</v>
      </c>
      <c r="H112" s="2">
        <f t="shared" si="9"/>
        <v>96</v>
      </c>
      <c r="I112" s="3" t="s">
        <v>3714</v>
      </c>
      <c r="J112" s="17">
        <f t="shared" si="10"/>
        <v>0</v>
      </c>
      <c r="K112" s="2">
        <f t="shared" si="11"/>
        <v>0</v>
      </c>
      <c r="L112" s="12" t="s">
        <v>3714</v>
      </c>
    </row>
    <row r="113" spans="1:12" x14ac:dyDescent="0.25">
      <c r="A113" s="11" t="s">
        <v>1512</v>
      </c>
      <c r="B113" s="2" t="str">
        <f t="shared" si="6"/>
        <v>Vint.Org 2</v>
      </c>
      <c r="C113" s="3">
        <v>112</v>
      </c>
      <c r="D113" s="17" t="s">
        <v>111</v>
      </c>
      <c r="E113" s="2" t="str">
        <f t="shared" si="7"/>
        <v>Tine EP p C</v>
      </c>
      <c r="F113" s="12">
        <v>112</v>
      </c>
      <c r="G113" s="17">
        <f t="shared" si="8"/>
        <v>208</v>
      </c>
      <c r="H113" s="2">
        <f t="shared" si="9"/>
        <v>96</v>
      </c>
      <c r="I113" s="3" t="s">
        <v>3714</v>
      </c>
      <c r="J113" s="17">
        <f t="shared" si="10"/>
        <v>0</v>
      </c>
      <c r="K113" s="2">
        <f t="shared" si="11"/>
        <v>0</v>
      </c>
      <c r="L113" s="12" t="s">
        <v>3714</v>
      </c>
    </row>
    <row r="114" spans="1:12" x14ac:dyDescent="0.25">
      <c r="A114" s="11" t="s">
        <v>1513</v>
      </c>
      <c r="B114" s="2" t="str">
        <f t="shared" si="6"/>
        <v>Vint.Org 3</v>
      </c>
      <c r="C114" s="3">
        <v>113</v>
      </c>
      <c r="D114" s="17" t="s">
        <v>112</v>
      </c>
      <c r="E114" s="2" t="str">
        <f t="shared" si="7"/>
        <v>Tine EP mf A</v>
      </c>
      <c r="F114" s="12">
        <v>113</v>
      </c>
      <c r="G114" s="17">
        <f t="shared" si="8"/>
        <v>209</v>
      </c>
      <c r="H114" s="2">
        <f t="shared" si="9"/>
        <v>96</v>
      </c>
      <c r="I114" s="3" t="s">
        <v>3714</v>
      </c>
      <c r="J114" s="17">
        <f t="shared" si="10"/>
        <v>0</v>
      </c>
      <c r="K114" s="2">
        <f t="shared" si="11"/>
        <v>0</v>
      </c>
      <c r="L114" s="12" t="s">
        <v>3714</v>
      </c>
    </row>
    <row r="115" spans="1:12" x14ac:dyDescent="0.25">
      <c r="A115" s="11" t="s">
        <v>1514</v>
      </c>
      <c r="B115" s="2" t="str">
        <f t="shared" si="6"/>
        <v>Vint.Org 4</v>
      </c>
      <c r="C115" s="3">
        <v>114</v>
      </c>
      <c r="D115" s="17" t="s">
        <v>113</v>
      </c>
      <c r="E115" s="2" t="str">
        <f t="shared" si="7"/>
        <v>Tine EP mf B</v>
      </c>
      <c r="F115" s="12">
        <v>114</v>
      </c>
      <c r="G115" s="17">
        <f t="shared" si="8"/>
        <v>210</v>
      </c>
      <c r="H115" s="2">
        <f t="shared" si="9"/>
        <v>96</v>
      </c>
      <c r="I115" s="3" t="s">
        <v>3714</v>
      </c>
      <c r="J115" s="17">
        <f t="shared" si="10"/>
        <v>0</v>
      </c>
      <c r="K115" s="2">
        <f t="shared" si="11"/>
        <v>0</v>
      </c>
      <c r="L115" s="12" t="s">
        <v>3714</v>
      </c>
    </row>
    <row r="116" spans="1:12" x14ac:dyDescent="0.25">
      <c r="A116" s="11" t="s">
        <v>1515</v>
      </c>
      <c r="B116" s="2" t="str">
        <f t="shared" si="6"/>
        <v>Lite Dst Org</v>
      </c>
      <c r="C116" s="3">
        <v>115</v>
      </c>
      <c r="D116" s="17" t="s">
        <v>114</v>
      </c>
      <c r="E116" s="2" t="str">
        <f t="shared" si="7"/>
        <v>Tine EP mf C</v>
      </c>
      <c r="F116" s="12">
        <v>115</v>
      </c>
      <c r="G116" s="17">
        <f t="shared" si="8"/>
        <v>0</v>
      </c>
      <c r="H116" s="2">
        <f t="shared" si="9"/>
        <v>0</v>
      </c>
      <c r="I116" s="3" t="s">
        <v>3714</v>
      </c>
      <c r="J116" s="17">
        <f t="shared" si="10"/>
        <v>0</v>
      </c>
      <c r="K116" s="2">
        <f t="shared" si="11"/>
        <v>0</v>
      </c>
      <c r="L116" s="12" t="s">
        <v>3714</v>
      </c>
    </row>
    <row r="117" spans="1:12" x14ac:dyDescent="0.25">
      <c r="A117" s="11" t="s">
        <v>1516</v>
      </c>
      <c r="B117" s="2" t="str">
        <f t="shared" si="6"/>
        <v>Positive '8</v>
      </c>
      <c r="C117" s="3">
        <v>116</v>
      </c>
      <c r="D117" s="17" t="s">
        <v>115</v>
      </c>
      <c r="E117" s="2" t="str">
        <f t="shared" si="7"/>
        <v>Tine EP ff A</v>
      </c>
      <c r="F117" s="12">
        <v>116</v>
      </c>
      <c r="G117" s="17">
        <f t="shared" si="8"/>
        <v>211</v>
      </c>
      <c r="H117" s="2">
        <f t="shared" si="9"/>
        <v>95</v>
      </c>
      <c r="I117" s="3" t="s">
        <v>3714</v>
      </c>
      <c r="J117" s="17">
        <f t="shared" si="10"/>
        <v>0</v>
      </c>
      <c r="K117" s="2">
        <f t="shared" si="11"/>
        <v>0</v>
      </c>
      <c r="L117" s="12" t="s">
        <v>3714</v>
      </c>
    </row>
    <row r="118" spans="1:12" x14ac:dyDescent="0.25">
      <c r="A118" s="11" t="s">
        <v>1517</v>
      </c>
      <c r="B118" s="2" t="str">
        <f t="shared" si="6"/>
        <v>Pipe Organ</v>
      </c>
      <c r="C118" s="3">
        <v>117</v>
      </c>
      <c r="D118" s="17" t="s">
        <v>116</v>
      </c>
      <c r="E118" s="2" t="str">
        <f t="shared" si="7"/>
        <v>Tine EP ff B</v>
      </c>
      <c r="F118" s="12">
        <v>117</v>
      </c>
      <c r="G118" s="17">
        <f t="shared" si="8"/>
        <v>212</v>
      </c>
      <c r="H118" s="2">
        <f t="shared" si="9"/>
        <v>95</v>
      </c>
      <c r="I118" s="3" t="s">
        <v>3714</v>
      </c>
      <c r="J118" s="17">
        <f t="shared" si="10"/>
        <v>0</v>
      </c>
      <c r="K118" s="2">
        <f t="shared" si="11"/>
        <v>0</v>
      </c>
      <c r="L118" s="12" t="s">
        <v>3714</v>
      </c>
    </row>
    <row r="119" spans="1:12" x14ac:dyDescent="0.25">
      <c r="A119" s="11" t="s">
        <v>1518</v>
      </c>
      <c r="B119" s="2" t="str">
        <f t="shared" si="6"/>
        <v>Cathedrl Org</v>
      </c>
      <c r="C119" s="3">
        <v>118</v>
      </c>
      <c r="D119" s="17" t="s">
        <v>117</v>
      </c>
      <c r="E119" s="2" t="str">
        <f t="shared" si="7"/>
        <v>Tine EP ff C</v>
      </c>
      <c r="F119" s="12">
        <v>118</v>
      </c>
      <c r="G119" s="17">
        <f t="shared" si="8"/>
        <v>213</v>
      </c>
      <c r="H119" s="2">
        <f t="shared" si="9"/>
        <v>95</v>
      </c>
      <c r="I119" s="3" t="s">
        <v>3714</v>
      </c>
      <c r="J119" s="17">
        <f t="shared" si="10"/>
        <v>0</v>
      </c>
      <c r="K119" s="2">
        <f t="shared" si="11"/>
        <v>0</v>
      </c>
      <c r="L119" s="12" t="s">
        <v>3714</v>
      </c>
    </row>
    <row r="120" spans="1:12" x14ac:dyDescent="0.25">
      <c r="A120" s="11" t="s">
        <v>1519</v>
      </c>
      <c r="B120" s="2" t="str">
        <f t="shared" si="6"/>
        <v>Nylon Gtr1 A</v>
      </c>
      <c r="C120" s="3">
        <v>119</v>
      </c>
      <c r="D120" s="17" t="s">
        <v>118</v>
      </c>
      <c r="E120" s="2" t="str">
        <f t="shared" si="7"/>
        <v>Dyno EP mp A</v>
      </c>
      <c r="F120" s="12">
        <v>119</v>
      </c>
      <c r="G120" s="17">
        <f t="shared" si="8"/>
        <v>226</v>
      </c>
      <c r="H120" s="2">
        <f t="shared" si="9"/>
        <v>107</v>
      </c>
      <c r="I120" s="3" t="s">
        <v>3714</v>
      </c>
      <c r="J120" s="17">
        <f t="shared" si="10"/>
        <v>0</v>
      </c>
      <c r="K120" s="2">
        <f t="shared" si="11"/>
        <v>0</v>
      </c>
      <c r="L120" s="12" t="s">
        <v>3714</v>
      </c>
    </row>
    <row r="121" spans="1:12" x14ac:dyDescent="0.25">
      <c r="A121" s="11" t="s">
        <v>1520</v>
      </c>
      <c r="B121" s="2" t="str">
        <f t="shared" si="6"/>
        <v>Nylon Gtr1 B</v>
      </c>
      <c r="C121" s="3">
        <v>120</v>
      </c>
      <c r="D121" s="17" t="s">
        <v>119</v>
      </c>
      <c r="E121" s="2" t="str">
        <f t="shared" si="7"/>
        <v>Dyno EP mp B</v>
      </c>
      <c r="F121" s="12">
        <v>120</v>
      </c>
      <c r="G121" s="17">
        <f t="shared" si="8"/>
        <v>227</v>
      </c>
      <c r="H121" s="2">
        <f t="shared" si="9"/>
        <v>107</v>
      </c>
      <c r="I121" s="3" t="s">
        <v>3714</v>
      </c>
      <c r="J121" s="17">
        <f t="shared" si="10"/>
        <v>0</v>
      </c>
      <c r="K121" s="2">
        <f t="shared" si="11"/>
        <v>0</v>
      </c>
      <c r="L121" s="12" t="s">
        <v>3714</v>
      </c>
    </row>
    <row r="122" spans="1:12" x14ac:dyDescent="0.25">
      <c r="A122" s="11" t="s">
        <v>1521</v>
      </c>
      <c r="B122" s="2" t="str">
        <f t="shared" si="6"/>
        <v>Nylon Gtr1 C</v>
      </c>
      <c r="C122" s="3">
        <v>121</v>
      </c>
      <c r="D122" s="17" t="s">
        <v>120</v>
      </c>
      <c r="E122" s="2" t="str">
        <f t="shared" si="7"/>
        <v>Dyno EP mp C</v>
      </c>
      <c r="F122" s="12">
        <v>121</v>
      </c>
      <c r="G122" s="17">
        <f t="shared" si="8"/>
        <v>228</v>
      </c>
      <c r="H122" s="2">
        <f t="shared" si="9"/>
        <v>107</v>
      </c>
      <c r="I122" s="3" t="s">
        <v>3714</v>
      </c>
      <c r="J122" s="17">
        <f t="shared" si="10"/>
        <v>0</v>
      </c>
      <c r="K122" s="2">
        <f t="shared" si="11"/>
        <v>0</v>
      </c>
      <c r="L122" s="12" t="s">
        <v>3714</v>
      </c>
    </row>
    <row r="123" spans="1:12" x14ac:dyDescent="0.25">
      <c r="A123" s="11" t="s">
        <v>1522</v>
      </c>
      <c r="B123" s="2" t="str">
        <f t="shared" si="6"/>
        <v>Nylon Gtr2 A</v>
      </c>
      <c r="C123" s="3">
        <v>122</v>
      </c>
      <c r="D123" s="17" t="s">
        <v>121</v>
      </c>
      <c r="E123" s="2" t="str">
        <f t="shared" si="7"/>
        <v>Dyno EP mf A</v>
      </c>
      <c r="F123" s="12">
        <v>122</v>
      </c>
      <c r="G123" s="17">
        <f t="shared" si="8"/>
        <v>229</v>
      </c>
      <c r="H123" s="2">
        <f t="shared" si="9"/>
        <v>107</v>
      </c>
      <c r="I123" s="3" t="s">
        <v>3714</v>
      </c>
      <c r="J123" s="17">
        <f t="shared" si="10"/>
        <v>0</v>
      </c>
      <c r="K123" s="2">
        <f t="shared" si="11"/>
        <v>0</v>
      </c>
      <c r="L123" s="12" t="s">
        <v>3714</v>
      </c>
    </row>
    <row r="124" spans="1:12" x14ac:dyDescent="0.25">
      <c r="A124" s="11" t="s">
        <v>1523</v>
      </c>
      <c r="B124" s="2" t="str">
        <f t="shared" si="6"/>
        <v>Nylon Gtr2 B</v>
      </c>
      <c r="C124" s="3">
        <v>123</v>
      </c>
      <c r="D124" s="17" t="s">
        <v>122</v>
      </c>
      <c r="E124" s="2" t="str">
        <f t="shared" si="7"/>
        <v>Dyno EP mf B</v>
      </c>
      <c r="F124" s="12">
        <v>123</v>
      </c>
      <c r="G124" s="17">
        <f t="shared" si="8"/>
        <v>230</v>
      </c>
      <c r="H124" s="2">
        <f t="shared" si="9"/>
        <v>107</v>
      </c>
      <c r="I124" s="3" t="s">
        <v>3714</v>
      </c>
      <c r="J124" s="17">
        <f t="shared" si="10"/>
        <v>0</v>
      </c>
      <c r="K124" s="2">
        <f t="shared" si="11"/>
        <v>0</v>
      </c>
      <c r="L124" s="12" t="s">
        <v>3714</v>
      </c>
    </row>
    <row r="125" spans="1:12" x14ac:dyDescent="0.25">
      <c r="A125" s="11" t="s">
        <v>1524</v>
      </c>
      <c r="B125" s="2" t="str">
        <f t="shared" si="6"/>
        <v>Nylon Gtr2 C</v>
      </c>
      <c r="C125" s="3">
        <v>124</v>
      </c>
      <c r="D125" s="17" t="s">
        <v>123</v>
      </c>
      <c r="E125" s="2" t="str">
        <f t="shared" si="7"/>
        <v>Dyno EP mf C</v>
      </c>
      <c r="F125" s="12">
        <v>124</v>
      </c>
      <c r="G125" s="17">
        <f t="shared" si="8"/>
        <v>231</v>
      </c>
      <c r="H125" s="2">
        <f t="shared" si="9"/>
        <v>107</v>
      </c>
      <c r="I125" s="3" t="s">
        <v>3714</v>
      </c>
      <c r="J125" s="17">
        <f t="shared" si="10"/>
        <v>0</v>
      </c>
      <c r="K125" s="2">
        <f t="shared" si="11"/>
        <v>0</v>
      </c>
      <c r="L125" s="12" t="s">
        <v>3714</v>
      </c>
    </row>
    <row r="126" spans="1:12" x14ac:dyDescent="0.25">
      <c r="A126" s="11" t="s">
        <v>1525</v>
      </c>
      <c r="B126" s="2" t="str">
        <f t="shared" si="6"/>
        <v>Bright Gtr A</v>
      </c>
      <c r="C126" s="3">
        <v>125</v>
      </c>
      <c r="D126" s="17" t="s">
        <v>124</v>
      </c>
      <c r="E126" s="2" t="str">
        <f t="shared" si="7"/>
        <v>Dyno EP ff A</v>
      </c>
      <c r="F126" s="12">
        <v>125</v>
      </c>
      <c r="G126" s="17">
        <f t="shared" si="8"/>
        <v>232</v>
      </c>
      <c r="H126" s="2">
        <f t="shared" si="9"/>
        <v>107</v>
      </c>
      <c r="I126" s="3" t="s">
        <v>3714</v>
      </c>
      <c r="J126" s="17">
        <f t="shared" si="10"/>
        <v>0</v>
      </c>
      <c r="K126" s="2">
        <f t="shared" si="11"/>
        <v>0</v>
      </c>
      <c r="L126" s="12" t="s">
        <v>3714</v>
      </c>
    </row>
    <row r="127" spans="1:12" x14ac:dyDescent="0.25">
      <c r="A127" s="11" t="s">
        <v>1526</v>
      </c>
      <c r="B127" s="2" t="str">
        <f t="shared" si="6"/>
        <v>Bright Gtr B</v>
      </c>
      <c r="C127" s="3">
        <v>126</v>
      </c>
      <c r="D127" s="17" t="s">
        <v>125</v>
      </c>
      <c r="E127" s="2" t="str">
        <f t="shared" si="7"/>
        <v>Dyno EP ff B</v>
      </c>
      <c r="F127" s="12">
        <v>126</v>
      </c>
      <c r="G127" s="17">
        <f t="shared" si="8"/>
        <v>233</v>
      </c>
      <c r="H127" s="2">
        <f t="shared" si="9"/>
        <v>107</v>
      </c>
      <c r="I127" s="3" t="s">
        <v>3714</v>
      </c>
      <c r="J127" s="17">
        <f t="shared" si="10"/>
        <v>0</v>
      </c>
      <c r="K127" s="2">
        <f t="shared" si="11"/>
        <v>0</v>
      </c>
      <c r="L127" s="12" t="s">
        <v>3714</v>
      </c>
    </row>
    <row r="128" spans="1:12" x14ac:dyDescent="0.25">
      <c r="A128" s="11" t="s">
        <v>1527</v>
      </c>
      <c r="B128" s="2" t="str">
        <f t="shared" si="6"/>
        <v>Bright Gtr C</v>
      </c>
      <c r="C128" s="3">
        <v>127</v>
      </c>
      <c r="D128" s="17" t="s">
        <v>126</v>
      </c>
      <c r="E128" s="2" t="str">
        <f t="shared" si="7"/>
        <v>Dyno EP ff C</v>
      </c>
      <c r="F128" s="12">
        <v>127</v>
      </c>
      <c r="G128" s="17">
        <f t="shared" si="8"/>
        <v>234</v>
      </c>
      <c r="H128" s="2">
        <f t="shared" si="9"/>
        <v>107</v>
      </c>
      <c r="I128" s="3" t="s">
        <v>3714</v>
      </c>
      <c r="J128" s="17">
        <f t="shared" si="10"/>
        <v>0</v>
      </c>
      <c r="K128" s="2">
        <f t="shared" si="11"/>
        <v>0</v>
      </c>
      <c r="L128" s="12" t="s">
        <v>3714</v>
      </c>
    </row>
    <row r="129" spans="1:12" x14ac:dyDescent="0.25">
      <c r="A129" s="11" t="s">
        <v>1528</v>
      </c>
      <c r="B129" s="2" t="str">
        <f t="shared" si="6"/>
        <v>Ac.Gtr mp A</v>
      </c>
      <c r="C129" s="3">
        <v>128</v>
      </c>
      <c r="D129" s="17" t="s">
        <v>127</v>
      </c>
      <c r="E129" s="2" t="str">
        <f t="shared" si="7"/>
        <v>Wurly DI p A</v>
      </c>
      <c r="F129" s="12">
        <v>128</v>
      </c>
      <c r="G129" s="17">
        <f t="shared" si="8"/>
        <v>235</v>
      </c>
      <c r="H129" s="2">
        <f t="shared" si="9"/>
        <v>107</v>
      </c>
      <c r="I129" s="3" t="s">
        <v>3714</v>
      </c>
      <c r="J129" s="17">
        <f t="shared" si="10"/>
        <v>0</v>
      </c>
      <c r="K129" s="2">
        <f t="shared" si="11"/>
        <v>0</v>
      </c>
      <c r="L129" s="12" t="s">
        <v>3714</v>
      </c>
    </row>
    <row r="130" spans="1:12" x14ac:dyDescent="0.25">
      <c r="A130" s="11" t="s">
        <v>1529</v>
      </c>
      <c r="B130" s="2" t="str">
        <f t="shared" ref="B130:B193" si="12">_xlfn.TEXTAFTER(A130," ",1)</f>
        <v>Ac.Gtr mp B</v>
      </c>
      <c r="C130" s="3">
        <v>129</v>
      </c>
      <c r="D130" s="17" t="s">
        <v>128</v>
      </c>
      <c r="E130" s="2" t="str">
        <f t="shared" ref="E130:E193" si="13">_xlfn.TEXTAFTER(D130," ",1)</f>
        <v>Wurly DI p B</v>
      </c>
      <c r="F130" s="12">
        <v>129</v>
      </c>
      <c r="G130" s="17">
        <f t="shared" si="8"/>
        <v>236</v>
      </c>
      <c r="H130" s="2">
        <f t="shared" si="9"/>
        <v>107</v>
      </c>
      <c r="I130" s="3" t="s">
        <v>3714</v>
      </c>
      <c r="J130" s="17">
        <f t="shared" si="10"/>
        <v>0</v>
      </c>
      <c r="K130" s="2">
        <f t="shared" si="11"/>
        <v>0</v>
      </c>
      <c r="L130" s="12" t="s">
        <v>3714</v>
      </c>
    </row>
    <row r="131" spans="1:12" x14ac:dyDescent="0.25">
      <c r="A131" s="11" t="s">
        <v>1530</v>
      </c>
      <c r="B131" s="2" t="str">
        <f t="shared" si="12"/>
        <v>Ac.Gtr mp C</v>
      </c>
      <c r="C131" s="3">
        <v>130</v>
      </c>
      <c r="D131" s="17" t="s">
        <v>129</v>
      </c>
      <c r="E131" s="2" t="str">
        <f t="shared" si="13"/>
        <v>Wurly DI p C</v>
      </c>
      <c r="F131" s="12">
        <v>130</v>
      </c>
      <c r="G131" s="17">
        <f t="shared" ref="G131:G194" si="14">_xlfn.IFNA(_xlfn.XMATCH(B131,E$2:E$1402,0,1),0)</f>
        <v>237</v>
      </c>
      <c r="H131" s="2">
        <f t="shared" ref="H131:H194" si="15">IF(G131=0,0,G131-C131)</f>
        <v>107</v>
      </c>
      <c r="I131" s="3" t="s">
        <v>3714</v>
      </c>
      <c r="J131" s="17">
        <f t="shared" ref="J131:J194" si="16">_xlfn.IFNA(_xlfn.XMATCH(E131,B$2:B$1229,0,1),0)</f>
        <v>0</v>
      </c>
      <c r="K131" s="2">
        <f t="shared" ref="K131:K194" si="17">IF(J131=0,0,J131-F131)</f>
        <v>0</v>
      </c>
      <c r="L131" s="12" t="s">
        <v>3714</v>
      </c>
    </row>
    <row r="132" spans="1:12" x14ac:dyDescent="0.25">
      <c r="A132" s="11" t="s">
        <v>1531</v>
      </c>
      <c r="B132" s="2" t="str">
        <f t="shared" si="12"/>
        <v>Ac.Gtr mf A</v>
      </c>
      <c r="C132" s="3">
        <v>131</v>
      </c>
      <c r="D132" s="17" t="s">
        <v>130</v>
      </c>
      <c r="E132" s="2" t="str">
        <f t="shared" si="13"/>
        <v>Wurly DI f A</v>
      </c>
      <c r="F132" s="12">
        <v>131</v>
      </c>
      <c r="G132" s="17">
        <f t="shared" si="14"/>
        <v>238</v>
      </c>
      <c r="H132" s="2">
        <f t="shared" si="15"/>
        <v>107</v>
      </c>
      <c r="I132" s="3" t="s">
        <v>3714</v>
      </c>
      <c r="J132" s="17">
        <f t="shared" si="16"/>
        <v>0</v>
      </c>
      <c r="K132" s="2">
        <f t="shared" si="17"/>
        <v>0</v>
      </c>
      <c r="L132" s="12" t="s">
        <v>3714</v>
      </c>
    </row>
    <row r="133" spans="1:12" x14ac:dyDescent="0.25">
      <c r="A133" s="11" t="s">
        <v>1532</v>
      </c>
      <c r="B133" s="2" t="str">
        <f t="shared" si="12"/>
        <v>Ac.Gtr mf B</v>
      </c>
      <c r="C133" s="3">
        <v>132</v>
      </c>
      <c r="D133" s="17" t="s">
        <v>131</v>
      </c>
      <c r="E133" s="2" t="str">
        <f t="shared" si="13"/>
        <v>Wurly DI f B</v>
      </c>
      <c r="F133" s="12">
        <v>132</v>
      </c>
      <c r="G133" s="17">
        <f t="shared" si="14"/>
        <v>239</v>
      </c>
      <c r="H133" s="2">
        <f t="shared" si="15"/>
        <v>107</v>
      </c>
      <c r="I133" s="3" t="s">
        <v>3714</v>
      </c>
      <c r="J133" s="17">
        <f t="shared" si="16"/>
        <v>0</v>
      </c>
      <c r="K133" s="2">
        <f t="shared" si="17"/>
        <v>0</v>
      </c>
      <c r="L133" s="12" t="s">
        <v>3714</v>
      </c>
    </row>
    <row r="134" spans="1:12" x14ac:dyDescent="0.25">
      <c r="A134" s="11" t="s">
        <v>1533</v>
      </c>
      <c r="B134" s="2" t="str">
        <f t="shared" si="12"/>
        <v>Ac.Gtr mf C</v>
      </c>
      <c r="C134" s="3">
        <v>133</v>
      </c>
      <c r="D134" s="17" t="s">
        <v>132</v>
      </c>
      <c r="E134" s="2" t="str">
        <f t="shared" si="13"/>
        <v>Wurly DI f C</v>
      </c>
      <c r="F134" s="12">
        <v>133</v>
      </c>
      <c r="G134" s="17">
        <f t="shared" si="14"/>
        <v>240</v>
      </c>
      <c r="H134" s="2">
        <f t="shared" si="15"/>
        <v>107</v>
      </c>
      <c r="I134" s="3" t="s">
        <v>3714</v>
      </c>
      <c r="J134" s="17">
        <f t="shared" si="16"/>
        <v>0</v>
      </c>
      <c r="K134" s="2">
        <f t="shared" si="17"/>
        <v>0</v>
      </c>
      <c r="L134" s="12" t="s">
        <v>3714</v>
      </c>
    </row>
    <row r="135" spans="1:12" x14ac:dyDescent="0.25">
      <c r="A135" s="11" t="s">
        <v>1534</v>
      </c>
      <c r="B135" s="2" t="str">
        <f t="shared" si="12"/>
        <v>Ac.Gtr ff A</v>
      </c>
      <c r="C135" s="3">
        <v>134</v>
      </c>
      <c r="D135" s="17" t="s">
        <v>133</v>
      </c>
      <c r="E135" s="2" t="str">
        <f t="shared" si="13"/>
        <v>Wurly DI ffA</v>
      </c>
      <c r="F135" s="12">
        <v>134</v>
      </c>
      <c r="G135" s="17">
        <f t="shared" si="14"/>
        <v>241</v>
      </c>
      <c r="H135" s="2">
        <f t="shared" si="15"/>
        <v>107</v>
      </c>
      <c r="I135" s="3" t="s">
        <v>3714</v>
      </c>
      <c r="J135" s="17">
        <f t="shared" si="16"/>
        <v>0</v>
      </c>
      <c r="K135" s="2">
        <f t="shared" si="17"/>
        <v>0</v>
      </c>
      <c r="L135" s="12" t="s">
        <v>3714</v>
      </c>
    </row>
    <row r="136" spans="1:12" x14ac:dyDescent="0.25">
      <c r="A136" s="11" t="s">
        <v>1535</v>
      </c>
      <c r="B136" s="2" t="str">
        <f t="shared" si="12"/>
        <v>Ac.Gtr ff B</v>
      </c>
      <c r="C136" s="3">
        <v>135</v>
      </c>
      <c r="D136" s="17" t="s">
        <v>134</v>
      </c>
      <c r="E136" s="2" t="str">
        <f t="shared" si="13"/>
        <v>Wurly DI ffB</v>
      </c>
      <c r="F136" s="12">
        <v>135</v>
      </c>
      <c r="G136" s="17">
        <f t="shared" si="14"/>
        <v>242</v>
      </c>
      <c r="H136" s="2">
        <f t="shared" si="15"/>
        <v>107</v>
      </c>
      <c r="I136" s="3" t="s">
        <v>3714</v>
      </c>
      <c r="J136" s="17">
        <f t="shared" si="16"/>
        <v>0</v>
      </c>
      <c r="K136" s="2">
        <f t="shared" si="17"/>
        <v>0</v>
      </c>
      <c r="L136" s="12" t="s">
        <v>3714</v>
      </c>
    </row>
    <row r="137" spans="1:12" x14ac:dyDescent="0.25">
      <c r="A137" s="11" t="s">
        <v>1536</v>
      </c>
      <c r="B137" s="2" t="str">
        <f t="shared" si="12"/>
        <v>Ac.Gtr ff C</v>
      </c>
      <c r="C137" s="3">
        <v>136</v>
      </c>
      <c r="D137" s="17" t="s">
        <v>135</v>
      </c>
      <c r="E137" s="2" t="str">
        <f t="shared" si="13"/>
        <v>Wurly DI ffC</v>
      </c>
      <c r="F137" s="12">
        <v>136</v>
      </c>
      <c r="G137" s="17">
        <f t="shared" si="14"/>
        <v>243</v>
      </c>
      <c r="H137" s="2">
        <f t="shared" si="15"/>
        <v>107</v>
      </c>
      <c r="I137" s="3" t="s">
        <v>3714</v>
      </c>
      <c r="J137" s="17">
        <f t="shared" si="16"/>
        <v>0</v>
      </c>
      <c r="K137" s="2">
        <f t="shared" si="17"/>
        <v>0</v>
      </c>
      <c r="L137" s="12" t="s">
        <v>3714</v>
      </c>
    </row>
    <row r="138" spans="1:12" x14ac:dyDescent="0.25">
      <c r="A138" s="11" t="s">
        <v>1537</v>
      </c>
      <c r="B138" s="2" t="str">
        <f t="shared" si="12"/>
        <v>Ac.Gtr Sld A</v>
      </c>
      <c r="C138" s="3">
        <v>137</v>
      </c>
      <c r="D138" s="17" t="s">
        <v>136</v>
      </c>
      <c r="E138" s="2" t="str">
        <f t="shared" si="13"/>
        <v>Wurly mp A</v>
      </c>
      <c r="F138" s="12">
        <v>137</v>
      </c>
      <c r="G138" s="17">
        <f t="shared" si="14"/>
        <v>244</v>
      </c>
      <c r="H138" s="2">
        <f t="shared" si="15"/>
        <v>107</v>
      </c>
      <c r="I138" s="3" t="s">
        <v>3714</v>
      </c>
      <c r="J138" s="17">
        <f t="shared" si="16"/>
        <v>44</v>
      </c>
      <c r="K138" s="2">
        <f t="shared" si="17"/>
        <v>-93</v>
      </c>
      <c r="L138" s="12" t="s">
        <v>3714</v>
      </c>
    </row>
    <row r="139" spans="1:12" x14ac:dyDescent="0.25">
      <c r="A139" s="11" t="s">
        <v>1538</v>
      </c>
      <c r="B139" s="2" t="str">
        <f t="shared" si="12"/>
        <v>Ac.Gtr Sld B</v>
      </c>
      <c r="C139" s="3">
        <v>138</v>
      </c>
      <c r="D139" s="17" t="s">
        <v>137</v>
      </c>
      <c r="E139" s="2" t="str">
        <f t="shared" si="13"/>
        <v>Wurly mp B</v>
      </c>
      <c r="F139" s="12">
        <v>138</v>
      </c>
      <c r="G139" s="17">
        <f t="shared" si="14"/>
        <v>245</v>
      </c>
      <c r="H139" s="2">
        <f t="shared" si="15"/>
        <v>107</v>
      </c>
      <c r="I139" s="3" t="s">
        <v>3714</v>
      </c>
      <c r="J139" s="17">
        <f t="shared" si="16"/>
        <v>45</v>
      </c>
      <c r="K139" s="2">
        <f t="shared" si="17"/>
        <v>-93</v>
      </c>
      <c r="L139" s="12" t="s">
        <v>3714</v>
      </c>
    </row>
    <row r="140" spans="1:12" x14ac:dyDescent="0.25">
      <c r="A140" s="11" t="s">
        <v>1539</v>
      </c>
      <c r="B140" s="2" t="str">
        <f t="shared" si="12"/>
        <v>Ac.Gtr Sld C</v>
      </c>
      <c r="C140" s="3">
        <v>139</v>
      </c>
      <c r="D140" s="17" t="s">
        <v>138</v>
      </c>
      <c r="E140" s="2" t="str">
        <f t="shared" si="13"/>
        <v>Wurly mp C</v>
      </c>
      <c r="F140" s="12">
        <v>139</v>
      </c>
      <c r="G140" s="17">
        <f t="shared" si="14"/>
        <v>246</v>
      </c>
      <c r="H140" s="2">
        <f t="shared" si="15"/>
        <v>107</v>
      </c>
      <c r="I140" s="3" t="s">
        <v>3714</v>
      </c>
      <c r="J140" s="17">
        <f t="shared" si="16"/>
        <v>46</v>
      </c>
      <c r="K140" s="2">
        <f t="shared" si="17"/>
        <v>-93</v>
      </c>
      <c r="L140" s="12" t="s">
        <v>3714</v>
      </c>
    </row>
    <row r="141" spans="1:12" x14ac:dyDescent="0.25">
      <c r="A141" s="11" t="s">
        <v>1540</v>
      </c>
      <c r="B141" s="2" t="str">
        <f t="shared" si="12"/>
        <v>Ac.Gtr Hrm A</v>
      </c>
      <c r="C141" s="3">
        <v>140</v>
      </c>
      <c r="D141" s="17" t="s">
        <v>139</v>
      </c>
      <c r="E141" s="2" t="str">
        <f t="shared" si="13"/>
        <v>Wurly mf A</v>
      </c>
      <c r="F141" s="12">
        <v>140</v>
      </c>
      <c r="G141" s="17">
        <f t="shared" si="14"/>
        <v>247</v>
      </c>
      <c r="H141" s="2">
        <f t="shared" si="15"/>
        <v>107</v>
      </c>
      <c r="I141" s="3" t="s">
        <v>3714</v>
      </c>
      <c r="J141" s="17">
        <f t="shared" si="16"/>
        <v>47</v>
      </c>
      <c r="K141" s="2">
        <f t="shared" si="17"/>
        <v>-93</v>
      </c>
      <c r="L141" s="12" t="s">
        <v>3714</v>
      </c>
    </row>
    <row r="142" spans="1:12" x14ac:dyDescent="0.25">
      <c r="A142" s="11" t="s">
        <v>1541</v>
      </c>
      <c r="B142" s="2" t="str">
        <f t="shared" si="12"/>
        <v>Ac.Gtr Hrm B</v>
      </c>
      <c r="C142" s="3">
        <v>141</v>
      </c>
      <c r="D142" s="17" t="s">
        <v>140</v>
      </c>
      <c r="E142" s="2" t="str">
        <f t="shared" si="13"/>
        <v>Wurly mf B</v>
      </c>
      <c r="F142" s="12">
        <v>141</v>
      </c>
      <c r="G142" s="17">
        <f t="shared" si="14"/>
        <v>248</v>
      </c>
      <c r="H142" s="2">
        <f t="shared" si="15"/>
        <v>107</v>
      </c>
      <c r="I142" s="3" t="s">
        <v>3714</v>
      </c>
      <c r="J142" s="17">
        <f t="shared" si="16"/>
        <v>48</v>
      </c>
      <c r="K142" s="2">
        <f t="shared" si="17"/>
        <v>-93</v>
      </c>
      <c r="L142" s="12" t="s">
        <v>3714</v>
      </c>
    </row>
    <row r="143" spans="1:12" x14ac:dyDescent="0.25">
      <c r="A143" s="11" t="s">
        <v>1542</v>
      </c>
      <c r="B143" s="2" t="str">
        <f t="shared" si="12"/>
        <v>Ac.Gtr Hrm C</v>
      </c>
      <c r="C143" s="3">
        <v>142</v>
      </c>
      <c r="D143" s="17" t="s">
        <v>141</v>
      </c>
      <c r="E143" s="2" t="str">
        <f t="shared" si="13"/>
        <v>Wurly mf C</v>
      </c>
      <c r="F143" s="12">
        <v>142</v>
      </c>
      <c r="G143" s="17">
        <f t="shared" si="14"/>
        <v>249</v>
      </c>
      <c r="H143" s="2">
        <f t="shared" si="15"/>
        <v>107</v>
      </c>
      <c r="I143" s="3" t="s">
        <v>3714</v>
      </c>
      <c r="J143" s="17">
        <f t="shared" si="16"/>
        <v>49</v>
      </c>
      <c r="K143" s="2">
        <f t="shared" si="17"/>
        <v>-93</v>
      </c>
      <c r="L143" s="12" t="s">
        <v>3714</v>
      </c>
    </row>
    <row r="144" spans="1:12" x14ac:dyDescent="0.25">
      <c r="A144" s="11" t="s">
        <v>1543</v>
      </c>
      <c r="B144" s="2" t="str">
        <f t="shared" si="12"/>
        <v>Jazz Gtr A</v>
      </c>
      <c r="C144" s="3">
        <v>143</v>
      </c>
      <c r="D144" s="17" t="s">
        <v>142</v>
      </c>
      <c r="E144" s="2" t="str">
        <f t="shared" si="13"/>
        <v>Wurly ff A</v>
      </c>
      <c r="F144" s="12">
        <v>143</v>
      </c>
      <c r="G144" s="17">
        <f t="shared" si="14"/>
        <v>250</v>
      </c>
      <c r="H144" s="2">
        <f t="shared" si="15"/>
        <v>107</v>
      </c>
      <c r="I144" s="3" t="s">
        <v>3714</v>
      </c>
      <c r="J144" s="17">
        <f t="shared" si="16"/>
        <v>50</v>
      </c>
      <c r="K144" s="2">
        <f t="shared" si="17"/>
        <v>-93</v>
      </c>
      <c r="L144" s="12" t="s">
        <v>3714</v>
      </c>
    </row>
    <row r="145" spans="1:12" x14ac:dyDescent="0.25">
      <c r="A145" s="11" t="s">
        <v>1544</v>
      </c>
      <c r="B145" s="2" t="str">
        <f t="shared" si="12"/>
        <v>Jazz Gtr B</v>
      </c>
      <c r="C145" s="3">
        <v>144</v>
      </c>
      <c r="D145" s="17" t="s">
        <v>143</v>
      </c>
      <c r="E145" s="2" t="str">
        <f t="shared" si="13"/>
        <v>Wurly ff B</v>
      </c>
      <c r="F145" s="12">
        <v>144</v>
      </c>
      <c r="G145" s="17">
        <f t="shared" si="14"/>
        <v>251</v>
      </c>
      <c r="H145" s="2">
        <f t="shared" si="15"/>
        <v>107</v>
      </c>
      <c r="I145" s="3" t="s">
        <v>3714</v>
      </c>
      <c r="J145" s="17">
        <f t="shared" si="16"/>
        <v>51</v>
      </c>
      <c r="K145" s="2">
        <f t="shared" si="17"/>
        <v>-93</v>
      </c>
      <c r="L145" s="12" t="s">
        <v>3714</v>
      </c>
    </row>
    <row r="146" spans="1:12" x14ac:dyDescent="0.25">
      <c r="A146" s="11" t="s">
        <v>1545</v>
      </c>
      <c r="B146" s="2" t="str">
        <f t="shared" si="12"/>
        <v>Jazz Gtr C</v>
      </c>
      <c r="C146" s="3">
        <v>145</v>
      </c>
      <c r="D146" s="17" t="s">
        <v>144</v>
      </c>
      <c r="E146" s="2" t="str">
        <f t="shared" si="13"/>
        <v>Wurly ff C</v>
      </c>
      <c r="F146" s="12">
        <v>145</v>
      </c>
      <c r="G146" s="17">
        <f t="shared" si="14"/>
        <v>252</v>
      </c>
      <c r="H146" s="2">
        <f t="shared" si="15"/>
        <v>107</v>
      </c>
      <c r="I146" s="3" t="s">
        <v>3714</v>
      </c>
      <c r="J146" s="17">
        <f t="shared" si="16"/>
        <v>52</v>
      </c>
      <c r="K146" s="2">
        <f t="shared" si="17"/>
        <v>-93</v>
      </c>
      <c r="L146" s="12" t="s">
        <v>3714</v>
      </c>
    </row>
    <row r="147" spans="1:12" x14ac:dyDescent="0.25">
      <c r="A147" s="11" t="s">
        <v>1546</v>
      </c>
      <c r="B147" s="2" t="str">
        <f t="shared" si="12"/>
        <v>Clean Gtr A</v>
      </c>
      <c r="C147" s="3">
        <v>146</v>
      </c>
      <c r="D147" s="17" t="s">
        <v>145</v>
      </c>
      <c r="E147" s="2" t="str">
        <f t="shared" si="13"/>
        <v>Soft SA EP A</v>
      </c>
      <c r="F147" s="12">
        <v>146</v>
      </c>
      <c r="G147" s="17">
        <f t="shared" si="14"/>
        <v>253</v>
      </c>
      <c r="H147" s="2">
        <f t="shared" si="15"/>
        <v>107</v>
      </c>
      <c r="I147" s="3" t="s">
        <v>3714</v>
      </c>
      <c r="J147" s="17">
        <f t="shared" si="16"/>
        <v>0</v>
      </c>
      <c r="K147" s="2">
        <f t="shared" si="17"/>
        <v>0</v>
      </c>
      <c r="L147" s="12" t="s">
        <v>3714</v>
      </c>
    </row>
    <row r="148" spans="1:12" x14ac:dyDescent="0.25">
      <c r="A148" s="11" t="s">
        <v>1547</v>
      </c>
      <c r="B148" s="2" t="str">
        <f t="shared" si="12"/>
        <v>Clean Gtr B</v>
      </c>
      <c r="C148" s="3">
        <v>147</v>
      </c>
      <c r="D148" s="17" t="s">
        <v>146</v>
      </c>
      <c r="E148" s="2" t="str">
        <f t="shared" si="13"/>
        <v>Soft SA EP B</v>
      </c>
      <c r="F148" s="12">
        <v>147</v>
      </c>
      <c r="G148" s="17">
        <f t="shared" si="14"/>
        <v>254</v>
      </c>
      <c r="H148" s="2">
        <f t="shared" si="15"/>
        <v>107</v>
      </c>
      <c r="I148" s="3" t="s">
        <v>3714</v>
      </c>
      <c r="J148" s="17">
        <f t="shared" si="16"/>
        <v>0</v>
      </c>
      <c r="K148" s="2">
        <f t="shared" si="17"/>
        <v>0</v>
      </c>
      <c r="L148" s="12" t="s">
        <v>3714</v>
      </c>
    </row>
    <row r="149" spans="1:12" x14ac:dyDescent="0.25">
      <c r="A149" s="11" t="s">
        <v>1548</v>
      </c>
      <c r="B149" s="2" t="str">
        <f t="shared" si="12"/>
        <v>Clean Gtr C</v>
      </c>
      <c r="C149" s="3">
        <v>148</v>
      </c>
      <c r="D149" s="17" t="s">
        <v>147</v>
      </c>
      <c r="E149" s="2" t="str">
        <f t="shared" si="13"/>
        <v>Soft SA EP C</v>
      </c>
      <c r="F149" s="12">
        <v>148</v>
      </c>
      <c r="G149" s="17">
        <f t="shared" si="14"/>
        <v>255</v>
      </c>
      <c r="H149" s="2">
        <f t="shared" si="15"/>
        <v>107</v>
      </c>
      <c r="I149" s="3" t="s">
        <v>3714</v>
      </c>
      <c r="J149" s="17">
        <f t="shared" si="16"/>
        <v>0</v>
      </c>
      <c r="K149" s="2">
        <f t="shared" si="17"/>
        <v>0</v>
      </c>
      <c r="L149" s="12" t="s">
        <v>3714</v>
      </c>
    </row>
    <row r="150" spans="1:12" x14ac:dyDescent="0.25">
      <c r="A150" s="11" t="s">
        <v>1549</v>
      </c>
      <c r="B150" s="2" t="str">
        <f t="shared" si="12"/>
        <v>Clr Mt Gtr A</v>
      </c>
      <c r="C150" s="3">
        <v>149</v>
      </c>
      <c r="D150" s="17" t="s">
        <v>148</v>
      </c>
      <c r="E150" s="2" t="str">
        <f t="shared" si="13"/>
        <v>Hard SA EP A</v>
      </c>
      <c r="F150" s="12">
        <v>149</v>
      </c>
      <c r="G150" s="17">
        <f t="shared" si="14"/>
        <v>256</v>
      </c>
      <c r="H150" s="2">
        <f t="shared" si="15"/>
        <v>107</v>
      </c>
      <c r="I150" s="3" t="s">
        <v>3714</v>
      </c>
      <c r="J150" s="17">
        <f t="shared" si="16"/>
        <v>0</v>
      </c>
      <c r="K150" s="2">
        <f t="shared" si="17"/>
        <v>0</v>
      </c>
      <c r="L150" s="12" t="s">
        <v>3714</v>
      </c>
    </row>
    <row r="151" spans="1:12" x14ac:dyDescent="0.25">
      <c r="A151" s="11" t="s">
        <v>1550</v>
      </c>
      <c r="B151" s="2" t="str">
        <f t="shared" si="12"/>
        <v>Clr Mt Gtr B</v>
      </c>
      <c r="C151" s="3">
        <v>150</v>
      </c>
      <c r="D151" s="17" t="s">
        <v>149</v>
      </c>
      <c r="E151" s="2" t="str">
        <f t="shared" si="13"/>
        <v>Hard SA EP B</v>
      </c>
      <c r="F151" s="12">
        <v>150</v>
      </c>
      <c r="G151" s="17">
        <f t="shared" si="14"/>
        <v>257</v>
      </c>
      <c r="H151" s="2">
        <f t="shared" si="15"/>
        <v>107</v>
      </c>
      <c r="I151" s="3" t="s">
        <v>3714</v>
      </c>
      <c r="J151" s="17">
        <f t="shared" si="16"/>
        <v>0</v>
      </c>
      <c r="K151" s="2">
        <f t="shared" si="17"/>
        <v>0</v>
      </c>
      <c r="L151" s="12" t="s">
        <v>3714</v>
      </c>
    </row>
    <row r="152" spans="1:12" x14ac:dyDescent="0.25">
      <c r="A152" s="11" t="s">
        <v>1551</v>
      </c>
      <c r="B152" s="2" t="str">
        <f t="shared" si="12"/>
        <v>Clr Mt Gtr C</v>
      </c>
      <c r="C152" s="3">
        <v>151</v>
      </c>
      <c r="D152" s="17" t="s">
        <v>150</v>
      </c>
      <c r="E152" s="2" t="str">
        <f t="shared" si="13"/>
        <v>Hard SA EP C</v>
      </c>
      <c r="F152" s="12">
        <v>151</v>
      </c>
      <c r="G152" s="17">
        <f t="shared" si="14"/>
        <v>258</v>
      </c>
      <c r="H152" s="2">
        <f t="shared" si="15"/>
        <v>107</v>
      </c>
      <c r="I152" s="3" t="s">
        <v>3714</v>
      </c>
      <c r="J152" s="17">
        <f t="shared" si="16"/>
        <v>0</v>
      </c>
      <c r="K152" s="2">
        <f t="shared" si="17"/>
        <v>0</v>
      </c>
      <c r="L152" s="12" t="s">
        <v>3714</v>
      </c>
    </row>
    <row r="153" spans="1:12" x14ac:dyDescent="0.25">
      <c r="A153" s="11" t="s">
        <v>1552</v>
      </c>
      <c r="B153" s="2" t="str">
        <f t="shared" si="12"/>
        <v>E.Gtr Ld 1</v>
      </c>
      <c r="C153" s="3">
        <v>152</v>
      </c>
      <c r="D153" s="17" t="s">
        <v>151</v>
      </c>
      <c r="E153" s="2" t="str">
        <f t="shared" si="13"/>
        <v>SA E.Piano A</v>
      </c>
      <c r="F153" s="12">
        <v>152</v>
      </c>
      <c r="G153" s="17">
        <f t="shared" si="14"/>
        <v>0</v>
      </c>
      <c r="H153" s="2">
        <f t="shared" si="15"/>
        <v>0</v>
      </c>
      <c r="I153" s="3" t="s">
        <v>3714</v>
      </c>
      <c r="J153" s="17">
        <f t="shared" si="16"/>
        <v>63</v>
      </c>
      <c r="K153" s="2">
        <f t="shared" si="17"/>
        <v>-89</v>
      </c>
      <c r="L153" s="12" t="s">
        <v>3714</v>
      </c>
    </row>
    <row r="154" spans="1:12" x14ac:dyDescent="0.25">
      <c r="A154" s="11" t="s">
        <v>1553</v>
      </c>
      <c r="B154" s="2" t="str">
        <f t="shared" si="12"/>
        <v>E.Gtr Ld 2</v>
      </c>
      <c r="C154" s="3">
        <v>153</v>
      </c>
      <c r="D154" s="17" t="s">
        <v>152</v>
      </c>
      <c r="E154" s="2" t="str">
        <f t="shared" si="13"/>
        <v>SA E.Piano B</v>
      </c>
      <c r="F154" s="12">
        <v>153</v>
      </c>
      <c r="G154" s="17">
        <f t="shared" si="14"/>
        <v>0</v>
      </c>
      <c r="H154" s="2">
        <f t="shared" si="15"/>
        <v>0</v>
      </c>
      <c r="I154" s="3" t="s">
        <v>3714</v>
      </c>
      <c r="J154" s="17">
        <f t="shared" si="16"/>
        <v>64</v>
      </c>
      <c r="K154" s="2">
        <f t="shared" si="17"/>
        <v>-89</v>
      </c>
      <c r="L154" s="12" t="s">
        <v>3714</v>
      </c>
    </row>
    <row r="155" spans="1:12" x14ac:dyDescent="0.25">
      <c r="A155" s="11" t="s">
        <v>1554</v>
      </c>
      <c r="B155" s="2" t="str">
        <f t="shared" si="12"/>
        <v>Brt Strat A</v>
      </c>
      <c r="C155" s="3">
        <v>154</v>
      </c>
      <c r="D155" s="17" t="s">
        <v>153</v>
      </c>
      <c r="E155" s="2" t="str">
        <f t="shared" si="13"/>
        <v>SA E.Piano C</v>
      </c>
      <c r="F155" s="12">
        <v>154</v>
      </c>
      <c r="G155" s="17">
        <f t="shared" si="14"/>
        <v>260</v>
      </c>
      <c r="H155" s="2">
        <f t="shared" si="15"/>
        <v>106</v>
      </c>
      <c r="I155" s="3" t="s">
        <v>3714</v>
      </c>
      <c r="J155" s="17">
        <f t="shared" si="16"/>
        <v>65</v>
      </c>
      <c r="K155" s="2">
        <f t="shared" si="17"/>
        <v>-89</v>
      </c>
      <c r="L155" s="12" t="s">
        <v>3714</v>
      </c>
    </row>
    <row r="156" spans="1:12" x14ac:dyDescent="0.25">
      <c r="A156" s="11" t="s">
        <v>1555</v>
      </c>
      <c r="B156" s="2" t="str">
        <f t="shared" si="12"/>
        <v>Brt Strat B</v>
      </c>
      <c r="C156" s="3">
        <v>155</v>
      </c>
      <c r="D156" s="17" t="s">
        <v>154</v>
      </c>
      <c r="E156" s="2" t="str">
        <f t="shared" si="13"/>
        <v>80's E.Pno 1</v>
      </c>
      <c r="F156" s="12">
        <v>155</v>
      </c>
      <c r="G156" s="17">
        <f t="shared" si="14"/>
        <v>261</v>
      </c>
      <c r="H156" s="2">
        <f t="shared" si="15"/>
        <v>106</v>
      </c>
      <c r="I156" s="3" t="s">
        <v>3714</v>
      </c>
      <c r="J156" s="17">
        <f t="shared" si="16"/>
        <v>66</v>
      </c>
      <c r="K156" s="2">
        <f t="shared" si="17"/>
        <v>-89</v>
      </c>
      <c r="L156" s="12" t="s">
        <v>3714</v>
      </c>
    </row>
    <row r="157" spans="1:12" x14ac:dyDescent="0.25">
      <c r="A157" s="11" t="s">
        <v>1556</v>
      </c>
      <c r="B157" s="2" t="str">
        <f t="shared" si="12"/>
        <v>Brt Strat C</v>
      </c>
      <c r="C157" s="3">
        <v>156</v>
      </c>
      <c r="D157" s="17" t="s">
        <v>155</v>
      </c>
      <c r="E157" s="2" t="str">
        <f t="shared" si="13"/>
        <v>80's E.Pno 2</v>
      </c>
      <c r="F157" s="12">
        <v>156</v>
      </c>
      <c r="G157" s="17">
        <f t="shared" si="14"/>
        <v>262</v>
      </c>
      <c r="H157" s="2">
        <f t="shared" si="15"/>
        <v>106</v>
      </c>
      <c r="I157" s="3" t="s">
        <v>3714</v>
      </c>
      <c r="J157" s="17">
        <f t="shared" si="16"/>
        <v>67</v>
      </c>
      <c r="K157" s="2">
        <f t="shared" si="17"/>
        <v>-89</v>
      </c>
      <c r="L157" s="12" t="s">
        <v>3714</v>
      </c>
    </row>
    <row r="158" spans="1:12" x14ac:dyDescent="0.25">
      <c r="A158" s="11" t="s">
        <v>1557</v>
      </c>
      <c r="B158" s="2" t="str">
        <f t="shared" si="12"/>
        <v>SlwPick70s A</v>
      </c>
      <c r="C158" s="3">
        <v>157</v>
      </c>
      <c r="D158" s="17" t="s">
        <v>156</v>
      </c>
      <c r="E158" s="2" t="str">
        <f t="shared" si="13"/>
        <v>80's E.Pno1f</v>
      </c>
      <c r="F158" s="12">
        <v>157</v>
      </c>
      <c r="G158" s="17">
        <f t="shared" si="14"/>
        <v>0</v>
      </c>
      <c r="H158" s="2">
        <f t="shared" si="15"/>
        <v>0</v>
      </c>
      <c r="I158" s="3" t="s">
        <v>3714</v>
      </c>
      <c r="J158" s="17">
        <f t="shared" si="16"/>
        <v>0</v>
      </c>
      <c r="K158" s="2">
        <f t="shared" si="17"/>
        <v>0</v>
      </c>
      <c r="L158" s="12" t="s">
        <v>3714</v>
      </c>
    </row>
    <row r="159" spans="1:12" x14ac:dyDescent="0.25">
      <c r="A159" s="11" t="s">
        <v>1558</v>
      </c>
      <c r="B159" s="2" t="str">
        <f t="shared" si="12"/>
        <v>SlwPick70s B</v>
      </c>
      <c r="C159" s="3">
        <v>158</v>
      </c>
      <c r="D159" s="17" t="s">
        <v>157</v>
      </c>
      <c r="E159" s="2" t="str">
        <f t="shared" si="13"/>
        <v>80's E.Pno2f</v>
      </c>
      <c r="F159" s="12">
        <v>158</v>
      </c>
      <c r="G159" s="17">
        <f t="shared" si="14"/>
        <v>0</v>
      </c>
      <c r="H159" s="2">
        <f t="shared" si="15"/>
        <v>0</v>
      </c>
      <c r="I159" s="3" t="s">
        <v>3714</v>
      </c>
      <c r="J159" s="17">
        <f t="shared" si="16"/>
        <v>0</v>
      </c>
      <c r="K159" s="2">
        <f t="shared" si="17"/>
        <v>0</v>
      </c>
      <c r="L159" s="12" t="s">
        <v>3714</v>
      </c>
    </row>
    <row r="160" spans="1:12" x14ac:dyDescent="0.25">
      <c r="A160" s="11" t="s">
        <v>1559</v>
      </c>
      <c r="B160" s="2" t="str">
        <f t="shared" si="12"/>
        <v>SlwPick70s C</v>
      </c>
      <c r="C160" s="3">
        <v>159</v>
      </c>
      <c r="D160" s="17" t="s">
        <v>158</v>
      </c>
      <c r="E160" s="2" t="str">
        <f t="shared" si="13"/>
        <v>Hard E.Pno</v>
      </c>
      <c r="F160" s="12">
        <v>159</v>
      </c>
      <c r="G160" s="17">
        <f t="shared" si="14"/>
        <v>0</v>
      </c>
      <c r="H160" s="2">
        <f t="shared" si="15"/>
        <v>0</v>
      </c>
      <c r="I160" s="3" t="s">
        <v>3714</v>
      </c>
      <c r="J160" s="17">
        <f t="shared" si="16"/>
        <v>68</v>
      </c>
      <c r="K160" s="2">
        <f t="shared" si="17"/>
        <v>-91</v>
      </c>
      <c r="L160" s="12" t="s">
        <v>3714</v>
      </c>
    </row>
    <row r="161" spans="1:12" x14ac:dyDescent="0.25">
      <c r="A161" s="11" t="s">
        <v>1560</v>
      </c>
      <c r="B161" s="2" t="str">
        <f t="shared" si="12"/>
        <v>FstPick70s A</v>
      </c>
      <c r="C161" s="3">
        <v>160</v>
      </c>
      <c r="D161" s="17" t="s">
        <v>159</v>
      </c>
      <c r="E161" s="2" t="str">
        <f t="shared" si="13"/>
        <v>Celesta</v>
      </c>
      <c r="F161" s="12">
        <v>160</v>
      </c>
      <c r="G161" s="17">
        <f t="shared" si="14"/>
        <v>263</v>
      </c>
      <c r="H161" s="2">
        <f t="shared" si="15"/>
        <v>103</v>
      </c>
      <c r="I161" s="3" t="s">
        <v>3714</v>
      </c>
      <c r="J161" s="17">
        <f t="shared" si="16"/>
        <v>69</v>
      </c>
      <c r="K161" s="2">
        <f t="shared" si="17"/>
        <v>-91</v>
      </c>
      <c r="L161" s="12" t="s">
        <v>3714</v>
      </c>
    </row>
    <row r="162" spans="1:12" x14ac:dyDescent="0.25">
      <c r="A162" s="11" t="s">
        <v>1561</v>
      </c>
      <c r="B162" s="2" t="str">
        <f t="shared" si="12"/>
        <v>FstPick70s B</v>
      </c>
      <c r="C162" s="3">
        <v>161</v>
      </c>
      <c r="D162" s="17" t="s">
        <v>160</v>
      </c>
      <c r="E162" s="2" t="str">
        <f t="shared" si="13"/>
        <v>Music Box</v>
      </c>
      <c r="F162" s="12">
        <v>161</v>
      </c>
      <c r="G162" s="17">
        <f t="shared" si="14"/>
        <v>264</v>
      </c>
      <c r="H162" s="2">
        <f t="shared" si="15"/>
        <v>103</v>
      </c>
      <c r="I162" s="3" t="s">
        <v>3714</v>
      </c>
      <c r="J162" s="17">
        <f t="shared" si="16"/>
        <v>70</v>
      </c>
      <c r="K162" s="2">
        <f t="shared" si="17"/>
        <v>-91</v>
      </c>
      <c r="L162" s="12" t="s">
        <v>3714</v>
      </c>
    </row>
    <row r="163" spans="1:12" x14ac:dyDescent="0.25">
      <c r="A163" s="11" t="s">
        <v>1562</v>
      </c>
      <c r="B163" s="2" t="str">
        <f t="shared" si="12"/>
        <v>FstPick70s C</v>
      </c>
      <c r="C163" s="3">
        <v>162</v>
      </c>
      <c r="D163" s="17" t="s">
        <v>161</v>
      </c>
      <c r="E163" s="2" t="str">
        <f t="shared" si="13"/>
        <v>ClavDB Brt A</v>
      </c>
      <c r="F163" s="12">
        <v>162</v>
      </c>
      <c r="G163" s="17">
        <f t="shared" si="14"/>
        <v>265</v>
      </c>
      <c r="H163" s="2">
        <f t="shared" si="15"/>
        <v>103</v>
      </c>
      <c r="I163" s="3" t="s">
        <v>3714</v>
      </c>
      <c r="J163" s="17">
        <f t="shared" si="16"/>
        <v>0</v>
      </c>
      <c r="K163" s="2">
        <f t="shared" si="17"/>
        <v>0</v>
      </c>
      <c r="L163" s="12" t="s">
        <v>3714</v>
      </c>
    </row>
    <row r="164" spans="1:12" x14ac:dyDescent="0.25">
      <c r="A164" s="11" t="s">
        <v>1563</v>
      </c>
      <c r="B164" s="2" t="str">
        <f t="shared" si="12"/>
        <v>Plk Strat A</v>
      </c>
      <c r="C164" s="3">
        <v>163</v>
      </c>
      <c r="D164" s="17" t="s">
        <v>162</v>
      </c>
      <c r="E164" s="2" t="str">
        <f t="shared" si="13"/>
        <v>ClavDB Brt B</v>
      </c>
      <c r="F164" s="12">
        <v>163</v>
      </c>
      <c r="G164" s="17">
        <f t="shared" si="14"/>
        <v>0</v>
      </c>
      <c r="H164" s="2">
        <f t="shared" si="15"/>
        <v>0</v>
      </c>
      <c r="I164" s="3" t="s">
        <v>3714</v>
      </c>
      <c r="J164" s="17">
        <f t="shared" si="16"/>
        <v>0</v>
      </c>
      <c r="K164" s="2">
        <f t="shared" si="17"/>
        <v>0</v>
      </c>
      <c r="L164" s="12" t="s">
        <v>3714</v>
      </c>
    </row>
    <row r="165" spans="1:12" x14ac:dyDescent="0.25">
      <c r="A165" s="11" t="s">
        <v>1564</v>
      </c>
      <c r="B165" s="2" t="str">
        <f t="shared" si="12"/>
        <v>Plk Strat B</v>
      </c>
      <c r="C165" s="3">
        <v>164</v>
      </c>
      <c r="D165" s="17" t="s">
        <v>163</v>
      </c>
      <c r="E165" s="2" t="str">
        <f t="shared" si="13"/>
        <v>ClavDB Brt C</v>
      </c>
      <c r="F165" s="12">
        <v>164</v>
      </c>
      <c r="G165" s="17">
        <f t="shared" si="14"/>
        <v>0</v>
      </c>
      <c r="H165" s="2">
        <f t="shared" si="15"/>
        <v>0</v>
      </c>
      <c r="I165" s="3" t="s">
        <v>3714</v>
      </c>
      <c r="J165" s="17">
        <f t="shared" si="16"/>
        <v>0</v>
      </c>
      <c r="K165" s="2">
        <f t="shared" si="17"/>
        <v>0</v>
      </c>
      <c r="L165" s="12" t="s">
        <v>3714</v>
      </c>
    </row>
    <row r="166" spans="1:12" x14ac:dyDescent="0.25">
      <c r="A166" s="11" t="s">
        <v>1565</v>
      </c>
      <c r="B166" s="2" t="str">
        <f t="shared" si="12"/>
        <v>Plk Strat C</v>
      </c>
      <c r="C166" s="3">
        <v>165</v>
      </c>
      <c r="D166" s="17" t="s">
        <v>164</v>
      </c>
      <c r="E166" s="2" t="str">
        <f t="shared" si="13"/>
        <v>Reg.Clav A</v>
      </c>
      <c r="F166" s="12">
        <v>165</v>
      </c>
      <c r="G166" s="17">
        <f t="shared" si="14"/>
        <v>0</v>
      </c>
      <c r="H166" s="2">
        <f t="shared" si="15"/>
        <v>0</v>
      </c>
      <c r="I166" s="3" t="s">
        <v>3714</v>
      </c>
      <c r="J166" s="17">
        <f t="shared" si="16"/>
        <v>71</v>
      </c>
      <c r="K166" s="2">
        <f t="shared" si="17"/>
        <v>-94</v>
      </c>
      <c r="L166" s="12" t="s">
        <v>3714</v>
      </c>
    </row>
    <row r="167" spans="1:12" x14ac:dyDescent="0.25">
      <c r="A167" s="11" t="s">
        <v>1566</v>
      </c>
      <c r="B167" s="2" t="str">
        <f t="shared" si="12"/>
        <v>Strat Mute A</v>
      </c>
      <c r="C167" s="3">
        <v>166</v>
      </c>
      <c r="D167" s="17" t="s">
        <v>165</v>
      </c>
      <c r="E167" s="2" t="str">
        <f t="shared" si="13"/>
        <v>Reg.Clav B</v>
      </c>
      <c r="F167" s="12">
        <v>166</v>
      </c>
      <c r="G167" s="17">
        <f t="shared" si="14"/>
        <v>0</v>
      </c>
      <c r="H167" s="2">
        <f t="shared" si="15"/>
        <v>0</v>
      </c>
      <c r="I167" s="3" t="s">
        <v>3714</v>
      </c>
      <c r="J167" s="17">
        <f t="shared" si="16"/>
        <v>72</v>
      </c>
      <c r="K167" s="2">
        <f t="shared" si="17"/>
        <v>-94</v>
      </c>
      <c r="L167" s="12" t="s">
        <v>3714</v>
      </c>
    </row>
    <row r="168" spans="1:12" x14ac:dyDescent="0.25">
      <c r="A168" s="11" t="s">
        <v>1567</v>
      </c>
      <c r="B168" s="2" t="str">
        <f t="shared" si="12"/>
        <v>Strat Mute B</v>
      </c>
      <c r="C168" s="3">
        <v>167</v>
      </c>
      <c r="D168" s="17" t="s">
        <v>166</v>
      </c>
      <c r="E168" s="2" t="str">
        <f t="shared" si="13"/>
        <v>Reg.Clav C</v>
      </c>
      <c r="F168" s="12">
        <v>167</v>
      </c>
      <c r="G168" s="17">
        <f t="shared" si="14"/>
        <v>0</v>
      </c>
      <c r="H168" s="2">
        <f t="shared" si="15"/>
        <v>0</v>
      </c>
      <c r="I168" s="3" t="s">
        <v>3714</v>
      </c>
      <c r="J168" s="17">
        <f t="shared" si="16"/>
        <v>73</v>
      </c>
      <c r="K168" s="2">
        <f t="shared" si="17"/>
        <v>-94</v>
      </c>
      <c r="L168" s="12" t="s">
        <v>3714</v>
      </c>
    </row>
    <row r="169" spans="1:12" x14ac:dyDescent="0.25">
      <c r="A169" s="11" t="s">
        <v>1568</v>
      </c>
      <c r="B169" s="2" t="str">
        <f t="shared" si="12"/>
        <v>Strat Mute C</v>
      </c>
      <c r="C169" s="3">
        <v>168</v>
      </c>
      <c r="D169" s="17" t="s">
        <v>167</v>
      </c>
      <c r="E169" s="2" t="str">
        <f t="shared" si="13"/>
        <v>Retro Clav A</v>
      </c>
      <c r="F169" s="12">
        <v>168</v>
      </c>
      <c r="G169" s="17">
        <f t="shared" si="14"/>
        <v>0</v>
      </c>
      <c r="H169" s="2">
        <f t="shared" si="15"/>
        <v>0</v>
      </c>
      <c r="I169" s="3" t="s">
        <v>3714</v>
      </c>
      <c r="J169" s="17">
        <f t="shared" si="16"/>
        <v>74</v>
      </c>
      <c r="K169" s="2">
        <f t="shared" si="17"/>
        <v>-94</v>
      </c>
      <c r="L169" s="12" t="s">
        <v>3714</v>
      </c>
    </row>
    <row r="170" spans="1:12" x14ac:dyDescent="0.25">
      <c r="A170" s="11" t="s">
        <v>1569</v>
      </c>
      <c r="B170" s="2" t="str">
        <f t="shared" si="12"/>
        <v>Funk Gtr A</v>
      </c>
      <c r="C170" s="3">
        <v>169</v>
      </c>
      <c r="D170" s="17" t="s">
        <v>168</v>
      </c>
      <c r="E170" s="2" t="str">
        <f t="shared" si="13"/>
        <v>Retro Clav B</v>
      </c>
      <c r="F170" s="12">
        <v>169</v>
      </c>
      <c r="G170" s="17">
        <f t="shared" si="14"/>
        <v>266</v>
      </c>
      <c r="H170" s="2">
        <f t="shared" si="15"/>
        <v>97</v>
      </c>
      <c r="I170" s="3" t="s">
        <v>3714</v>
      </c>
      <c r="J170" s="17">
        <f t="shared" si="16"/>
        <v>75</v>
      </c>
      <c r="K170" s="2">
        <f t="shared" si="17"/>
        <v>-94</v>
      </c>
      <c r="L170" s="12" t="s">
        <v>3714</v>
      </c>
    </row>
    <row r="171" spans="1:12" x14ac:dyDescent="0.25">
      <c r="A171" s="11" t="s">
        <v>1570</v>
      </c>
      <c r="B171" s="2" t="str">
        <f t="shared" si="12"/>
        <v>Funk Gtr B</v>
      </c>
      <c r="C171" s="3">
        <v>170</v>
      </c>
      <c r="D171" s="17" t="s">
        <v>169</v>
      </c>
      <c r="E171" s="2" t="str">
        <f t="shared" si="13"/>
        <v>Retro Clav C</v>
      </c>
      <c r="F171" s="12">
        <v>170</v>
      </c>
      <c r="G171" s="17">
        <f t="shared" si="14"/>
        <v>267</v>
      </c>
      <c r="H171" s="2">
        <f t="shared" si="15"/>
        <v>97</v>
      </c>
      <c r="I171" s="3" t="s">
        <v>3714</v>
      </c>
      <c r="J171" s="17">
        <f t="shared" si="16"/>
        <v>76</v>
      </c>
      <c r="K171" s="2">
        <f t="shared" si="17"/>
        <v>-94</v>
      </c>
      <c r="L171" s="12" t="s">
        <v>3714</v>
      </c>
    </row>
    <row r="172" spans="1:12" x14ac:dyDescent="0.25">
      <c r="A172" s="11" t="s">
        <v>1571</v>
      </c>
      <c r="B172" s="2" t="str">
        <f t="shared" si="12"/>
        <v>Funk Gtr C</v>
      </c>
      <c r="C172" s="3">
        <v>171</v>
      </c>
      <c r="D172" s="17" t="s">
        <v>170</v>
      </c>
      <c r="E172" s="2" t="str">
        <f t="shared" si="13"/>
        <v>Tight Clav A</v>
      </c>
      <c r="F172" s="12">
        <v>171</v>
      </c>
      <c r="G172" s="17">
        <f t="shared" si="14"/>
        <v>268</v>
      </c>
      <c r="H172" s="2">
        <f t="shared" si="15"/>
        <v>97</v>
      </c>
      <c r="I172" s="3" t="s">
        <v>3714</v>
      </c>
      <c r="J172" s="17">
        <f t="shared" si="16"/>
        <v>77</v>
      </c>
      <c r="K172" s="2">
        <f t="shared" si="17"/>
        <v>-94</v>
      </c>
      <c r="L172" s="12" t="s">
        <v>3714</v>
      </c>
    </row>
    <row r="173" spans="1:12" x14ac:dyDescent="0.25">
      <c r="A173" s="11" t="s">
        <v>1572</v>
      </c>
      <c r="B173" s="2" t="str">
        <f t="shared" si="12"/>
        <v>Funk MtGtr A</v>
      </c>
      <c r="C173" s="3">
        <v>172</v>
      </c>
      <c r="D173" s="17" t="s">
        <v>171</v>
      </c>
      <c r="E173" s="2" t="str">
        <f t="shared" si="13"/>
        <v>Tight Clav B</v>
      </c>
      <c r="F173" s="12">
        <v>172</v>
      </c>
      <c r="G173" s="17">
        <f t="shared" si="14"/>
        <v>269</v>
      </c>
      <c r="H173" s="2">
        <f t="shared" si="15"/>
        <v>97</v>
      </c>
      <c r="I173" s="3" t="s">
        <v>3714</v>
      </c>
      <c r="J173" s="17">
        <f t="shared" si="16"/>
        <v>78</v>
      </c>
      <c r="K173" s="2">
        <f t="shared" si="17"/>
        <v>-94</v>
      </c>
      <c r="L173" s="12" t="s">
        <v>3714</v>
      </c>
    </row>
    <row r="174" spans="1:12" x14ac:dyDescent="0.25">
      <c r="A174" s="11" t="s">
        <v>1573</v>
      </c>
      <c r="B174" s="2" t="str">
        <f t="shared" si="12"/>
        <v>Funk MtGtr B</v>
      </c>
      <c r="C174" s="3">
        <v>173</v>
      </c>
      <c r="D174" s="17" t="s">
        <v>172</v>
      </c>
      <c r="E174" s="2" t="str">
        <f t="shared" si="13"/>
        <v>Tight Clav C</v>
      </c>
      <c r="F174" s="12">
        <v>173</v>
      </c>
      <c r="G174" s="17">
        <f t="shared" si="14"/>
        <v>270</v>
      </c>
      <c r="H174" s="2">
        <f t="shared" si="15"/>
        <v>97</v>
      </c>
      <c r="I174" s="3" t="s">
        <v>3714</v>
      </c>
      <c r="J174" s="17">
        <f t="shared" si="16"/>
        <v>79</v>
      </c>
      <c r="K174" s="2">
        <f t="shared" si="17"/>
        <v>-94</v>
      </c>
      <c r="L174" s="12" t="s">
        <v>3714</v>
      </c>
    </row>
    <row r="175" spans="1:12" x14ac:dyDescent="0.25">
      <c r="A175" s="11" t="s">
        <v>1574</v>
      </c>
      <c r="B175" s="2" t="str">
        <f t="shared" si="12"/>
        <v>Funk MtGtr C</v>
      </c>
      <c r="C175" s="3">
        <v>174</v>
      </c>
      <c r="D175" s="17" t="s">
        <v>173</v>
      </c>
      <c r="E175" s="2" t="str">
        <f t="shared" si="13"/>
        <v>Hard Clav A</v>
      </c>
      <c r="F175" s="12">
        <v>174</v>
      </c>
      <c r="G175" s="17">
        <f t="shared" si="14"/>
        <v>271</v>
      </c>
      <c r="H175" s="2">
        <f t="shared" si="15"/>
        <v>97</v>
      </c>
      <c r="I175" s="3" t="s">
        <v>3714</v>
      </c>
      <c r="J175" s="17">
        <f t="shared" si="16"/>
        <v>80</v>
      </c>
      <c r="K175" s="2">
        <f t="shared" si="17"/>
        <v>-94</v>
      </c>
      <c r="L175" s="12" t="s">
        <v>3714</v>
      </c>
    </row>
    <row r="176" spans="1:12" x14ac:dyDescent="0.25">
      <c r="A176" s="11" t="s">
        <v>1575</v>
      </c>
      <c r="B176" s="2" t="str">
        <f t="shared" si="12"/>
        <v>Easy Gtr A</v>
      </c>
      <c r="C176" s="3">
        <v>175</v>
      </c>
      <c r="D176" s="17" t="s">
        <v>174</v>
      </c>
      <c r="E176" s="2" t="str">
        <f t="shared" si="13"/>
        <v>Hard Clav B</v>
      </c>
      <c r="F176" s="12">
        <v>175</v>
      </c>
      <c r="G176" s="17">
        <f t="shared" si="14"/>
        <v>0</v>
      </c>
      <c r="H176" s="2">
        <f t="shared" si="15"/>
        <v>0</v>
      </c>
      <c r="I176" s="3" t="s">
        <v>3714</v>
      </c>
      <c r="J176" s="17">
        <f t="shared" si="16"/>
        <v>81</v>
      </c>
      <c r="K176" s="2">
        <f t="shared" si="17"/>
        <v>-94</v>
      </c>
      <c r="L176" s="12" t="s">
        <v>3714</v>
      </c>
    </row>
    <row r="177" spans="1:12" x14ac:dyDescent="0.25">
      <c r="A177" s="11" t="s">
        <v>1576</v>
      </c>
      <c r="B177" s="2" t="str">
        <f t="shared" si="12"/>
        <v>Easy Gtr B</v>
      </c>
      <c r="C177" s="3">
        <v>176</v>
      </c>
      <c r="D177" s="17" t="s">
        <v>175</v>
      </c>
      <c r="E177" s="2" t="str">
        <f t="shared" si="13"/>
        <v>Hard Clav C</v>
      </c>
      <c r="F177" s="12">
        <v>176</v>
      </c>
      <c r="G177" s="17">
        <f t="shared" si="14"/>
        <v>0</v>
      </c>
      <c r="H177" s="2">
        <f t="shared" si="15"/>
        <v>0</v>
      </c>
      <c r="I177" s="3" t="s">
        <v>3714</v>
      </c>
      <c r="J177" s="17">
        <f t="shared" si="16"/>
        <v>82</v>
      </c>
      <c r="K177" s="2">
        <f t="shared" si="17"/>
        <v>-94</v>
      </c>
      <c r="L177" s="12" t="s">
        <v>3714</v>
      </c>
    </row>
    <row r="178" spans="1:12" x14ac:dyDescent="0.25">
      <c r="A178" s="11" t="s">
        <v>1577</v>
      </c>
      <c r="B178" s="2" t="str">
        <f t="shared" si="12"/>
        <v>Easy Gtr C</v>
      </c>
      <c r="C178" s="3">
        <v>177</v>
      </c>
      <c r="D178" s="17" t="s">
        <v>176</v>
      </c>
      <c r="E178" s="2" t="str">
        <f t="shared" si="13"/>
        <v>ClvMtRs DB f</v>
      </c>
      <c r="F178" s="12">
        <v>177</v>
      </c>
      <c r="G178" s="17">
        <f t="shared" si="14"/>
        <v>0</v>
      </c>
      <c r="H178" s="2">
        <f t="shared" si="15"/>
        <v>0</v>
      </c>
      <c r="I178" s="3" t="s">
        <v>3714</v>
      </c>
      <c r="J178" s="17">
        <f t="shared" si="16"/>
        <v>0</v>
      </c>
      <c r="K178" s="2">
        <f t="shared" si="17"/>
        <v>0</v>
      </c>
      <c r="L178" s="12" t="s">
        <v>3714</v>
      </c>
    </row>
    <row r="179" spans="1:12" x14ac:dyDescent="0.25">
      <c r="A179" s="11" t="s">
        <v>1578</v>
      </c>
      <c r="B179" s="2" t="str">
        <f t="shared" si="12"/>
        <v>Nasty Gtr</v>
      </c>
      <c r="C179" s="3">
        <v>178</v>
      </c>
      <c r="D179" s="17" t="s">
        <v>177</v>
      </c>
      <c r="E179" s="2" t="str">
        <f t="shared" si="13"/>
        <v>Harpsi A</v>
      </c>
      <c r="F179" s="12">
        <v>178</v>
      </c>
      <c r="G179" s="17">
        <f t="shared" si="14"/>
        <v>272</v>
      </c>
      <c r="H179" s="2">
        <f t="shared" si="15"/>
        <v>94</v>
      </c>
      <c r="I179" s="3" t="s">
        <v>3714</v>
      </c>
      <c r="J179" s="17">
        <f t="shared" si="16"/>
        <v>84</v>
      </c>
      <c r="K179" s="2">
        <f t="shared" si="17"/>
        <v>-94</v>
      </c>
      <c r="L179" s="12" t="s">
        <v>3714</v>
      </c>
    </row>
    <row r="180" spans="1:12" x14ac:dyDescent="0.25">
      <c r="A180" s="11" t="s">
        <v>1579</v>
      </c>
      <c r="B180" s="2" t="str">
        <f t="shared" si="12"/>
        <v>Clean TC A</v>
      </c>
      <c r="C180" s="3">
        <v>179</v>
      </c>
      <c r="D180" s="17" t="s">
        <v>178</v>
      </c>
      <c r="E180" s="2" t="str">
        <f t="shared" si="13"/>
        <v>Harpsi B</v>
      </c>
      <c r="F180" s="12">
        <v>179</v>
      </c>
      <c r="G180" s="17">
        <f t="shared" si="14"/>
        <v>0</v>
      </c>
      <c r="H180" s="2">
        <f t="shared" si="15"/>
        <v>0</v>
      </c>
      <c r="I180" s="3" t="s">
        <v>3714</v>
      </c>
      <c r="J180" s="17">
        <f t="shared" si="16"/>
        <v>85</v>
      </c>
      <c r="K180" s="2">
        <f t="shared" si="17"/>
        <v>-94</v>
      </c>
      <c r="L180" s="12" t="s">
        <v>3714</v>
      </c>
    </row>
    <row r="181" spans="1:12" x14ac:dyDescent="0.25">
      <c r="A181" s="11" t="s">
        <v>1580</v>
      </c>
      <c r="B181" s="2" t="str">
        <f t="shared" si="12"/>
        <v>Clean TC B</v>
      </c>
      <c r="C181" s="3">
        <v>180</v>
      </c>
      <c r="D181" s="17" t="s">
        <v>179</v>
      </c>
      <c r="E181" s="2" t="str">
        <f t="shared" si="13"/>
        <v>Harpsi C</v>
      </c>
      <c r="F181" s="12">
        <v>180</v>
      </c>
      <c r="G181" s="17">
        <f t="shared" si="14"/>
        <v>0</v>
      </c>
      <c r="H181" s="2">
        <f t="shared" si="15"/>
        <v>0</v>
      </c>
      <c r="I181" s="3" t="s">
        <v>3714</v>
      </c>
      <c r="J181" s="17">
        <f t="shared" si="16"/>
        <v>86</v>
      </c>
      <c r="K181" s="2">
        <f t="shared" si="17"/>
        <v>-94</v>
      </c>
      <c r="L181" s="12" t="s">
        <v>3714</v>
      </c>
    </row>
    <row r="182" spans="1:12" x14ac:dyDescent="0.25">
      <c r="A182" s="11" t="s">
        <v>1581</v>
      </c>
      <c r="B182" s="2" t="str">
        <f t="shared" si="12"/>
        <v>Clean TC C</v>
      </c>
      <c r="C182" s="3">
        <v>181</v>
      </c>
      <c r="D182" s="17" t="s">
        <v>180</v>
      </c>
      <c r="E182" s="2" t="str">
        <f t="shared" si="13"/>
        <v>JLOrg Slow L</v>
      </c>
      <c r="F182" s="12">
        <v>181</v>
      </c>
      <c r="G182" s="17">
        <f t="shared" si="14"/>
        <v>0</v>
      </c>
      <c r="H182" s="2">
        <f t="shared" si="15"/>
        <v>0</v>
      </c>
      <c r="I182" s="3" t="s">
        <v>3714</v>
      </c>
      <c r="J182" s="17">
        <f t="shared" si="16"/>
        <v>0</v>
      </c>
      <c r="K182" s="2">
        <f t="shared" si="17"/>
        <v>0</v>
      </c>
      <c r="L182" s="12" t="s">
        <v>3714</v>
      </c>
    </row>
    <row r="183" spans="1:12" x14ac:dyDescent="0.25">
      <c r="A183" s="11" t="s">
        <v>1582</v>
      </c>
      <c r="B183" s="2" t="str">
        <f t="shared" si="12"/>
        <v>Overdrive A</v>
      </c>
      <c r="C183" s="3">
        <v>182</v>
      </c>
      <c r="D183" s="17" t="s">
        <v>181</v>
      </c>
      <c r="E183" s="2" t="str">
        <f t="shared" si="13"/>
        <v>JLOrg Slow R</v>
      </c>
      <c r="F183" s="12">
        <v>182</v>
      </c>
      <c r="G183" s="17">
        <f t="shared" si="14"/>
        <v>273</v>
      </c>
      <c r="H183" s="2">
        <f t="shared" si="15"/>
        <v>91</v>
      </c>
      <c r="I183" s="3" t="s">
        <v>3714</v>
      </c>
      <c r="J183" s="17">
        <f t="shared" si="16"/>
        <v>0</v>
      </c>
      <c r="K183" s="2">
        <f t="shared" si="17"/>
        <v>0</v>
      </c>
      <c r="L183" s="12" t="s">
        <v>3714</v>
      </c>
    </row>
    <row r="184" spans="1:12" x14ac:dyDescent="0.25">
      <c r="A184" s="11" t="s">
        <v>1583</v>
      </c>
      <c r="B184" s="2" t="str">
        <f t="shared" si="12"/>
        <v>Overdrive C</v>
      </c>
      <c r="C184" s="3">
        <v>183</v>
      </c>
      <c r="D184" s="17" t="s">
        <v>182</v>
      </c>
      <c r="E184" s="2" t="str">
        <f t="shared" si="13"/>
        <v>JLOrg Fast L</v>
      </c>
      <c r="F184" s="12">
        <v>183</v>
      </c>
      <c r="G184" s="17">
        <f t="shared" si="14"/>
        <v>274</v>
      </c>
      <c r="H184" s="2">
        <f t="shared" si="15"/>
        <v>91</v>
      </c>
      <c r="I184" s="3" t="s">
        <v>3714</v>
      </c>
      <c r="J184" s="17">
        <f t="shared" si="16"/>
        <v>0</v>
      </c>
      <c r="K184" s="2">
        <f t="shared" si="17"/>
        <v>0</v>
      </c>
      <c r="L184" s="12" t="s">
        <v>3714</v>
      </c>
    </row>
    <row r="185" spans="1:12" x14ac:dyDescent="0.25">
      <c r="A185" s="11" t="s">
        <v>1584</v>
      </c>
      <c r="B185" s="2" t="str">
        <f t="shared" si="12"/>
        <v>Distortion A</v>
      </c>
      <c r="C185" s="3">
        <v>184</v>
      </c>
      <c r="D185" s="17" t="s">
        <v>183</v>
      </c>
      <c r="E185" s="2" t="str">
        <f t="shared" si="13"/>
        <v>JLOrg Fast R</v>
      </c>
      <c r="F185" s="12">
        <v>184</v>
      </c>
      <c r="G185" s="17">
        <f t="shared" si="14"/>
        <v>275</v>
      </c>
      <c r="H185" s="2">
        <f t="shared" si="15"/>
        <v>91</v>
      </c>
      <c r="I185" s="3" t="s">
        <v>3714</v>
      </c>
      <c r="J185" s="17">
        <f t="shared" si="16"/>
        <v>0</v>
      </c>
      <c r="K185" s="2">
        <f t="shared" si="17"/>
        <v>0</v>
      </c>
      <c r="L185" s="12" t="s">
        <v>3714</v>
      </c>
    </row>
    <row r="186" spans="1:12" x14ac:dyDescent="0.25">
      <c r="A186" s="11" t="s">
        <v>1585</v>
      </c>
      <c r="B186" s="2" t="str">
        <f t="shared" si="12"/>
        <v>Distortion B</v>
      </c>
      <c r="C186" s="3">
        <v>185</v>
      </c>
      <c r="D186" s="17" t="s">
        <v>184</v>
      </c>
      <c r="E186" s="2" t="str">
        <f t="shared" si="13"/>
        <v>JD Full Draw</v>
      </c>
      <c r="F186" s="12">
        <v>185</v>
      </c>
      <c r="G186" s="17">
        <f t="shared" si="14"/>
        <v>276</v>
      </c>
      <c r="H186" s="2">
        <f t="shared" si="15"/>
        <v>91</v>
      </c>
      <c r="I186" s="3" t="s">
        <v>3714</v>
      </c>
      <c r="J186" s="17">
        <f t="shared" si="16"/>
        <v>87</v>
      </c>
      <c r="K186" s="2">
        <f t="shared" si="17"/>
        <v>-98</v>
      </c>
      <c r="L186" s="12" t="s">
        <v>3714</v>
      </c>
    </row>
    <row r="187" spans="1:12" x14ac:dyDescent="0.25">
      <c r="A187" s="11" t="s">
        <v>1586</v>
      </c>
      <c r="B187" s="2" t="str">
        <f t="shared" si="12"/>
        <v>Distortion C</v>
      </c>
      <c r="C187" s="3">
        <v>186</v>
      </c>
      <c r="D187" s="17" t="s">
        <v>185</v>
      </c>
      <c r="E187" s="2" t="str">
        <f t="shared" si="13"/>
        <v>Org Basic 1</v>
      </c>
      <c r="F187" s="12">
        <v>186</v>
      </c>
      <c r="G187" s="17">
        <f t="shared" si="14"/>
        <v>277</v>
      </c>
      <c r="H187" s="2">
        <f t="shared" si="15"/>
        <v>91</v>
      </c>
      <c r="I187" s="3" t="s">
        <v>3714</v>
      </c>
      <c r="J187" s="17">
        <f t="shared" si="16"/>
        <v>88</v>
      </c>
      <c r="K187" s="2">
        <f t="shared" si="17"/>
        <v>-98</v>
      </c>
      <c r="L187" s="12" t="s">
        <v>3714</v>
      </c>
    </row>
    <row r="188" spans="1:12" x14ac:dyDescent="0.25">
      <c r="A188" s="11" t="s">
        <v>1587</v>
      </c>
      <c r="B188" s="2" t="str">
        <f t="shared" si="12"/>
        <v>Dist Mute A</v>
      </c>
      <c r="C188" s="3">
        <v>187</v>
      </c>
      <c r="D188" s="17" t="s">
        <v>186</v>
      </c>
      <c r="E188" s="2" t="str">
        <f t="shared" si="13"/>
        <v>Org Basic 2</v>
      </c>
      <c r="F188" s="12">
        <v>187</v>
      </c>
      <c r="G188" s="17">
        <f t="shared" si="14"/>
        <v>0</v>
      </c>
      <c r="H188" s="2">
        <f t="shared" si="15"/>
        <v>0</v>
      </c>
      <c r="I188" s="3" t="s">
        <v>3714</v>
      </c>
      <c r="J188" s="17">
        <f t="shared" si="16"/>
        <v>89</v>
      </c>
      <c r="K188" s="2">
        <f t="shared" si="17"/>
        <v>-98</v>
      </c>
      <c r="L188" s="12" t="s">
        <v>3714</v>
      </c>
    </row>
    <row r="189" spans="1:12" x14ac:dyDescent="0.25">
      <c r="A189" s="11" t="s">
        <v>1588</v>
      </c>
      <c r="B189" s="2" t="str">
        <f t="shared" si="12"/>
        <v>Dist Mute B</v>
      </c>
      <c r="C189" s="3">
        <v>188</v>
      </c>
      <c r="D189" s="17" t="s">
        <v>187</v>
      </c>
      <c r="E189" s="2" t="str">
        <f t="shared" si="13"/>
        <v>Ballad Org</v>
      </c>
      <c r="F189" s="12">
        <v>188</v>
      </c>
      <c r="G189" s="17">
        <f t="shared" si="14"/>
        <v>0</v>
      </c>
      <c r="H189" s="2">
        <f t="shared" si="15"/>
        <v>0</v>
      </c>
      <c r="I189" s="3" t="s">
        <v>3714</v>
      </c>
      <c r="J189" s="17">
        <f t="shared" si="16"/>
        <v>90</v>
      </c>
      <c r="K189" s="2">
        <f t="shared" si="17"/>
        <v>-98</v>
      </c>
      <c r="L189" s="12" t="s">
        <v>3714</v>
      </c>
    </row>
    <row r="190" spans="1:12" x14ac:dyDescent="0.25">
      <c r="A190" s="11" t="s">
        <v>1589</v>
      </c>
      <c r="B190" s="2" t="str">
        <f t="shared" si="12"/>
        <v>Dist Mute C</v>
      </c>
      <c r="C190" s="3">
        <v>189</v>
      </c>
      <c r="D190" s="17" t="s">
        <v>188</v>
      </c>
      <c r="E190" s="2" t="str">
        <f t="shared" si="13"/>
        <v>3rd Perc Org</v>
      </c>
      <c r="F190" s="12">
        <v>189</v>
      </c>
      <c r="G190" s="17">
        <f t="shared" si="14"/>
        <v>0</v>
      </c>
      <c r="H190" s="2">
        <f t="shared" si="15"/>
        <v>0</v>
      </c>
      <c r="I190" s="3" t="s">
        <v>3714</v>
      </c>
      <c r="J190" s="17">
        <f t="shared" si="16"/>
        <v>91</v>
      </c>
      <c r="K190" s="2">
        <f t="shared" si="17"/>
        <v>-98</v>
      </c>
      <c r="L190" s="12" t="s">
        <v>3714</v>
      </c>
    </row>
    <row r="191" spans="1:12" x14ac:dyDescent="0.25">
      <c r="A191" s="11" t="s">
        <v>1590</v>
      </c>
      <c r="B191" s="2" t="str">
        <f t="shared" si="12"/>
        <v>Dist Chord A</v>
      </c>
      <c r="C191" s="3">
        <v>190</v>
      </c>
      <c r="D191" s="17" t="s">
        <v>189</v>
      </c>
      <c r="E191" s="2" t="str">
        <f t="shared" si="13"/>
        <v>Perc Organ</v>
      </c>
      <c r="F191" s="12">
        <v>190</v>
      </c>
      <c r="G191" s="17">
        <f t="shared" si="14"/>
        <v>278</v>
      </c>
      <c r="H191" s="2">
        <f t="shared" si="15"/>
        <v>88</v>
      </c>
      <c r="I191" s="3" t="s">
        <v>3714</v>
      </c>
      <c r="J191" s="17">
        <f t="shared" si="16"/>
        <v>0</v>
      </c>
      <c r="K191" s="2">
        <f t="shared" si="17"/>
        <v>0</v>
      </c>
      <c r="L191" s="12" t="s">
        <v>3714</v>
      </c>
    </row>
    <row r="192" spans="1:12" x14ac:dyDescent="0.25">
      <c r="A192" s="11" t="s">
        <v>1591</v>
      </c>
      <c r="B192" s="2" t="str">
        <f t="shared" si="12"/>
        <v>Dist Chord B</v>
      </c>
      <c r="C192" s="3">
        <v>191</v>
      </c>
      <c r="D192" s="17" t="s">
        <v>190</v>
      </c>
      <c r="E192" s="2" t="str">
        <f t="shared" si="13"/>
        <v>Rock Organ A</v>
      </c>
      <c r="F192" s="12">
        <v>191</v>
      </c>
      <c r="G192" s="17">
        <f t="shared" si="14"/>
        <v>279</v>
      </c>
      <c r="H192" s="2">
        <f t="shared" si="15"/>
        <v>88</v>
      </c>
      <c r="I192" s="3" t="s">
        <v>3714</v>
      </c>
      <c r="J192" s="17">
        <f t="shared" si="16"/>
        <v>95</v>
      </c>
      <c r="K192" s="2">
        <f t="shared" si="17"/>
        <v>-96</v>
      </c>
      <c r="L192" s="12" t="s">
        <v>3714</v>
      </c>
    </row>
    <row r="193" spans="1:12" x14ac:dyDescent="0.25">
      <c r="A193" s="11" t="s">
        <v>1592</v>
      </c>
      <c r="B193" s="2" t="str">
        <f t="shared" si="12"/>
        <v>Dist Chord C</v>
      </c>
      <c r="C193" s="3">
        <v>192</v>
      </c>
      <c r="D193" s="17" t="s">
        <v>191</v>
      </c>
      <c r="E193" s="2" t="str">
        <f t="shared" si="13"/>
        <v>Rock Organ B</v>
      </c>
      <c r="F193" s="12">
        <v>192</v>
      </c>
      <c r="G193" s="17">
        <f t="shared" si="14"/>
        <v>280</v>
      </c>
      <c r="H193" s="2">
        <f t="shared" si="15"/>
        <v>88</v>
      </c>
      <c r="I193" s="3" t="s">
        <v>3714</v>
      </c>
      <c r="J193" s="17">
        <f t="shared" si="16"/>
        <v>96</v>
      </c>
      <c r="K193" s="2">
        <f t="shared" si="17"/>
        <v>-96</v>
      </c>
      <c r="L193" s="12" t="s">
        <v>3714</v>
      </c>
    </row>
    <row r="194" spans="1:12" x14ac:dyDescent="0.25">
      <c r="A194" s="11" t="s">
        <v>1593</v>
      </c>
      <c r="B194" s="2" t="str">
        <f t="shared" ref="B194:B257" si="18">_xlfn.TEXTAFTER(A194," ",1)</f>
        <v>Dst Gtr Riff</v>
      </c>
      <c r="C194" s="3">
        <v>193</v>
      </c>
      <c r="D194" s="17" t="s">
        <v>192</v>
      </c>
      <c r="E194" s="2" t="str">
        <f t="shared" ref="E194:E257" si="19">_xlfn.TEXTAFTER(D194," ",1)</f>
        <v>Rock Organ C</v>
      </c>
      <c r="F194" s="12">
        <v>193</v>
      </c>
      <c r="G194" s="17">
        <f t="shared" si="14"/>
        <v>0</v>
      </c>
      <c r="H194" s="2">
        <f t="shared" si="15"/>
        <v>0</v>
      </c>
      <c r="I194" s="3" t="s">
        <v>3714</v>
      </c>
      <c r="J194" s="17">
        <f t="shared" si="16"/>
        <v>97</v>
      </c>
      <c r="K194" s="2">
        <f t="shared" si="17"/>
        <v>-96</v>
      </c>
      <c r="L194" s="12" t="s">
        <v>3714</v>
      </c>
    </row>
    <row r="195" spans="1:12" x14ac:dyDescent="0.25">
      <c r="A195" s="11" t="s">
        <v>1594</v>
      </c>
      <c r="B195" s="2" t="str">
        <f t="shared" si="18"/>
        <v>Gtr Trill</v>
      </c>
      <c r="C195" s="3">
        <v>194</v>
      </c>
      <c r="D195" s="17" t="s">
        <v>193</v>
      </c>
      <c r="E195" s="2" t="str">
        <f t="shared" si="19"/>
        <v>RtryOrg1 A L</v>
      </c>
      <c r="F195" s="12">
        <v>194</v>
      </c>
      <c r="G195" s="17">
        <f t="shared" ref="G195:G258" si="20">_xlfn.IFNA(_xlfn.XMATCH(B195,E$2:E$1402,0,1),0)</f>
        <v>0</v>
      </c>
      <c r="H195" s="2">
        <f t="shared" ref="H195:H258" si="21">IF(G195=0,0,G195-C195)</f>
        <v>0</v>
      </c>
      <c r="I195" s="3" t="s">
        <v>3714</v>
      </c>
      <c r="J195" s="17">
        <f t="shared" ref="J195:J258" si="22">_xlfn.IFNA(_xlfn.XMATCH(E195,B$2:B$1229,0,1),0)</f>
        <v>98</v>
      </c>
      <c r="K195" s="2">
        <f t="shared" ref="K195:K258" si="23">IF(J195=0,0,J195-F195)</f>
        <v>-96</v>
      </c>
      <c r="L195" s="12" t="s">
        <v>3714</v>
      </c>
    </row>
    <row r="196" spans="1:12" x14ac:dyDescent="0.25">
      <c r="A196" s="11" t="s">
        <v>1595</v>
      </c>
      <c r="B196" s="2" t="str">
        <f t="shared" si="18"/>
        <v>Cln Gtr Cut</v>
      </c>
      <c r="C196" s="3">
        <v>195</v>
      </c>
      <c r="D196" s="17" t="s">
        <v>194</v>
      </c>
      <c r="E196" s="2" t="str">
        <f t="shared" si="19"/>
        <v>RtryOrg1 A R</v>
      </c>
      <c r="F196" s="12">
        <v>195</v>
      </c>
      <c r="G196" s="17">
        <f t="shared" si="20"/>
        <v>0</v>
      </c>
      <c r="H196" s="2">
        <f t="shared" si="21"/>
        <v>0</v>
      </c>
      <c r="I196" s="3" t="s">
        <v>3714</v>
      </c>
      <c r="J196" s="17">
        <f t="shared" si="22"/>
        <v>99</v>
      </c>
      <c r="K196" s="2">
        <f t="shared" si="23"/>
        <v>-96</v>
      </c>
      <c r="L196" s="12" t="s">
        <v>3714</v>
      </c>
    </row>
    <row r="197" spans="1:12" x14ac:dyDescent="0.25">
      <c r="A197" s="11" t="s">
        <v>1596</v>
      </c>
      <c r="B197" s="2" t="str">
        <f t="shared" si="18"/>
        <v>Gtr Cut 1</v>
      </c>
      <c r="C197" s="3">
        <v>196</v>
      </c>
      <c r="D197" s="17" t="s">
        <v>195</v>
      </c>
      <c r="E197" s="2" t="str">
        <f t="shared" si="19"/>
        <v>RtryOrg1 B L</v>
      </c>
      <c r="F197" s="12">
        <v>196</v>
      </c>
      <c r="G197" s="17">
        <f t="shared" si="20"/>
        <v>0</v>
      </c>
      <c r="H197" s="2">
        <f t="shared" si="21"/>
        <v>0</v>
      </c>
      <c r="I197" s="3" t="s">
        <v>3714</v>
      </c>
      <c r="J197" s="17">
        <f t="shared" si="22"/>
        <v>100</v>
      </c>
      <c r="K197" s="2">
        <f t="shared" si="23"/>
        <v>-96</v>
      </c>
      <c r="L197" s="12" t="s">
        <v>3714</v>
      </c>
    </row>
    <row r="198" spans="1:12" x14ac:dyDescent="0.25">
      <c r="A198" s="11" t="s">
        <v>1597</v>
      </c>
      <c r="B198" s="2" t="str">
        <f t="shared" si="18"/>
        <v>Gtr Cut 2</v>
      </c>
      <c r="C198" s="3">
        <v>197</v>
      </c>
      <c r="D198" s="17" t="s">
        <v>196</v>
      </c>
      <c r="E198" s="2" t="str">
        <f t="shared" si="19"/>
        <v>RtryOrg1 B R</v>
      </c>
      <c r="F198" s="12">
        <v>197</v>
      </c>
      <c r="G198" s="17">
        <f t="shared" si="20"/>
        <v>0</v>
      </c>
      <c r="H198" s="2">
        <f t="shared" si="21"/>
        <v>0</v>
      </c>
      <c r="I198" s="3" t="s">
        <v>3714</v>
      </c>
      <c r="J198" s="17">
        <f t="shared" si="22"/>
        <v>101</v>
      </c>
      <c r="K198" s="2">
        <f t="shared" si="23"/>
        <v>-96</v>
      </c>
      <c r="L198" s="12" t="s">
        <v>3714</v>
      </c>
    </row>
    <row r="199" spans="1:12" x14ac:dyDescent="0.25">
      <c r="A199" s="11" t="s">
        <v>1598</v>
      </c>
      <c r="B199" s="2" t="str">
        <f t="shared" si="18"/>
        <v>Gtr Cut 3</v>
      </c>
      <c r="C199" s="3">
        <v>198</v>
      </c>
      <c r="D199" s="17" t="s">
        <v>197</v>
      </c>
      <c r="E199" s="2" t="str">
        <f t="shared" si="19"/>
        <v>RtryOrg1 C L</v>
      </c>
      <c r="F199" s="12">
        <v>198</v>
      </c>
      <c r="G199" s="17">
        <f t="shared" si="20"/>
        <v>0</v>
      </c>
      <c r="H199" s="2">
        <f t="shared" si="21"/>
        <v>0</v>
      </c>
      <c r="I199" s="3" t="s">
        <v>3714</v>
      </c>
      <c r="J199" s="17">
        <f t="shared" si="22"/>
        <v>102</v>
      </c>
      <c r="K199" s="2">
        <f t="shared" si="23"/>
        <v>-96</v>
      </c>
      <c r="L199" s="12" t="s">
        <v>3714</v>
      </c>
    </row>
    <row r="200" spans="1:12" x14ac:dyDescent="0.25">
      <c r="A200" s="11" t="s">
        <v>1599</v>
      </c>
      <c r="B200" s="2" t="str">
        <f t="shared" si="18"/>
        <v>Gtr Cut 4</v>
      </c>
      <c r="C200" s="3">
        <v>199</v>
      </c>
      <c r="D200" s="17" t="s">
        <v>198</v>
      </c>
      <c r="E200" s="2" t="str">
        <f t="shared" si="19"/>
        <v>RtryOrg1 C R</v>
      </c>
      <c r="F200" s="12">
        <v>199</v>
      </c>
      <c r="G200" s="17">
        <f t="shared" si="20"/>
        <v>0</v>
      </c>
      <c r="H200" s="2">
        <f t="shared" si="21"/>
        <v>0</v>
      </c>
      <c r="I200" s="3" t="s">
        <v>3714</v>
      </c>
      <c r="J200" s="17">
        <f t="shared" si="22"/>
        <v>103</v>
      </c>
      <c r="K200" s="2">
        <f t="shared" si="23"/>
        <v>-96</v>
      </c>
      <c r="L200" s="12" t="s">
        <v>3714</v>
      </c>
    </row>
    <row r="201" spans="1:12" x14ac:dyDescent="0.25">
      <c r="A201" s="11" t="s">
        <v>1600</v>
      </c>
      <c r="B201" s="2" t="str">
        <f t="shared" si="18"/>
        <v>Wah Gtr Riff</v>
      </c>
      <c r="C201" s="3">
        <v>200</v>
      </c>
      <c r="D201" s="17" t="s">
        <v>199</v>
      </c>
      <c r="E201" s="2" t="str">
        <f t="shared" si="19"/>
        <v>RtryOrg2 A L</v>
      </c>
      <c r="F201" s="12">
        <v>200</v>
      </c>
      <c r="G201" s="17">
        <f t="shared" si="20"/>
        <v>0</v>
      </c>
      <c r="H201" s="2">
        <f t="shared" si="21"/>
        <v>0</v>
      </c>
      <c r="I201" s="3" t="s">
        <v>3714</v>
      </c>
      <c r="J201" s="17">
        <f t="shared" si="22"/>
        <v>104</v>
      </c>
      <c r="K201" s="2">
        <f t="shared" si="23"/>
        <v>-96</v>
      </c>
      <c r="L201" s="12" t="s">
        <v>3714</v>
      </c>
    </row>
    <row r="202" spans="1:12" x14ac:dyDescent="0.25">
      <c r="A202" s="11" t="s">
        <v>1601</v>
      </c>
      <c r="B202" s="2" t="str">
        <f t="shared" si="18"/>
        <v>E.Gtr Harm</v>
      </c>
      <c r="C202" s="3">
        <v>201</v>
      </c>
      <c r="D202" s="17" t="s">
        <v>200</v>
      </c>
      <c r="E202" s="2" t="str">
        <f t="shared" si="19"/>
        <v>RtryOrg2 A R</v>
      </c>
      <c r="F202" s="12">
        <v>201</v>
      </c>
      <c r="G202" s="17">
        <f t="shared" si="20"/>
        <v>281</v>
      </c>
      <c r="H202" s="2">
        <f t="shared" si="21"/>
        <v>80</v>
      </c>
      <c r="I202" s="3" t="s">
        <v>3714</v>
      </c>
      <c r="J202" s="17">
        <f t="shared" si="22"/>
        <v>105</v>
      </c>
      <c r="K202" s="2">
        <f t="shared" si="23"/>
        <v>-96</v>
      </c>
      <c r="L202" s="12" t="s">
        <v>3714</v>
      </c>
    </row>
    <row r="203" spans="1:12" x14ac:dyDescent="0.25">
      <c r="A203" s="11" t="s">
        <v>1602</v>
      </c>
      <c r="B203" s="2" t="str">
        <f t="shared" si="18"/>
        <v>JD ScrapeGut</v>
      </c>
      <c r="C203" s="3">
        <v>202</v>
      </c>
      <c r="D203" s="17" t="s">
        <v>201</v>
      </c>
      <c r="E203" s="2" t="str">
        <f t="shared" si="19"/>
        <v>RtryOrg2 B L</v>
      </c>
      <c r="F203" s="12">
        <v>202</v>
      </c>
      <c r="G203" s="17">
        <f t="shared" si="20"/>
        <v>0</v>
      </c>
      <c r="H203" s="2">
        <f t="shared" si="21"/>
        <v>0</v>
      </c>
      <c r="I203" s="3" t="s">
        <v>3714</v>
      </c>
      <c r="J203" s="17">
        <f t="shared" si="22"/>
        <v>106</v>
      </c>
      <c r="K203" s="2">
        <f t="shared" si="23"/>
        <v>-96</v>
      </c>
      <c r="L203" s="12" t="s">
        <v>3714</v>
      </c>
    </row>
    <row r="204" spans="1:12" x14ac:dyDescent="0.25">
      <c r="A204" s="11" t="s">
        <v>1603</v>
      </c>
      <c r="B204" s="2" t="str">
        <f t="shared" si="18"/>
        <v>Harp A</v>
      </c>
      <c r="C204" s="3">
        <v>203</v>
      </c>
      <c r="D204" s="17" t="s">
        <v>202</v>
      </c>
      <c r="E204" s="2" t="str">
        <f t="shared" si="19"/>
        <v>RtryOrg2 B R</v>
      </c>
      <c r="F204" s="12">
        <v>203</v>
      </c>
      <c r="G204" s="17">
        <f t="shared" si="20"/>
        <v>282</v>
      </c>
      <c r="H204" s="2">
        <f t="shared" si="21"/>
        <v>79</v>
      </c>
      <c r="I204" s="3" t="s">
        <v>3714</v>
      </c>
      <c r="J204" s="17">
        <f t="shared" si="22"/>
        <v>107</v>
      </c>
      <c r="K204" s="2">
        <f t="shared" si="23"/>
        <v>-96</v>
      </c>
      <c r="L204" s="12" t="s">
        <v>3714</v>
      </c>
    </row>
    <row r="205" spans="1:12" x14ac:dyDescent="0.25">
      <c r="A205" s="11" t="s">
        <v>1604</v>
      </c>
      <c r="B205" s="2" t="str">
        <f t="shared" si="18"/>
        <v>Harp B</v>
      </c>
      <c r="C205" s="3">
        <v>204</v>
      </c>
      <c r="D205" s="17" t="s">
        <v>203</v>
      </c>
      <c r="E205" s="2" t="str">
        <f t="shared" si="19"/>
        <v>RtryOrg2 C L</v>
      </c>
      <c r="F205" s="12">
        <v>204</v>
      </c>
      <c r="G205" s="17">
        <f t="shared" si="20"/>
        <v>283</v>
      </c>
      <c r="H205" s="2">
        <f t="shared" si="21"/>
        <v>79</v>
      </c>
      <c r="I205" s="3" t="s">
        <v>3714</v>
      </c>
      <c r="J205" s="17">
        <f t="shared" si="22"/>
        <v>108</v>
      </c>
      <c r="K205" s="2">
        <f t="shared" si="23"/>
        <v>-96</v>
      </c>
      <c r="L205" s="12" t="s">
        <v>3714</v>
      </c>
    </row>
    <row r="206" spans="1:12" x14ac:dyDescent="0.25">
      <c r="A206" s="11" t="s">
        <v>1605</v>
      </c>
      <c r="B206" s="2" t="str">
        <f t="shared" si="18"/>
        <v>Harp C</v>
      </c>
      <c r="C206" s="3">
        <v>205</v>
      </c>
      <c r="D206" s="17" t="s">
        <v>204</v>
      </c>
      <c r="E206" s="2" t="str">
        <f t="shared" si="19"/>
        <v>RtryOrg2 C R</v>
      </c>
      <c r="F206" s="12">
        <v>205</v>
      </c>
      <c r="G206" s="17">
        <f t="shared" si="20"/>
        <v>284</v>
      </c>
      <c r="H206" s="2">
        <f t="shared" si="21"/>
        <v>79</v>
      </c>
      <c r="I206" s="3" t="s">
        <v>3714</v>
      </c>
      <c r="J206" s="17">
        <f t="shared" si="22"/>
        <v>109</v>
      </c>
      <c r="K206" s="2">
        <f t="shared" si="23"/>
        <v>-96</v>
      </c>
      <c r="L206" s="12" t="s">
        <v>3714</v>
      </c>
    </row>
    <row r="207" spans="1:12" x14ac:dyDescent="0.25">
      <c r="A207" s="11" t="s">
        <v>1606</v>
      </c>
      <c r="B207" s="2" t="str">
        <f t="shared" si="18"/>
        <v>Banjo A</v>
      </c>
      <c r="C207" s="3">
        <v>206</v>
      </c>
      <c r="D207" s="17" t="s">
        <v>205</v>
      </c>
      <c r="E207" s="2" t="str">
        <f t="shared" si="19"/>
        <v>LoFi RtryOrg</v>
      </c>
      <c r="F207" s="12">
        <v>206</v>
      </c>
      <c r="G207" s="17">
        <f t="shared" si="20"/>
        <v>285</v>
      </c>
      <c r="H207" s="2">
        <f t="shared" si="21"/>
        <v>79</v>
      </c>
      <c r="I207" s="3" t="s">
        <v>3714</v>
      </c>
      <c r="J207" s="17">
        <f t="shared" si="22"/>
        <v>110</v>
      </c>
      <c r="K207" s="2">
        <f t="shared" si="23"/>
        <v>-96</v>
      </c>
      <c r="L207" s="12" t="s">
        <v>3714</v>
      </c>
    </row>
    <row r="208" spans="1:12" x14ac:dyDescent="0.25">
      <c r="A208" s="11" t="s">
        <v>1607</v>
      </c>
      <c r="B208" s="2" t="str">
        <f t="shared" si="18"/>
        <v>Banjo B</v>
      </c>
      <c r="C208" s="3">
        <v>207</v>
      </c>
      <c r="D208" s="17" t="s">
        <v>206</v>
      </c>
      <c r="E208" s="2" t="str">
        <f t="shared" si="19"/>
        <v>Vint.Org 1</v>
      </c>
      <c r="F208" s="12">
        <v>207</v>
      </c>
      <c r="G208" s="17">
        <f t="shared" si="20"/>
        <v>286</v>
      </c>
      <c r="H208" s="2">
        <f t="shared" si="21"/>
        <v>79</v>
      </c>
      <c r="I208" s="3" t="s">
        <v>3714</v>
      </c>
      <c r="J208" s="17">
        <f t="shared" si="22"/>
        <v>111</v>
      </c>
      <c r="K208" s="2">
        <f t="shared" si="23"/>
        <v>-96</v>
      </c>
      <c r="L208" s="12" t="s">
        <v>3714</v>
      </c>
    </row>
    <row r="209" spans="1:12" x14ac:dyDescent="0.25">
      <c r="A209" s="11" t="s">
        <v>1608</v>
      </c>
      <c r="B209" s="2" t="str">
        <f t="shared" si="18"/>
        <v>Banjo C</v>
      </c>
      <c r="C209" s="3">
        <v>208</v>
      </c>
      <c r="D209" s="17" t="s">
        <v>207</v>
      </c>
      <c r="E209" s="2" t="str">
        <f t="shared" si="19"/>
        <v>Vint.Org 2</v>
      </c>
      <c r="F209" s="12">
        <v>208</v>
      </c>
      <c r="G209" s="17">
        <f t="shared" si="20"/>
        <v>287</v>
      </c>
      <c r="H209" s="2">
        <f t="shared" si="21"/>
        <v>79</v>
      </c>
      <c r="I209" s="3" t="s">
        <v>3714</v>
      </c>
      <c r="J209" s="17">
        <f t="shared" si="22"/>
        <v>112</v>
      </c>
      <c r="K209" s="2">
        <f t="shared" si="23"/>
        <v>-96</v>
      </c>
      <c r="L209" s="12" t="s">
        <v>3714</v>
      </c>
    </row>
    <row r="210" spans="1:12" x14ac:dyDescent="0.25">
      <c r="A210" s="11" t="s">
        <v>1609</v>
      </c>
      <c r="B210" s="2" t="str">
        <f t="shared" si="18"/>
        <v>Sitar A</v>
      </c>
      <c r="C210" s="3">
        <v>209</v>
      </c>
      <c r="D210" s="17" t="s">
        <v>208</v>
      </c>
      <c r="E210" s="2" t="str">
        <f t="shared" si="19"/>
        <v>Vint.Org 3</v>
      </c>
      <c r="F210" s="12">
        <v>209</v>
      </c>
      <c r="G210" s="17">
        <f t="shared" si="20"/>
        <v>288</v>
      </c>
      <c r="H210" s="2">
        <f t="shared" si="21"/>
        <v>79</v>
      </c>
      <c r="I210" s="3" t="s">
        <v>3714</v>
      </c>
      <c r="J210" s="17">
        <f t="shared" si="22"/>
        <v>113</v>
      </c>
      <c r="K210" s="2">
        <f t="shared" si="23"/>
        <v>-96</v>
      </c>
      <c r="L210" s="12" t="s">
        <v>3714</v>
      </c>
    </row>
    <row r="211" spans="1:12" x14ac:dyDescent="0.25">
      <c r="A211" s="11" t="s">
        <v>1610</v>
      </c>
      <c r="B211" s="2" t="str">
        <f t="shared" si="18"/>
        <v>Sitar B</v>
      </c>
      <c r="C211" s="3">
        <v>210</v>
      </c>
      <c r="D211" s="17" t="s">
        <v>209</v>
      </c>
      <c r="E211" s="2" t="str">
        <f t="shared" si="19"/>
        <v>Vint.Org 4</v>
      </c>
      <c r="F211" s="12">
        <v>210</v>
      </c>
      <c r="G211" s="17">
        <f t="shared" si="20"/>
        <v>289</v>
      </c>
      <c r="H211" s="2">
        <f t="shared" si="21"/>
        <v>79</v>
      </c>
      <c r="I211" s="3" t="s">
        <v>3714</v>
      </c>
      <c r="J211" s="17">
        <f t="shared" si="22"/>
        <v>114</v>
      </c>
      <c r="K211" s="2">
        <f t="shared" si="23"/>
        <v>-96</v>
      </c>
      <c r="L211" s="12" t="s">
        <v>3714</v>
      </c>
    </row>
    <row r="212" spans="1:12" x14ac:dyDescent="0.25">
      <c r="A212" s="11" t="s">
        <v>1611</v>
      </c>
      <c r="B212" s="2" t="str">
        <f t="shared" si="18"/>
        <v>Sitar C</v>
      </c>
      <c r="C212" s="3">
        <v>211</v>
      </c>
      <c r="D212" s="17" t="s">
        <v>210</v>
      </c>
      <c r="E212" s="2" t="str">
        <f t="shared" si="19"/>
        <v>Positive '8</v>
      </c>
      <c r="F212" s="12">
        <v>211</v>
      </c>
      <c r="G212" s="17">
        <f t="shared" si="20"/>
        <v>290</v>
      </c>
      <c r="H212" s="2">
        <f t="shared" si="21"/>
        <v>79</v>
      </c>
      <c r="I212" s="3" t="s">
        <v>3714</v>
      </c>
      <c r="J212" s="17">
        <f t="shared" si="22"/>
        <v>116</v>
      </c>
      <c r="K212" s="2">
        <f t="shared" si="23"/>
        <v>-95</v>
      </c>
      <c r="L212" s="12" t="s">
        <v>3714</v>
      </c>
    </row>
    <row r="213" spans="1:12" x14ac:dyDescent="0.25">
      <c r="A213" s="11" t="s">
        <v>1612</v>
      </c>
      <c r="B213" s="2" t="str">
        <f t="shared" si="18"/>
        <v>Sitar Drn A</v>
      </c>
      <c r="C213" s="3">
        <v>212</v>
      </c>
      <c r="D213" s="17" t="s">
        <v>211</v>
      </c>
      <c r="E213" s="2" t="str">
        <f t="shared" si="19"/>
        <v>Pipe Organ</v>
      </c>
      <c r="F213" s="12">
        <v>212</v>
      </c>
      <c r="G213" s="17">
        <f t="shared" si="20"/>
        <v>291</v>
      </c>
      <c r="H213" s="2">
        <f t="shared" si="21"/>
        <v>79</v>
      </c>
      <c r="I213" s="3" t="s">
        <v>3714</v>
      </c>
      <c r="J213" s="17">
        <f t="shared" si="22"/>
        <v>117</v>
      </c>
      <c r="K213" s="2">
        <f t="shared" si="23"/>
        <v>-95</v>
      </c>
      <c r="L213" s="12" t="s">
        <v>3714</v>
      </c>
    </row>
    <row r="214" spans="1:12" x14ac:dyDescent="0.25">
      <c r="A214" s="11" t="s">
        <v>1613</v>
      </c>
      <c r="B214" s="2" t="str">
        <f t="shared" si="18"/>
        <v>Sitar Drn B</v>
      </c>
      <c r="C214" s="3">
        <v>213</v>
      </c>
      <c r="D214" s="17" t="s">
        <v>212</v>
      </c>
      <c r="E214" s="2" t="str">
        <f t="shared" si="19"/>
        <v>Cathedrl Org</v>
      </c>
      <c r="F214" s="12">
        <v>213</v>
      </c>
      <c r="G214" s="17">
        <f t="shared" si="20"/>
        <v>292</v>
      </c>
      <c r="H214" s="2">
        <f t="shared" si="21"/>
        <v>79</v>
      </c>
      <c r="I214" s="3" t="s">
        <v>3714</v>
      </c>
      <c r="J214" s="17">
        <f t="shared" si="22"/>
        <v>118</v>
      </c>
      <c r="K214" s="2">
        <f t="shared" si="23"/>
        <v>-95</v>
      </c>
      <c r="L214" s="12" t="s">
        <v>3714</v>
      </c>
    </row>
    <row r="215" spans="1:12" x14ac:dyDescent="0.25">
      <c r="A215" s="11" t="s">
        <v>1614</v>
      </c>
      <c r="B215" s="2" t="str">
        <f t="shared" si="18"/>
        <v>Sitar Drn C</v>
      </c>
      <c r="C215" s="3">
        <v>214</v>
      </c>
      <c r="D215" s="17" t="s">
        <v>213</v>
      </c>
      <c r="E215" s="2" t="str">
        <f t="shared" si="19"/>
        <v>BrtN.Gtr p A</v>
      </c>
      <c r="F215" s="12">
        <v>214</v>
      </c>
      <c r="G215" s="17">
        <f t="shared" si="20"/>
        <v>293</v>
      </c>
      <c r="H215" s="2">
        <f t="shared" si="21"/>
        <v>79</v>
      </c>
      <c r="I215" s="3" t="s">
        <v>3714</v>
      </c>
      <c r="J215" s="17">
        <f t="shared" si="22"/>
        <v>0</v>
      </c>
      <c r="K215" s="2">
        <f t="shared" si="23"/>
        <v>0</v>
      </c>
      <c r="L215" s="12" t="s">
        <v>3714</v>
      </c>
    </row>
    <row r="216" spans="1:12" x14ac:dyDescent="0.25">
      <c r="A216" s="11" t="s">
        <v>1615</v>
      </c>
      <c r="B216" s="2" t="str">
        <f t="shared" si="18"/>
        <v>E.Sitar A</v>
      </c>
      <c r="C216" s="3">
        <v>215</v>
      </c>
      <c r="D216" s="17" t="s">
        <v>214</v>
      </c>
      <c r="E216" s="2" t="str">
        <f t="shared" si="19"/>
        <v>BrtN.Gtr p B</v>
      </c>
      <c r="F216" s="12">
        <v>215</v>
      </c>
      <c r="G216" s="17">
        <f t="shared" si="20"/>
        <v>294</v>
      </c>
      <c r="H216" s="2">
        <f t="shared" si="21"/>
        <v>79</v>
      </c>
      <c r="I216" s="3" t="s">
        <v>3714</v>
      </c>
      <c r="J216" s="17">
        <f t="shared" si="22"/>
        <v>0</v>
      </c>
      <c r="K216" s="2">
        <f t="shared" si="23"/>
        <v>0</v>
      </c>
      <c r="L216" s="12" t="s">
        <v>3714</v>
      </c>
    </row>
    <row r="217" spans="1:12" x14ac:dyDescent="0.25">
      <c r="A217" s="11" t="s">
        <v>1616</v>
      </c>
      <c r="B217" s="2" t="str">
        <f t="shared" si="18"/>
        <v>E.Sitar B</v>
      </c>
      <c r="C217" s="3">
        <v>216</v>
      </c>
      <c r="D217" s="17" t="s">
        <v>215</v>
      </c>
      <c r="E217" s="2" t="str">
        <f t="shared" si="19"/>
        <v>BrtN.Gtr p C</v>
      </c>
      <c r="F217" s="12">
        <v>216</v>
      </c>
      <c r="G217" s="17">
        <f t="shared" si="20"/>
        <v>295</v>
      </c>
      <c r="H217" s="2">
        <f t="shared" si="21"/>
        <v>79</v>
      </c>
      <c r="I217" s="3" t="s">
        <v>3714</v>
      </c>
      <c r="J217" s="17">
        <f t="shared" si="22"/>
        <v>0</v>
      </c>
      <c r="K217" s="2">
        <f t="shared" si="23"/>
        <v>0</v>
      </c>
      <c r="L217" s="12" t="s">
        <v>3714</v>
      </c>
    </row>
    <row r="218" spans="1:12" x14ac:dyDescent="0.25">
      <c r="A218" s="11" t="s">
        <v>1617</v>
      </c>
      <c r="B218" s="2" t="str">
        <f t="shared" si="18"/>
        <v>E.Sitar C</v>
      </c>
      <c r="C218" s="3">
        <v>217</v>
      </c>
      <c r="D218" s="17" t="s">
        <v>216</v>
      </c>
      <c r="E218" s="2" t="str">
        <f t="shared" si="19"/>
        <v>BrtN.Gtr mfA</v>
      </c>
      <c r="F218" s="12">
        <v>217</v>
      </c>
      <c r="G218" s="17">
        <f t="shared" si="20"/>
        <v>296</v>
      </c>
      <c r="H218" s="2">
        <f t="shared" si="21"/>
        <v>79</v>
      </c>
      <c r="I218" s="3" t="s">
        <v>3714</v>
      </c>
      <c r="J218" s="17">
        <f t="shared" si="22"/>
        <v>0</v>
      </c>
      <c r="K218" s="2">
        <f t="shared" si="23"/>
        <v>0</v>
      </c>
      <c r="L218" s="12" t="s">
        <v>3714</v>
      </c>
    </row>
    <row r="219" spans="1:12" x14ac:dyDescent="0.25">
      <c r="A219" s="11" t="s">
        <v>1618</v>
      </c>
      <c r="B219" s="2" t="str">
        <f t="shared" si="18"/>
        <v>Santur A</v>
      </c>
      <c r="C219" s="3">
        <v>218</v>
      </c>
      <c r="D219" s="17" t="s">
        <v>217</v>
      </c>
      <c r="E219" s="2" t="str">
        <f t="shared" si="19"/>
        <v>BrtN.Gtr mfB</v>
      </c>
      <c r="F219" s="12">
        <v>218</v>
      </c>
      <c r="G219" s="17">
        <f t="shared" si="20"/>
        <v>297</v>
      </c>
      <c r="H219" s="2">
        <f t="shared" si="21"/>
        <v>79</v>
      </c>
      <c r="I219" s="3" t="s">
        <v>3714</v>
      </c>
      <c r="J219" s="17">
        <f t="shared" si="22"/>
        <v>0</v>
      </c>
      <c r="K219" s="2">
        <f t="shared" si="23"/>
        <v>0</v>
      </c>
      <c r="L219" s="12" t="s">
        <v>3714</v>
      </c>
    </row>
    <row r="220" spans="1:12" x14ac:dyDescent="0.25">
      <c r="A220" s="11" t="s">
        <v>1619</v>
      </c>
      <c r="B220" s="2" t="str">
        <f t="shared" si="18"/>
        <v>Santur B</v>
      </c>
      <c r="C220" s="3">
        <v>219</v>
      </c>
      <c r="D220" s="17" t="s">
        <v>218</v>
      </c>
      <c r="E220" s="2" t="str">
        <f t="shared" si="19"/>
        <v>BrtN.Gtr mfC</v>
      </c>
      <c r="F220" s="12">
        <v>219</v>
      </c>
      <c r="G220" s="17">
        <f t="shared" si="20"/>
        <v>298</v>
      </c>
      <c r="H220" s="2">
        <f t="shared" si="21"/>
        <v>79</v>
      </c>
      <c r="I220" s="3" t="s">
        <v>3714</v>
      </c>
      <c r="J220" s="17">
        <f t="shared" si="22"/>
        <v>0</v>
      </c>
      <c r="K220" s="2">
        <f t="shared" si="23"/>
        <v>0</v>
      </c>
      <c r="L220" s="12" t="s">
        <v>3714</v>
      </c>
    </row>
    <row r="221" spans="1:12" x14ac:dyDescent="0.25">
      <c r="A221" s="11" t="s">
        <v>1620</v>
      </c>
      <c r="B221" s="2" t="str">
        <f t="shared" si="18"/>
        <v>Santur C</v>
      </c>
      <c r="C221" s="3">
        <v>220</v>
      </c>
      <c r="D221" s="17" t="s">
        <v>219</v>
      </c>
      <c r="E221" s="2" t="str">
        <f t="shared" si="19"/>
        <v>BrtN.Gtr ffA</v>
      </c>
      <c r="F221" s="12">
        <v>220</v>
      </c>
      <c r="G221" s="17">
        <f t="shared" si="20"/>
        <v>299</v>
      </c>
      <c r="H221" s="2">
        <f t="shared" si="21"/>
        <v>79</v>
      </c>
      <c r="I221" s="3" t="s">
        <v>3714</v>
      </c>
      <c r="J221" s="17">
        <f t="shared" si="22"/>
        <v>0</v>
      </c>
      <c r="K221" s="2">
        <f t="shared" si="23"/>
        <v>0</v>
      </c>
      <c r="L221" s="12" t="s">
        <v>3714</v>
      </c>
    </row>
    <row r="222" spans="1:12" x14ac:dyDescent="0.25">
      <c r="A222" s="11" t="s">
        <v>1621</v>
      </c>
      <c r="B222" s="2" t="str">
        <f t="shared" si="18"/>
        <v>Dulcimer A</v>
      </c>
      <c r="C222" s="3">
        <v>221</v>
      </c>
      <c r="D222" s="17" t="s">
        <v>220</v>
      </c>
      <c r="E222" s="2" t="str">
        <f t="shared" si="19"/>
        <v>BrtN.Gtr ffB</v>
      </c>
      <c r="F222" s="12">
        <v>221</v>
      </c>
      <c r="G222" s="17">
        <f t="shared" si="20"/>
        <v>300</v>
      </c>
      <c r="H222" s="2">
        <f t="shared" si="21"/>
        <v>79</v>
      </c>
      <c r="I222" s="3" t="s">
        <v>3714</v>
      </c>
      <c r="J222" s="17">
        <f t="shared" si="22"/>
        <v>0</v>
      </c>
      <c r="K222" s="2">
        <f t="shared" si="23"/>
        <v>0</v>
      </c>
      <c r="L222" s="12" t="s">
        <v>3714</v>
      </c>
    </row>
    <row r="223" spans="1:12" x14ac:dyDescent="0.25">
      <c r="A223" s="11" t="s">
        <v>1622</v>
      </c>
      <c r="B223" s="2" t="str">
        <f t="shared" si="18"/>
        <v>Dulcimer B</v>
      </c>
      <c r="C223" s="3">
        <v>222</v>
      </c>
      <c r="D223" s="17" t="s">
        <v>221</v>
      </c>
      <c r="E223" s="2" t="str">
        <f t="shared" si="19"/>
        <v>BrtN.Gtr ffC</v>
      </c>
      <c r="F223" s="12">
        <v>222</v>
      </c>
      <c r="G223" s="17">
        <f t="shared" si="20"/>
        <v>301</v>
      </c>
      <c r="H223" s="2">
        <f t="shared" si="21"/>
        <v>79</v>
      </c>
      <c r="I223" s="3" t="s">
        <v>3714</v>
      </c>
      <c r="J223" s="17">
        <f t="shared" si="22"/>
        <v>0</v>
      </c>
      <c r="K223" s="2">
        <f t="shared" si="23"/>
        <v>0</v>
      </c>
      <c r="L223" s="12" t="s">
        <v>3714</v>
      </c>
    </row>
    <row r="224" spans="1:12" x14ac:dyDescent="0.25">
      <c r="A224" s="11" t="s">
        <v>1623</v>
      </c>
      <c r="B224" s="2" t="str">
        <f t="shared" si="18"/>
        <v>Dulcimer C</v>
      </c>
      <c r="C224" s="3">
        <v>223</v>
      </c>
      <c r="D224" s="17" t="s">
        <v>222</v>
      </c>
      <c r="E224" s="2" t="str">
        <f t="shared" si="19"/>
        <v>BrtN.GtrSldA</v>
      </c>
      <c r="F224" s="12">
        <v>223</v>
      </c>
      <c r="G224" s="17">
        <f t="shared" si="20"/>
        <v>302</v>
      </c>
      <c r="H224" s="2">
        <f t="shared" si="21"/>
        <v>79</v>
      </c>
      <c r="I224" s="3" t="s">
        <v>3714</v>
      </c>
      <c r="J224" s="17">
        <f t="shared" si="22"/>
        <v>0</v>
      </c>
      <c r="K224" s="2">
        <f t="shared" si="23"/>
        <v>0</v>
      </c>
      <c r="L224" s="12" t="s">
        <v>3714</v>
      </c>
    </row>
    <row r="225" spans="1:12" x14ac:dyDescent="0.25">
      <c r="A225" s="11" t="s">
        <v>1624</v>
      </c>
      <c r="B225" s="2" t="str">
        <f t="shared" si="18"/>
        <v>Shamisen A</v>
      </c>
      <c r="C225" s="3">
        <v>224</v>
      </c>
      <c r="D225" s="17" t="s">
        <v>223</v>
      </c>
      <c r="E225" s="2" t="str">
        <f t="shared" si="19"/>
        <v>BrtN.GtrSldB</v>
      </c>
      <c r="F225" s="12">
        <v>224</v>
      </c>
      <c r="G225" s="17">
        <f t="shared" si="20"/>
        <v>303</v>
      </c>
      <c r="H225" s="2">
        <f t="shared" si="21"/>
        <v>79</v>
      </c>
      <c r="I225" s="3" t="s">
        <v>3714</v>
      </c>
      <c r="J225" s="17">
        <f t="shared" si="22"/>
        <v>0</v>
      </c>
      <c r="K225" s="2">
        <f t="shared" si="23"/>
        <v>0</v>
      </c>
      <c r="L225" s="12" t="s">
        <v>3714</v>
      </c>
    </row>
    <row r="226" spans="1:12" x14ac:dyDescent="0.25">
      <c r="A226" s="11" t="s">
        <v>1625</v>
      </c>
      <c r="B226" s="2" t="str">
        <f t="shared" si="18"/>
        <v>Shamisen B</v>
      </c>
      <c r="C226" s="3">
        <v>225</v>
      </c>
      <c r="D226" s="17" t="s">
        <v>224</v>
      </c>
      <c r="E226" s="2" t="str">
        <f t="shared" si="19"/>
        <v>BrtN.GtrSldC</v>
      </c>
      <c r="F226" s="12">
        <v>225</v>
      </c>
      <c r="G226" s="17">
        <f t="shared" si="20"/>
        <v>304</v>
      </c>
      <c r="H226" s="2">
        <f t="shared" si="21"/>
        <v>79</v>
      </c>
      <c r="I226" s="3" t="s">
        <v>3714</v>
      </c>
      <c r="J226" s="17">
        <f t="shared" si="22"/>
        <v>0</v>
      </c>
      <c r="K226" s="2">
        <f t="shared" si="23"/>
        <v>0</v>
      </c>
      <c r="L226" s="12" t="s">
        <v>3714</v>
      </c>
    </row>
    <row r="227" spans="1:12" x14ac:dyDescent="0.25">
      <c r="A227" s="11" t="s">
        <v>1626</v>
      </c>
      <c r="B227" s="2" t="str">
        <f t="shared" si="18"/>
        <v>Shamisen C</v>
      </c>
      <c r="C227" s="3">
        <v>226</v>
      </c>
      <c r="D227" s="17" t="s">
        <v>225</v>
      </c>
      <c r="E227" s="2" t="str">
        <f t="shared" si="19"/>
        <v>Nylon Gtr1 A</v>
      </c>
      <c r="F227" s="12">
        <v>226</v>
      </c>
      <c r="G227" s="17">
        <f t="shared" si="20"/>
        <v>305</v>
      </c>
      <c r="H227" s="2">
        <f t="shared" si="21"/>
        <v>79</v>
      </c>
      <c r="I227" s="3" t="s">
        <v>3714</v>
      </c>
      <c r="J227" s="17">
        <f t="shared" si="22"/>
        <v>119</v>
      </c>
      <c r="K227" s="2">
        <f t="shared" si="23"/>
        <v>-107</v>
      </c>
      <c r="L227" s="12" t="s">
        <v>3714</v>
      </c>
    </row>
    <row r="228" spans="1:12" x14ac:dyDescent="0.25">
      <c r="A228" s="11" t="s">
        <v>1627</v>
      </c>
      <c r="B228" s="2" t="str">
        <f t="shared" si="18"/>
        <v>Koto A</v>
      </c>
      <c r="C228" s="3">
        <v>227</v>
      </c>
      <c r="D228" s="17" t="s">
        <v>226</v>
      </c>
      <c r="E228" s="2" t="str">
        <f t="shared" si="19"/>
        <v>Nylon Gtr1 B</v>
      </c>
      <c r="F228" s="12">
        <v>227</v>
      </c>
      <c r="G228" s="17">
        <f t="shared" si="20"/>
        <v>306</v>
      </c>
      <c r="H228" s="2">
        <f t="shared" si="21"/>
        <v>79</v>
      </c>
      <c r="I228" s="3" t="s">
        <v>3714</v>
      </c>
      <c r="J228" s="17">
        <f t="shared" si="22"/>
        <v>120</v>
      </c>
      <c r="K228" s="2">
        <f t="shared" si="23"/>
        <v>-107</v>
      </c>
      <c r="L228" s="12" t="s">
        <v>3714</v>
      </c>
    </row>
    <row r="229" spans="1:12" x14ac:dyDescent="0.25">
      <c r="A229" s="11" t="s">
        <v>1628</v>
      </c>
      <c r="B229" s="2" t="str">
        <f t="shared" si="18"/>
        <v>Koto B</v>
      </c>
      <c r="C229" s="3">
        <v>228</v>
      </c>
      <c r="D229" s="17" t="s">
        <v>227</v>
      </c>
      <c r="E229" s="2" t="str">
        <f t="shared" si="19"/>
        <v>Nylon Gtr1 C</v>
      </c>
      <c r="F229" s="12">
        <v>228</v>
      </c>
      <c r="G229" s="17">
        <f t="shared" si="20"/>
        <v>307</v>
      </c>
      <c r="H229" s="2">
        <f t="shared" si="21"/>
        <v>79</v>
      </c>
      <c r="I229" s="3" t="s">
        <v>3714</v>
      </c>
      <c r="J229" s="17">
        <f t="shared" si="22"/>
        <v>121</v>
      </c>
      <c r="K229" s="2">
        <f t="shared" si="23"/>
        <v>-107</v>
      </c>
      <c r="L229" s="12" t="s">
        <v>3714</v>
      </c>
    </row>
    <row r="230" spans="1:12" x14ac:dyDescent="0.25">
      <c r="A230" s="11" t="s">
        <v>1629</v>
      </c>
      <c r="B230" s="2" t="str">
        <f t="shared" si="18"/>
        <v>Koto C</v>
      </c>
      <c r="C230" s="3">
        <v>229</v>
      </c>
      <c r="D230" s="17" t="s">
        <v>228</v>
      </c>
      <c r="E230" s="2" t="str">
        <f t="shared" si="19"/>
        <v>Nylon Gtr2 A</v>
      </c>
      <c r="F230" s="12">
        <v>229</v>
      </c>
      <c r="G230" s="17">
        <f t="shared" si="20"/>
        <v>308</v>
      </c>
      <c r="H230" s="2">
        <f t="shared" si="21"/>
        <v>79</v>
      </c>
      <c r="I230" s="3" t="s">
        <v>3714</v>
      </c>
      <c r="J230" s="17">
        <f t="shared" si="22"/>
        <v>122</v>
      </c>
      <c r="K230" s="2">
        <f t="shared" si="23"/>
        <v>-107</v>
      </c>
      <c r="L230" s="12" t="s">
        <v>3714</v>
      </c>
    </row>
    <row r="231" spans="1:12" x14ac:dyDescent="0.25">
      <c r="A231" s="11" t="s">
        <v>1630</v>
      </c>
      <c r="B231" s="2" t="str">
        <f t="shared" si="18"/>
        <v>Ac.Bass A</v>
      </c>
      <c r="C231" s="3">
        <v>230</v>
      </c>
      <c r="D231" s="17" t="s">
        <v>229</v>
      </c>
      <c r="E231" s="2" t="str">
        <f t="shared" si="19"/>
        <v>Nylon Gtr2 B</v>
      </c>
      <c r="F231" s="12">
        <v>230</v>
      </c>
      <c r="G231" s="17">
        <f t="shared" si="20"/>
        <v>315</v>
      </c>
      <c r="H231" s="2">
        <f t="shared" si="21"/>
        <v>85</v>
      </c>
      <c r="I231" s="3" t="s">
        <v>3714</v>
      </c>
      <c r="J231" s="17">
        <f t="shared" si="22"/>
        <v>123</v>
      </c>
      <c r="K231" s="2">
        <f t="shared" si="23"/>
        <v>-107</v>
      </c>
      <c r="L231" s="12" t="s">
        <v>3714</v>
      </c>
    </row>
    <row r="232" spans="1:12" x14ac:dyDescent="0.25">
      <c r="A232" s="11" t="s">
        <v>1631</v>
      </c>
      <c r="B232" s="2" t="str">
        <f t="shared" si="18"/>
        <v>Ac.Bass B</v>
      </c>
      <c r="C232" s="3">
        <v>231</v>
      </c>
      <c r="D232" s="17" t="s">
        <v>230</v>
      </c>
      <c r="E232" s="2" t="str">
        <f t="shared" si="19"/>
        <v>Nylon Gtr2 C</v>
      </c>
      <c r="F232" s="12">
        <v>231</v>
      </c>
      <c r="G232" s="17">
        <f t="shared" si="20"/>
        <v>316</v>
      </c>
      <c r="H232" s="2">
        <f t="shared" si="21"/>
        <v>85</v>
      </c>
      <c r="I232" s="3" t="s">
        <v>3714</v>
      </c>
      <c r="J232" s="17">
        <f t="shared" si="22"/>
        <v>124</v>
      </c>
      <c r="K232" s="2">
        <f t="shared" si="23"/>
        <v>-107</v>
      </c>
      <c r="L232" s="12" t="s">
        <v>3714</v>
      </c>
    </row>
    <row r="233" spans="1:12" x14ac:dyDescent="0.25">
      <c r="A233" s="11" t="s">
        <v>1632</v>
      </c>
      <c r="B233" s="2" t="str">
        <f t="shared" si="18"/>
        <v>Ac.Bass C</v>
      </c>
      <c r="C233" s="3">
        <v>232</v>
      </c>
      <c r="D233" s="17" t="s">
        <v>231</v>
      </c>
      <c r="E233" s="2" t="str">
        <f t="shared" si="19"/>
        <v>Bright Gtr A</v>
      </c>
      <c r="F233" s="12">
        <v>232</v>
      </c>
      <c r="G233" s="17">
        <f t="shared" si="20"/>
        <v>317</v>
      </c>
      <c r="H233" s="2">
        <f t="shared" si="21"/>
        <v>85</v>
      </c>
      <c r="I233" s="3" t="s">
        <v>3714</v>
      </c>
      <c r="J233" s="17">
        <f t="shared" si="22"/>
        <v>125</v>
      </c>
      <c r="K233" s="2">
        <f t="shared" si="23"/>
        <v>-107</v>
      </c>
      <c r="L233" s="12" t="s">
        <v>3714</v>
      </c>
    </row>
    <row r="234" spans="1:12" x14ac:dyDescent="0.25">
      <c r="A234" s="11" t="s">
        <v>1633</v>
      </c>
      <c r="B234" s="2" t="str">
        <f t="shared" si="18"/>
        <v>FngrCmp Bs A</v>
      </c>
      <c r="C234" s="3">
        <v>233</v>
      </c>
      <c r="D234" s="17" t="s">
        <v>232</v>
      </c>
      <c r="E234" s="2" t="str">
        <f t="shared" si="19"/>
        <v>Bright Gtr B</v>
      </c>
      <c r="F234" s="12">
        <v>233</v>
      </c>
      <c r="G234" s="17">
        <f t="shared" si="20"/>
        <v>330</v>
      </c>
      <c r="H234" s="2">
        <f t="shared" si="21"/>
        <v>97</v>
      </c>
      <c r="I234" s="3" t="s">
        <v>3714</v>
      </c>
      <c r="J234" s="17">
        <f t="shared" si="22"/>
        <v>126</v>
      </c>
      <c r="K234" s="2">
        <f t="shared" si="23"/>
        <v>-107</v>
      </c>
      <c r="L234" s="12" t="s">
        <v>3714</v>
      </c>
    </row>
    <row r="235" spans="1:12" x14ac:dyDescent="0.25">
      <c r="A235" s="11" t="s">
        <v>1634</v>
      </c>
      <c r="B235" s="2" t="str">
        <f t="shared" si="18"/>
        <v>FngrCmp Bs B</v>
      </c>
      <c r="C235" s="3">
        <v>234</v>
      </c>
      <c r="D235" s="17" t="s">
        <v>233</v>
      </c>
      <c r="E235" s="2" t="str">
        <f t="shared" si="19"/>
        <v>Bright Gtr C</v>
      </c>
      <c r="F235" s="12">
        <v>234</v>
      </c>
      <c r="G235" s="17">
        <f t="shared" si="20"/>
        <v>331</v>
      </c>
      <c r="H235" s="2">
        <f t="shared" si="21"/>
        <v>97</v>
      </c>
      <c r="I235" s="3" t="s">
        <v>3714</v>
      </c>
      <c r="J235" s="17">
        <f t="shared" si="22"/>
        <v>127</v>
      </c>
      <c r="K235" s="2">
        <f t="shared" si="23"/>
        <v>-107</v>
      </c>
      <c r="L235" s="12" t="s">
        <v>3714</v>
      </c>
    </row>
    <row r="236" spans="1:12" x14ac:dyDescent="0.25">
      <c r="A236" s="11" t="s">
        <v>1635</v>
      </c>
      <c r="B236" s="2" t="str">
        <f t="shared" si="18"/>
        <v>FngrCmp Bs C</v>
      </c>
      <c r="C236" s="3">
        <v>235</v>
      </c>
      <c r="D236" s="17" t="s">
        <v>234</v>
      </c>
      <c r="E236" s="2" t="str">
        <f t="shared" si="19"/>
        <v>Ac.Gtr mp A</v>
      </c>
      <c r="F236" s="12">
        <v>235</v>
      </c>
      <c r="G236" s="17">
        <f t="shared" si="20"/>
        <v>332</v>
      </c>
      <c r="H236" s="2">
        <f t="shared" si="21"/>
        <v>97</v>
      </c>
      <c r="I236" s="3" t="s">
        <v>3714</v>
      </c>
      <c r="J236" s="17">
        <f t="shared" si="22"/>
        <v>128</v>
      </c>
      <c r="K236" s="2">
        <f t="shared" si="23"/>
        <v>-107</v>
      </c>
      <c r="L236" s="12" t="s">
        <v>3714</v>
      </c>
    </row>
    <row r="237" spans="1:12" x14ac:dyDescent="0.25">
      <c r="A237" s="11" t="s">
        <v>1636</v>
      </c>
      <c r="B237" s="2" t="str">
        <f t="shared" si="18"/>
        <v>Finger Bs A</v>
      </c>
      <c r="C237" s="3">
        <v>236</v>
      </c>
      <c r="D237" s="17" t="s">
        <v>235</v>
      </c>
      <c r="E237" s="2" t="str">
        <f t="shared" si="19"/>
        <v>Ac.Gtr mp B</v>
      </c>
      <c r="F237" s="12">
        <v>236</v>
      </c>
      <c r="G237" s="17">
        <f t="shared" si="20"/>
        <v>333</v>
      </c>
      <c r="H237" s="2">
        <f t="shared" si="21"/>
        <v>97</v>
      </c>
      <c r="I237" s="3" t="s">
        <v>3714</v>
      </c>
      <c r="J237" s="17">
        <f t="shared" si="22"/>
        <v>129</v>
      </c>
      <c r="K237" s="2">
        <f t="shared" si="23"/>
        <v>-107</v>
      </c>
      <c r="L237" s="12" t="s">
        <v>3714</v>
      </c>
    </row>
    <row r="238" spans="1:12" x14ac:dyDescent="0.25">
      <c r="A238" s="11" t="s">
        <v>1637</v>
      </c>
      <c r="B238" s="2" t="str">
        <f t="shared" si="18"/>
        <v>Finger Bs B</v>
      </c>
      <c r="C238" s="3">
        <v>237</v>
      </c>
      <c r="D238" s="17" t="s">
        <v>236</v>
      </c>
      <c r="E238" s="2" t="str">
        <f t="shared" si="19"/>
        <v>Ac.Gtr mp C</v>
      </c>
      <c r="F238" s="12">
        <v>237</v>
      </c>
      <c r="G238" s="17">
        <f t="shared" si="20"/>
        <v>334</v>
      </c>
      <c r="H238" s="2">
        <f t="shared" si="21"/>
        <v>97</v>
      </c>
      <c r="I238" s="3" t="s">
        <v>3714</v>
      </c>
      <c r="J238" s="17">
        <f t="shared" si="22"/>
        <v>130</v>
      </c>
      <c r="K238" s="2">
        <f t="shared" si="23"/>
        <v>-107</v>
      </c>
      <c r="L238" s="12" t="s">
        <v>3714</v>
      </c>
    </row>
    <row r="239" spans="1:12" x14ac:dyDescent="0.25">
      <c r="A239" s="11" t="s">
        <v>1638</v>
      </c>
      <c r="B239" s="2" t="str">
        <f t="shared" si="18"/>
        <v>Finger Bs C</v>
      </c>
      <c r="C239" s="3">
        <v>238</v>
      </c>
      <c r="D239" s="17" t="s">
        <v>237</v>
      </c>
      <c r="E239" s="2" t="str">
        <f t="shared" si="19"/>
        <v>Ac.Gtr mf A</v>
      </c>
      <c r="F239" s="12">
        <v>238</v>
      </c>
      <c r="G239" s="17">
        <f t="shared" si="20"/>
        <v>335</v>
      </c>
      <c r="H239" s="2">
        <f t="shared" si="21"/>
        <v>97</v>
      </c>
      <c r="I239" s="3" t="s">
        <v>3714</v>
      </c>
      <c r="J239" s="17">
        <f t="shared" si="22"/>
        <v>131</v>
      </c>
      <c r="K239" s="2">
        <f t="shared" si="23"/>
        <v>-107</v>
      </c>
      <c r="L239" s="12" t="s">
        <v>3714</v>
      </c>
    </row>
    <row r="240" spans="1:12" x14ac:dyDescent="0.25">
      <c r="A240" s="11" t="s">
        <v>1639</v>
      </c>
      <c r="B240" s="2" t="str">
        <f t="shared" si="18"/>
        <v>Precision Bs</v>
      </c>
      <c r="C240" s="3">
        <v>239</v>
      </c>
      <c r="D240" s="17" t="s">
        <v>238</v>
      </c>
      <c r="E240" s="2" t="str">
        <f t="shared" si="19"/>
        <v>Ac.Gtr mf B</v>
      </c>
      <c r="F240" s="12">
        <v>239</v>
      </c>
      <c r="G240" s="17">
        <f t="shared" si="20"/>
        <v>336</v>
      </c>
      <c r="H240" s="2">
        <f t="shared" si="21"/>
        <v>97</v>
      </c>
      <c r="I240" s="3" t="s">
        <v>3714</v>
      </c>
      <c r="J240" s="17">
        <f t="shared" si="22"/>
        <v>132</v>
      </c>
      <c r="K240" s="2">
        <f t="shared" si="23"/>
        <v>-107</v>
      </c>
      <c r="L240" s="12" t="s">
        <v>3714</v>
      </c>
    </row>
    <row r="241" spans="1:12" x14ac:dyDescent="0.25">
      <c r="A241" s="11" t="s">
        <v>1640</v>
      </c>
      <c r="B241" s="2" t="str">
        <f t="shared" si="18"/>
        <v>Jz Bs Soft A</v>
      </c>
      <c r="C241" s="3">
        <v>240</v>
      </c>
      <c r="D241" s="17" t="s">
        <v>239</v>
      </c>
      <c r="E241" s="2" t="str">
        <f t="shared" si="19"/>
        <v>Ac.Gtr mf C</v>
      </c>
      <c r="F241" s="12">
        <v>240</v>
      </c>
      <c r="G241" s="17">
        <f t="shared" si="20"/>
        <v>0</v>
      </c>
      <c r="H241" s="2">
        <f t="shared" si="21"/>
        <v>0</v>
      </c>
      <c r="I241" s="3" t="s">
        <v>3714</v>
      </c>
      <c r="J241" s="17">
        <f t="shared" si="22"/>
        <v>133</v>
      </c>
      <c r="K241" s="2">
        <f t="shared" si="23"/>
        <v>-107</v>
      </c>
      <c r="L241" s="12" t="s">
        <v>3714</v>
      </c>
    </row>
    <row r="242" spans="1:12" x14ac:dyDescent="0.25">
      <c r="A242" s="11" t="s">
        <v>1641</v>
      </c>
      <c r="B242" s="2" t="str">
        <f t="shared" si="18"/>
        <v>Jz Bs Soft B</v>
      </c>
      <c r="C242" s="3">
        <v>241</v>
      </c>
      <c r="D242" s="17" t="s">
        <v>240</v>
      </c>
      <c r="E242" s="2" t="str">
        <f t="shared" si="19"/>
        <v>Ac.Gtr ff A</v>
      </c>
      <c r="F242" s="12">
        <v>241</v>
      </c>
      <c r="G242" s="17">
        <f t="shared" si="20"/>
        <v>0</v>
      </c>
      <c r="H242" s="2">
        <f t="shared" si="21"/>
        <v>0</v>
      </c>
      <c r="I242" s="3" t="s">
        <v>3714</v>
      </c>
      <c r="J242" s="17">
        <f t="shared" si="22"/>
        <v>134</v>
      </c>
      <c r="K242" s="2">
        <f t="shared" si="23"/>
        <v>-107</v>
      </c>
      <c r="L242" s="12" t="s">
        <v>3714</v>
      </c>
    </row>
    <row r="243" spans="1:12" x14ac:dyDescent="0.25">
      <c r="A243" s="11" t="s">
        <v>1642</v>
      </c>
      <c r="B243" s="2" t="str">
        <f t="shared" si="18"/>
        <v>Jz Bs Soft C</v>
      </c>
      <c r="C243" s="3">
        <v>242</v>
      </c>
      <c r="D243" s="17" t="s">
        <v>241</v>
      </c>
      <c r="E243" s="2" t="str">
        <f t="shared" si="19"/>
        <v>Ac.Gtr ff B</v>
      </c>
      <c r="F243" s="12">
        <v>242</v>
      </c>
      <c r="G243" s="17">
        <f t="shared" si="20"/>
        <v>0</v>
      </c>
      <c r="H243" s="2">
        <f t="shared" si="21"/>
        <v>0</v>
      </c>
      <c r="I243" s="3" t="s">
        <v>3714</v>
      </c>
      <c r="J243" s="17">
        <f t="shared" si="22"/>
        <v>135</v>
      </c>
      <c r="K243" s="2">
        <f t="shared" si="23"/>
        <v>-107</v>
      </c>
      <c r="L243" s="12" t="s">
        <v>3714</v>
      </c>
    </row>
    <row r="244" spans="1:12" x14ac:dyDescent="0.25">
      <c r="A244" s="11" t="s">
        <v>1643</v>
      </c>
      <c r="B244" s="2" t="str">
        <f t="shared" si="18"/>
        <v>6-FngBsSft A</v>
      </c>
      <c r="C244" s="3">
        <v>243</v>
      </c>
      <c r="D244" s="17" t="s">
        <v>242</v>
      </c>
      <c r="E244" s="2" t="str">
        <f t="shared" si="19"/>
        <v>Ac.Gtr ff C</v>
      </c>
      <c r="F244" s="12">
        <v>243</v>
      </c>
      <c r="G244" s="17">
        <f t="shared" si="20"/>
        <v>0</v>
      </c>
      <c r="H244" s="2">
        <f t="shared" si="21"/>
        <v>0</v>
      </c>
      <c r="I244" s="3" t="s">
        <v>3714</v>
      </c>
      <c r="J244" s="17">
        <f t="shared" si="22"/>
        <v>136</v>
      </c>
      <c r="K244" s="2">
        <f t="shared" si="23"/>
        <v>-107</v>
      </c>
      <c r="L244" s="12" t="s">
        <v>3714</v>
      </c>
    </row>
    <row r="245" spans="1:12" x14ac:dyDescent="0.25">
      <c r="A245" s="11" t="s">
        <v>1644</v>
      </c>
      <c r="B245" s="2" t="str">
        <f t="shared" si="18"/>
        <v>6-FngBsSft B</v>
      </c>
      <c r="C245" s="3">
        <v>244</v>
      </c>
      <c r="D245" s="17" t="s">
        <v>243</v>
      </c>
      <c r="E245" s="2" t="str">
        <f t="shared" si="19"/>
        <v>Ac.Gtr Sld A</v>
      </c>
      <c r="F245" s="12">
        <v>244</v>
      </c>
      <c r="G245" s="17">
        <f t="shared" si="20"/>
        <v>0</v>
      </c>
      <c r="H245" s="2">
        <f t="shared" si="21"/>
        <v>0</v>
      </c>
      <c r="I245" s="3" t="s">
        <v>3714</v>
      </c>
      <c r="J245" s="17">
        <f t="shared" si="22"/>
        <v>137</v>
      </c>
      <c r="K245" s="2">
        <f t="shared" si="23"/>
        <v>-107</v>
      </c>
      <c r="L245" s="12" t="s">
        <v>3714</v>
      </c>
    </row>
    <row r="246" spans="1:12" x14ac:dyDescent="0.25">
      <c r="A246" s="11" t="s">
        <v>1645</v>
      </c>
      <c r="B246" s="2" t="str">
        <f t="shared" si="18"/>
        <v>6-FngBsSft C</v>
      </c>
      <c r="C246" s="3">
        <v>245</v>
      </c>
      <c r="D246" s="17" t="s">
        <v>244</v>
      </c>
      <c r="E246" s="2" t="str">
        <f t="shared" si="19"/>
        <v>Ac.Gtr Sld B</v>
      </c>
      <c r="F246" s="12">
        <v>245</v>
      </c>
      <c r="G246" s="17">
        <f t="shared" si="20"/>
        <v>0</v>
      </c>
      <c r="H246" s="2">
        <f t="shared" si="21"/>
        <v>0</v>
      </c>
      <c r="I246" s="3" t="s">
        <v>3714</v>
      </c>
      <c r="J246" s="17">
        <f t="shared" si="22"/>
        <v>138</v>
      </c>
      <c r="K246" s="2">
        <f t="shared" si="23"/>
        <v>-107</v>
      </c>
      <c r="L246" s="12" t="s">
        <v>3714</v>
      </c>
    </row>
    <row r="247" spans="1:12" x14ac:dyDescent="0.25">
      <c r="A247" s="11" t="s">
        <v>1646</v>
      </c>
      <c r="B247" s="2" t="str">
        <f t="shared" si="18"/>
        <v>ThumbMtBs pA</v>
      </c>
      <c r="C247" s="3">
        <v>246</v>
      </c>
      <c r="D247" s="17" t="s">
        <v>245</v>
      </c>
      <c r="E247" s="2" t="str">
        <f t="shared" si="19"/>
        <v>Ac.Gtr Sld C</v>
      </c>
      <c r="F247" s="12">
        <v>246</v>
      </c>
      <c r="G247" s="17">
        <f t="shared" si="20"/>
        <v>337</v>
      </c>
      <c r="H247" s="2">
        <f t="shared" si="21"/>
        <v>91</v>
      </c>
      <c r="I247" s="3" t="s">
        <v>3714</v>
      </c>
      <c r="J247" s="17">
        <f t="shared" si="22"/>
        <v>139</v>
      </c>
      <c r="K247" s="2">
        <f t="shared" si="23"/>
        <v>-107</v>
      </c>
      <c r="L247" s="12" t="s">
        <v>3714</v>
      </c>
    </row>
    <row r="248" spans="1:12" x14ac:dyDescent="0.25">
      <c r="A248" s="11" t="s">
        <v>1647</v>
      </c>
      <c r="B248" s="2" t="str">
        <f t="shared" si="18"/>
        <v>ThumbMtBs pB</v>
      </c>
      <c r="C248" s="3">
        <v>247</v>
      </c>
      <c r="D248" s="17" t="s">
        <v>246</v>
      </c>
      <c r="E248" s="2" t="str">
        <f t="shared" si="19"/>
        <v>Ac.Gtr Hrm A</v>
      </c>
      <c r="F248" s="12">
        <v>247</v>
      </c>
      <c r="G248" s="17">
        <f t="shared" si="20"/>
        <v>338</v>
      </c>
      <c r="H248" s="2">
        <f t="shared" si="21"/>
        <v>91</v>
      </c>
      <c r="I248" s="3" t="s">
        <v>3714</v>
      </c>
      <c r="J248" s="17">
        <f t="shared" si="22"/>
        <v>140</v>
      </c>
      <c r="K248" s="2">
        <f t="shared" si="23"/>
        <v>-107</v>
      </c>
      <c r="L248" s="12" t="s">
        <v>3714</v>
      </c>
    </row>
    <row r="249" spans="1:12" x14ac:dyDescent="0.25">
      <c r="A249" s="11" t="s">
        <v>1648</v>
      </c>
      <c r="B249" s="2" t="str">
        <f t="shared" si="18"/>
        <v>ThumbMtBs pC</v>
      </c>
      <c r="C249" s="3">
        <v>248</v>
      </c>
      <c r="D249" s="17" t="s">
        <v>247</v>
      </c>
      <c r="E249" s="2" t="str">
        <f t="shared" si="19"/>
        <v>Ac.Gtr Hrm B</v>
      </c>
      <c r="F249" s="12">
        <v>248</v>
      </c>
      <c r="G249" s="17">
        <f t="shared" si="20"/>
        <v>339</v>
      </c>
      <c r="H249" s="2">
        <f t="shared" si="21"/>
        <v>91</v>
      </c>
      <c r="I249" s="3" t="s">
        <v>3714</v>
      </c>
      <c r="J249" s="17">
        <f t="shared" si="22"/>
        <v>141</v>
      </c>
      <c r="K249" s="2">
        <f t="shared" si="23"/>
        <v>-107</v>
      </c>
      <c r="L249" s="12" t="s">
        <v>3714</v>
      </c>
    </row>
    <row r="250" spans="1:12" x14ac:dyDescent="0.25">
      <c r="A250" s="11" t="s">
        <v>1649</v>
      </c>
      <c r="B250" s="2" t="str">
        <f t="shared" si="18"/>
        <v>ThumbMtBs fA</v>
      </c>
      <c r="C250" s="3">
        <v>249</v>
      </c>
      <c r="D250" s="17" t="s">
        <v>248</v>
      </c>
      <c r="E250" s="2" t="str">
        <f t="shared" si="19"/>
        <v>Ac.Gtr Hrm C</v>
      </c>
      <c r="F250" s="12">
        <v>249</v>
      </c>
      <c r="G250" s="17">
        <f t="shared" si="20"/>
        <v>0</v>
      </c>
      <c r="H250" s="2">
        <f t="shared" si="21"/>
        <v>0</v>
      </c>
      <c r="I250" s="3" t="s">
        <v>3714</v>
      </c>
      <c r="J250" s="17">
        <f t="shared" si="22"/>
        <v>142</v>
      </c>
      <c r="K250" s="2">
        <f t="shared" si="23"/>
        <v>-107</v>
      </c>
      <c r="L250" s="12" t="s">
        <v>3714</v>
      </c>
    </row>
    <row r="251" spans="1:12" x14ac:dyDescent="0.25">
      <c r="A251" s="11" t="s">
        <v>1650</v>
      </c>
      <c r="B251" s="2" t="str">
        <f t="shared" si="18"/>
        <v>ThumbMtBs fB</v>
      </c>
      <c r="C251" s="3">
        <v>250</v>
      </c>
      <c r="D251" s="17" t="s">
        <v>249</v>
      </c>
      <c r="E251" s="2" t="str">
        <f t="shared" si="19"/>
        <v>Jazz Gtr A</v>
      </c>
      <c r="F251" s="12">
        <v>250</v>
      </c>
      <c r="G251" s="17">
        <f t="shared" si="20"/>
        <v>0</v>
      </c>
      <c r="H251" s="2">
        <f t="shared" si="21"/>
        <v>0</v>
      </c>
      <c r="I251" s="3" t="s">
        <v>3714</v>
      </c>
      <c r="J251" s="17">
        <f t="shared" si="22"/>
        <v>143</v>
      </c>
      <c r="K251" s="2">
        <f t="shared" si="23"/>
        <v>-107</v>
      </c>
      <c r="L251" s="12" t="s">
        <v>3714</v>
      </c>
    </row>
    <row r="252" spans="1:12" x14ac:dyDescent="0.25">
      <c r="A252" s="11" t="s">
        <v>1651</v>
      </c>
      <c r="B252" s="2" t="str">
        <f t="shared" si="18"/>
        <v>ThumbMtBs fC</v>
      </c>
      <c r="C252" s="3">
        <v>251</v>
      </c>
      <c r="D252" s="17" t="s">
        <v>250</v>
      </c>
      <c r="E252" s="2" t="str">
        <f t="shared" si="19"/>
        <v>Jazz Gtr B</v>
      </c>
      <c r="F252" s="12">
        <v>251</v>
      </c>
      <c r="G252" s="17">
        <f t="shared" si="20"/>
        <v>0</v>
      </c>
      <c r="H252" s="2">
        <f t="shared" si="21"/>
        <v>0</v>
      </c>
      <c r="I252" s="3" t="s">
        <v>3714</v>
      </c>
      <c r="J252" s="17">
        <f t="shared" si="22"/>
        <v>144</v>
      </c>
      <c r="K252" s="2">
        <f t="shared" si="23"/>
        <v>-107</v>
      </c>
      <c r="L252" s="12" t="s">
        <v>3714</v>
      </c>
    </row>
    <row r="253" spans="1:12" x14ac:dyDescent="0.25">
      <c r="A253" s="11" t="s">
        <v>1652</v>
      </c>
      <c r="B253" s="2" t="str">
        <f t="shared" si="18"/>
        <v>Fretlss Bs A</v>
      </c>
      <c r="C253" s="3">
        <v>252</v>
      </c>
      <c r="D253" s="17" t="s">
        <v>251</v>
      </c>
      <c r="E253" s="2" t="str">
        <f t="shared" si="19"/>
        <v>Jazz Gtr C</v>
      </c>
      <c r="F253" s="12">
        <v>252</v>
      </c>
      <c r="G253" s="17">
        <f t="shared" si="20"/>
        <v>340</v>
      </c>
      <c r="H253" s="2">
        <f t="shared" si="21"/>
        <v>88</v>
      </c>
      <c r="I253" s="3" t="s">
        <v>3714</v>
      </c>
      <c r="J253" s="17">
        <f t="shared" si="22"/>
        <v>145</v>
      </c>
      <c r="K253" s="2">
        <f t="shared" si="23"/>
        <v>-107</v>
      </c>
      <c r="L253" s="12" t="s">
        <v>3714</v>
      </c>
    </row>
    <row r="254" spans="1:12" x14ac:dyDescent="0.25">
      <c r="A254" s="11" t="s">
        <v>1653</v>
      </c>
      <c r="B254" s="2" t="str">
        <f t="shared" si="18"/>
        <v>Fretlss Bs B</v>
      </c>
      <c r="C254" s="3">
        <v>253</v>
      </c>
      <c r="D254" s="17" t="s">
        <v>252</v>
      </c>
      <c r="E254" s="2" t="str">
        <f t="shared" si="19"/>
        <v>Clean Gtr A</v>
      </c>
      <c r="F254" s="12">
        <v>253</v>
      </c>
      <c r="G254" s="17">
        <f t="shared" si="20"/>
        <v>341</v>
      </c>
      <c r="H254" s="2">
        <f t="shared" si="21"/>
        <v>88</v>
      </c>
      <c r="I254" s="3" t="s">
        <v>3714</v>
      </c>
      <c r="J254" s="17">
        <f t="shared" si="22"/>
        <v>146</v>
      </c>
      <c r="K254" s="2">
        <f t="shared" si="23"/>
        <v>-107</v>
      </c>
      <c r="L254" s="12" t="s">
        <v>3714</v>
      </c>
    </row>
    <row r="255" spans="1:12" x14ac:dyDescent="0.25">
      <c r="A255" s="11" t="s">
        <v>1654</v>
      </c>
      <c r="B255" s="2" t="str">
        <f t="shared" si="18"/>
        <v>Fretlss Bs C</v>
      </c>
      <c r="C255" s="3">
        <v>254</v>
      </c>
      <c r="D255" s="17" t="s">
        <v>253</v>
      </c>
      <c r="E255" s="2" t="str">
        <f t="shared" si="19"/>
        <v>Clean Gtr B</v>
      </c>
      <c r="F255" s="12">
        <v>254</v>
      </c>
      <c r="G255" s="17">
        <f t="shared" si="20"/>
        <v>342</v>
      </c>
      <c r="H255" s="2">
        <f t="shared" si="21"/>
        <v>88</v>
      </c>
      <c r="I255" s="3" t="s">
        <v>3714</v>
      </c>
      <c r="J255" s="17">
        <f t="shared" si="22"/>
        <v>147</v>
      </c>
      <c r="K255" s="2">
        <f t="shared" si="23"/>
        <v>-107</v>
      </c>
      <c r="L255" s="12" t="s">
        <v>3714</v>
      </c>
    </row>
    <row r="256" spans="1:12" x14ac:dyDescent="0.25">
      <c r="A256" s="11" t="s">
        <v>1655</v>
      </c>
      <c r="B256" s="2" t="str">
        <f t="shared" si="18"/>
        <v>Fretlss SftA</v>
      </c>
      <c r="C256" s="3">
        <v>255</v>
      </c>
      <c r="D256" s="17" t="s">
        <v>254</v>
      </c>
      <c r="E256" s="2" t="str">
        <f t="shared" si="19"/>
        <v>Clean Gtr C</v>
      </c>
      <c r="F256" s="12">
        <v>255</v>
      </c>
      <c r="G256" s="17">
        <f t="shared" si="20"/>
        <v>343</v>
      </c>
      <c r="H256" s="2">
        <f t="shared" si="21"/>
        <v>88</v>
      </c>
      <c r="I256" s="3" t="s">
        <v>3714</v>
      </c>
      <c r="J256" s="17">
        <f t="shared" si="22"/>
        <v>148</v>
      </c>
      <c r="K256" s="2">
        <f t="shared" si="23"/>
        <v>-107</v>
      </c>
      <c r="L256" s="12" t="s">
        <v>3714</v>
      </c>
    </row>
    <row r="257" spans="1:12" x14ac:dyDescent="0.25">
      <c r="A257" s="11" t="s">
        <v>1656</v>
      </c>
      <c r="B257" s="2" t="str">
        <f t="shared" si="18"/>
        <v>Fretlss SftB</v>
      </c>
      <c r="C257" s="3">
        <v>256</v>
      </c>
      <c r="D257" s="17" t="s">
        <v>255</v>
      </c>
      <c r="E257" s="2" t="str">
        <f t="shared" si="19"/>
        <v>Clr Mt Gtr A</v>
      </c>
      <c r="F257" s="12">
        <v>256</v>
      </c>
      <c r="G257" s="17">
        <f t="shared" si="20"/>
        <v>344</v>
      </c>
      <c r="H257" s="2">
        <f t="shared" si="21"/>
        <v>88</v>
      </c>
      <c r="I257" s="3" t="s">
        <v>3714</v>
      </c>
      <c r="J257" s="17">
        <f t="shared" si="22"/>
        <v>149</v>
      </c>
      <c r="K257" s="2">
        <f t="shared" si="23"/>
        <v>-107</v>
      </c>
      <c r="L257" s="12" t="s">
        <v>3714</v>
      </c>
    </row>
    <row r="258" spans="1:12" x14ac:dyDescent="0.25">
      <c r="A258" s="11" t="s">
        <v>1657</v>
      </c>
      <c r="B258" s="2" t="str">
        <f t="shared" ref="B258:B321" si="24">_xlfn.TEXTAFTER(A258," ",1)</f>
        <v>Fretlss SftC</v>
      </c>
      <c r="C258" s="3">
        <v>257</v>
      </c>
      <c r="D258" s="17" t="s">
        <v>256</v>
      </c>
      <c r="E258" s="2" t="str">
        <f t="shared" ref="E258:E321" si="25">_xlfn.TEXTAFTER(D258," ",1)</f>
        <v>Clr Mt Gtr B</v>
      </c>
      <c r="F258" s="12">
        <v>257</v>
      </c>
      <c r="G258" s="17">
        <f t="shared" si="20"/>
        <v>345</v>
      </c>
      <c r="H258" s="2">
        <f t="shared" si="21"/>
        <v>88</v>
      </c>
      <c r="I258" s="3" t="s">
        <v>3714</v>
      </c>
      <c r="J258" s="17">
        <f t="shared" si="22"/>
        <v>150</v>
      </c>
      <c r="K258" s="2">
        <f t="shared" si="23"/>
        <v>-107</v>
      </c>
      <c r="L258" s="12" t="s">
        <v>3714</v>
      </c>
    </row>
    <row r="259" spans="1:12" x14ac:dyDescent="0.25">
      <c r="A259" s="11" t="s">
        <v>1658</v>
      </c>
      <c r="B259" s="2" t="str">
        <f t="shared" si="24"/>
        <v>Pick Bass 1A</v>
      </c>
      <c r="C259" s="3">
        <v>258</v>
      </c>
      <c r="D259" s="17" t="s">
        <v>257</v>
      </c>
      <c r="E259" s="2" t="str">
        <f t="shared" si="25"/>
        <v>Clr Mt Gtr C</v>
      </c>
      <c r="F259" s="12">
        <v>258</v>
      </c>
      <c r="G259" s="17">
        <f t="shared" ref="G259:G322" si="26">_xlfn.IFNA(_xlfn.XMATCH(B259,E$2:E$1402,0,1),0)</f>
        <v>0</v>
      </c>
      <c r="H259" s="2">
        <f t="shared" ref="H259:H322" si="27">IF(G259=0,0,G259-C259)</f>
        <v>0</v>
      </c>
      <c r="I259" s="3" t="s">
        <v>3714</v>
      </c>
      <c r="J259" s="17">
        <f t="shared" ref="J259:J322" si="28">_xlfn.IFNA(_xlfn.XMATCH(E259,B$2:B$1229,0,1),0)</f>
        <v>151</v>
      </c>
      <c r="K259" s="2">
        <f t="shared" ref="K259:K322" si="29">IF(J259=0,0,J259-F259)</f>
        <v>-107</v>
      </c>
      <c r="L259" s="12" t="s">
        <v>3714</v>
      </c>
    </row>
    <row r="260" spans="1:12" x14ac:dyDescent="0.25">
      <c r="A260" s="11" t="s">
        <v>1659</v>
      </c>
      <c r="B260" s="2" t="str">
        <f t="shared" si="24"/>
        <v>Pick Bass 1B</v>
      </c>
      <c r="C260" s="3">
        <v>259</v>
      </c>
      <c r="D260" s="17" t="s">
        <v>258</v>
      </c>
      <c r="E260" s="2" t="str">
        <f t="shared" si="25"/>
        <v>E.Gtr Ld</v>
      </c>
      <c r="F260" s="12">
        <v>259</v>
      </c>
      <c r="G260" s="17">
        <f t="shared" si="26"/>
        <v>0</v>
      </c>
      <c r="H260" s="2">
        <f t="shared" si="27"/>
        <v>0</v>
      </c>
      <c r="I260" s="3" t="s">
        <v>3714</v>
      </c>
      <c r="J260" s="17">
        <f t="shared" si="28"/>
        <v>0</v>
      </c>
      <c r="K260" s="2">
        <f t="shared" si="29"/>
        <v>0</v>
      </c>
      <c r="L260" s="12" t="s">
        <v>3714</v>
      </c>
    </row>
    <row r="261" spans="1:12" x14ac:dyDescent="0.25">
      <c r="A261" s="11" t="s">
        <v>1660</v>
      </c>
      <c r="B261" s="2" t="str">
        <f t="shared" si="24"/>
        <v>Pick Bass 1C</v>
      </c>
      <c r="C261" s="3">
        <v>260</v>
      </c>
      <c r="D261" s="17" t="s">
        <v>259</v>
      </c>
      <c r="E261" s="2" t="str">
        <f t="shared" si="25"/>
        <v>Brt Strat A</v>
      </c>
      <c r="F261" s="12">
        <v>260</v>
      </c>
      <c r="G261" s="17">
        <f t="shared" si="26"/>
        <v>0</v>
      </c>
      <c r="H261" s="2">
        <f t="shared" si="27"/>
        <v>0</v>
      </c>
      <c r="I261" s="3" t="s">
        <v>3714</v>
      </c>
      <c r="J261" s="17">
        <f t="shared" si="28"/>
        <v>154</v>
      </c>
      <c r="K261" s="2">
        <f t="shared" si="29"/>
        <v>-106</v>
      </c>
      <c r="L261" s="12" t="s">
        <v>3714</v>
      </c>
    </row>
    <row r="262" spans="1:12" x14ac:dyDescent="0.25">
      <c r="A262" s="11" t="s">
        <v>1661</v>
      </c>
      <c r="B262" s="2" t="str">
        <f t="shared" si="24"/>
        <v>Pick Bass 2</v>
      </c>
      <c r="C262" s="3">
        <v>261</v>
      </c>
      <c r="D262" s="17" t="s">
        <v>260</v>
      </c>
      <c r="E262" s="2" t="str">
        <f t="shared" si="25"/>
        <v>Brt Strat B</v>
      </c>
      <c r="F262" s="12">
        <v>261</v>
      </c>
      <c r="G262" s="17">
        <f t="shared" si="26"/>
        <v>0</v>
      </c>
      <c r="H262" s="2">
        <f t="shared" si="27"/>
        <v>0</v>
      </c>
      <c r="I262" s="3" t="s">
        <v>3714</v>
      </c>
      <c r="J262" s="17">
        <f t="shared" si="28"/>
        <v>155</v>
      </c>
      <c r="K262" s="2">
        <f t="shared" si="29"/>
        <v>-106</v>
      </c>
      <c r="L262" s="12" t="s">
        <v>3714</v>
      </c>
    </row>
    <row r="263" spans="1:12" x14ac:dyDescent="0.25">
      <c r="A263" s="11" t="s">
        <v>1662</v>
      </c>
      <c r="B263" s="2" t="str">
        <f t="shared" si="24"/>
        <v>Slap Bass</v>
      </c>
      <c r="C263" s="3">
        <v>262</v>
      </c>
      <c r="D263" s="17" t="s">
        <v>261</v>
      </c>
      <c r="E263" s="2" t="str">
        <f t="shared" si="25"/>
        <v>Brt Strat C</v>
      </c>
      <c r="F263" s="12">
        <v>262</v>
      </c>
      <c r="G263" s="17">
        <f t="shared" si="26"/>
        <v>362</v>
      </c>
      <c r="H263" s="2">
        <f t="shared" si="27"/>
        <v>100</v>
      </c>
      <c r="I263" s="3" t="s">
        <v>3714</v>
      </c>
      <c r="J263" s="17">
        <f t="shared" si="28"/>
        <v>156</v>
      </c>
      <c r="K263" s="2">
        <f t="shared" si="29"/>
        <v>-106</v>
      </c>
      <c r="L263" s="12" t="s">
        <v>3714</v>
      </c>
    </row>
    <row r="264" spans="1:12" x14ac:dyDescent="0.25">
      <c r="A264" s="11" t="s">
        <v>1663</v>
      </c>
      <c r="B264" s="2" t="str">
        <f t="shared" si="24"/>
        <v>Slap +Pull 1</v>
      </c>
      <c r="C264" s="3">
        <v>263</v>
      </c>
      <c r="D264" s="17" t="s">
        <v>262</v>
      </c>
      <c r="E264" s="2" t="str">
        <f t="shared" si="25"/>
        <v>FstPick70s A</v>
      </c>
      <c r="F264" s="12">
        <v>263</v>
      </c>
      <c r="G264" s="17">
        <f t="shared" si="26"/>
        <v>363</v>
      </c>
      <c r="H264" s="2">
        <f t="shared" si="27"/>
        <v>100</v>
      </c>
      <c r="I264" s="3" t="s">
        <v>3714</v>
      </c>
      <c r="J264" s="17">
        <f t="shared" si="28"/>
        <v>160</v>
      </c>
      <c r="K264" s="2">
        <f t="shared" si="29"/>
        <v>-103</v>
      </c>
      <c r="L264" s="12" t="s">
        <v>3714</v>
      </c>
    </row>
    <row r="265" spans="1:12" x14ac:dyDescent="0.25">
      <c r="A265" s="11" t="s">
        <v>1664</v>
      </c>
      <c r="B265" s="2" t="str">
        <f t="shared" si="24"/>
        <v>Slap +Pull 2</v>
      </c>
      <c r="C265" s="3">
        <v>264</v>
      </c>
      <c r="D265" s="17" t="s">
        <v>263</v>
      </c>
      <c r="E265" s="2" t="str">
        <f t="shared" si="25"/>
        <v>FstPick70s B</v>
      </c>
      <c r="F265" s="12">
        <v>264</v>
      </c>
      <c r="G265" s="17">
        <f t="shared" si="26"/>
        <v>364</v>
      </c>
      <c r="H265" s="2">
        <f t="shared" si="27"/>
        <v>100</v>
      </c>
      <c r="I265" s="3" t="s">
        <v>3714</v>
      </c>
      <c r="J265" s="17">
        <f t="shared" si="28"/>
        <v>161</v>
      </c>
      <c r="K265" s="2">
        <f t="shared" si="29"/>
        <v>-103</v>
      </c>
      <c r="L265" s="12" t="s">
        <v>3714</v>
      </c>
    </row>
    <row r="266" spans="1:12" x14ac:dyDescent="0.25">
      <c r="A266" s="11" t="s">
        <v>1665</v>
      </c>
      <c r="B266" s="2" t="str">
        <f t="shared" si="24"/>
        <v>Slap +Pull 3</v>
      </c>
      <c r="C266" s="3">
        <v>265</v>
      </c>
      <c r="D266" s="17" t="s">
        <v>264</v>
      </c>
      <c r="E266" s="2" t="str">
        <f t="shared" si="25"/>
        <v>FstPick70s C</v>
      </c>
      <c r="F266" s="12">
        <v>265</v>
      </c>
      <c r="G266" s="17">
        <f t="shared" si="26"/>
        <v>365</v>
      </c>
      <c r="H266" s="2">
        <f t="shared" si="27"/>
        <v>100</v>
      </c>
      <c r="I266" s="3" t="s">
        <v>3714</v>
      </c>
      <c r="J266" s="17">
        <f t="shared" si="28"/>
        <v>162</v>
      </c>
      <c r="K266" s="2">
        <f t="shared" si="29"/>
        <v>-103</v>
      </c>
      <c r="L266" s="12" t="s">
        <v>3714</v>
      </c>
    </row>
    <row r="267" spans="1:12" x14ac:dyDescent="0.25">
      <c r="A267" s="11" t="s">
        <v>1666</v>
      </c>
      <c r="B267" s="2" t="str">
        <f t="shared" si="24"/>
        <v>Jz Slap Bass</v>
      </c>
      <c r="C267" s="3">
        <v>266</v>
      </c>
      <c r="D267" s="17" t="s">
        <v>265</v>
      </c>
      <c r="E267" s="2" t="str">
        <f t="shared" si="25"/>
        <v>Funk Gtr A</v>
      </c>
      <c r="F267" s="12">
        <v>266</v>
      </c>
      <c r="G267" s="17">
        <f t="shared" si="26"/>
        <v>366</v>
      </c>
      <c r="H267" s="2">
        <f t="shared" si="27"/>
        <v>100</v>
      </c>
      <c r="I267" s="3" t="s">
        <v>3714</v>
      </c>
      <c r="J267" s="17">
        <f t="shared" si="28"/>
        <v>169</v>
      </c>
      <c r="K267" s="2">
        <f t="shared" si="29"/>
        <v>-97</v>
      </c>
      <c r="L267" s="12" t="s">
        <v>3714</v>
      </c>
    </row>
    <row r="268" spans="1:12" x14ac:dyDescent="0.25">
      <c r="A268" s="11" t="s">
        <v>1667</v>
      </c>
      <c r="B268" s="2" t="str">
        <f t="shared" si="24"/>
        <v>Jz Slp+Pull1</v>
      </c>
      <c r="C268" s="3">
        <v>267</v>
      </c>
      <c r="D268" s="17" t="s">
        <v>266</v>
      </c>
      <c r="E268" s="2" t="str">
        <f t="shared" si="25"/>
        <v>Funk Gtr B</v>
      </c>
      <c r="F268" s="12">
        <v>267</v>
      </c>
      <c r="G268" s="17">
        <f t="shared" si="26"/>
        <v>367</v>
      </c>
      <c r="H268" s="2">
        <f t="shared" si="27"/>
        <v>100</v>
      </c>
      <c r="I268" s="3" t="s">
        <v>3714</v>
      </c>
      <c r="J268" s="17">
        <f t="shared" si="28"/>
        <v>170</v>
      </c>
      <c r="K268" s="2">
        <f t="shared" si="29"/>
        <v>-97</v>
      </c>
      <c r="L268" s="12" t="s">
        <v>3714</v>
      </c>
    </row>
    <row r="269" spans="1:12" x14ac:dyDescent="0.25">
      <c r="A269" s="11" t="s">
        <v>1668</v>
      </c>
      <c r="B269" s="2" t="str">
        <f t="shared" si="24"/>
        <v>Jz Slp+Pull2</v>
      </c>
      <c r="C269" s="3">
        <v>268</v>
      </c>
      <c r="D269" s="17" t="s">
        <v>267</v>
      </c>
      <c r="E269" s="2" t="str">
        <f t="shared" si="25"/>
        <v>Funk Gtr C</v>
      </c>
      <c r="F269" s="12">
        <v>268</v>
      </c>
      <c r="G269" s="17">
        <f t="shared" si="26"/>
        <v>368</v>
      </c>
      <c r="H269" s="2">
        <f t="shared" si="27"/>
        <v>100</v>
      </c>
      <c r="I269" s="3" t="s">
        <v>3714</v>
      </c>
      <c r="J269" s="17">
        <f t="shared" si="28"/>
        <v>171</v>
      </c>
      <c r="K269" s="2">
        <f t="shared" si="29"/>
        <v>-97</v>
      </c>
      <c r="L269" s="12" t="s">
        <v>3714</v>
      </c>
    </row>
    <row r="270" spans="1:12" x14ac:dyDescent="0.25">
      <c r="A270" s="11" t="s">
        <v>1669</v>
      </c>
      <c r="B270" s="2" t="str">
        <f t="shared" si="24"/>
        <v>Jz Slp+Pull3</v>
      </c>
      <c r="C270" s="3">
        <v>269</v>
      </c>
      <c r="D270" s="17" t="s">
        <v>268</v>
      </c>
      <c r="E270" s="2" t="str">
        <f t="shared" si="25"/>
        <v>Funk MtGtr A</v>
      </c>
      <c r="F270" s="12">
        <v>269</v>
      </c>
      <c r="G270" s="17">
        <f t="shared" si="26"/>
        <v>369</v>
      </c>
      <c r="H270" s="2">
        <f t="shared" si="27"/>
        <v>100</v>
      </c>
      <c r="I270" s="3" t="s">
        <v>3714</v>
      </c>
      <c r="J270" s="17">
        <f t="shared" si="28"/>
        <v>172</v>
      </c>
      <c r="K270" s="2">
        <f t="shared" si="29"/>
        <v>-97</v>
      </c>
      <c r="L270" s="12" t="s">
        <v>3714</v>
      </c>
    </row>
    <row r="271" spans="1:12" x14ac:dyDescent="0.25">
      <c r="A271" s="11" t="s">
        <v>1670</v>
      </c>
      <c r="B271" s="2" t="str">
        <f t="shared" si="24"/>
        <v>MG Bass 1 A</v>
      </c>
      <c r="C271" s="3">
        <v>270</v>
      </c>
      <c r="D271" s="17" t="s">
        <v>269</v>
      </c>
      <c r="E271" s="2" t="str">
        <f t="shared" si="25"/>
        <v>Funk MtGtr B</v>
      </c>
      <c r="F271" s="12">
        <v>270</v>
      </c>
      <c r="G271" s="17">
        <f t="shared" si="26"/>
        <v>376</v>
      </c>
      <c r="H271" s="2">
        <f t="shared" si="27"/>
        <v>106</v>
      </c>
      <c r="I271" s="3" t="s">
        <v>3714</v>
      </c>
      <c r="J271" s="17">
        <f t="shared" si="28"/>
        <v>173</v>
      </c>
      <c r="K271" s="2">
        <f t="shared" si="29"/>
        <v>-97</v>
      </c>
      <c r="L271" s="12" t="s">
        <v>3714</v>
      </c>
    </row>
    <row r="272" spans="1:12" x14ac:dyDescent="0.25">
      <c r="A272" s="11" t="s">
        <v>1671</v>
      </c>
      <c r="B272" s="2" t="str">
        <f t="shared" si="24"/>
        <v>MG Bass 1 B</v>
      </c>
      <c r="C272" s="3">
        <v>271</v>
      </c>
      <c r="D272" s="17" t="s">
        <v>270</v>
      </c>
      <c r="E272" s="2" t="str">
        <f t="shared" si="25"/>
        <v>Funk MtGtr C</v>
      </c>
      <c r="F272" s="12">
        <v>271</v>
      </c>
      <c r="G272" s="17">
        <f t="shared" si="26"/>
        <v>377</v>
      </c>
      <c r="H272" s="2">
        <f t="shared" si="27"/>
        <v>106</v>
      </c>
      <c r="I272" s="3" t="s">
        <v>3714</v>
      </c>
      <c r="J272" s="17">
        <f t="shared" si="28"/>
        <v>174</v>
      </c>
      <c r="K272" s="2">
        <f t="shared" si="29"/>
        <v>-97</v>
      </c>
      <c r="L272" s="12" t="s">
        <v>3714</v>
      </c>
    </row>
    <row r="273" spans="1:12" x14ac:dyDescent="0.25">
      <c r="A273" s="11" t="s">
        <v>1672</v>
      </c>
      <c r="B273" s="2" t="str">
        <f t="shared" si="24"/>
        <v>MG Bass 1 C</v>
      </c>
      <c r="C273" s="3">
        <v>272</v>
      </c>
      <c r="D273" s="17" t="s">
        <v>271</v>
      </c>
      <c r="E273" s="2" t="str">
        <f t="shared" si="25"/>
        <v>Nasty Gtr</v>
      </c>
      <c r="F273" s="12">
        <v>272</v>
      </c>
      <c r="G273" s="17">
        <f t="shared" si="26"/>
        <v>378</v>
      </c>
      <c r="H273" s="2">
        <f t="shared" si="27"/>
        <v>106</v>
      </c>
      <c r="I273" s="3" t="s">
        <v>3714</v>
      </c>
      <c r="J273" s="17">
        <f t="shared" si="28"/>
        <v>178</v>
      </c>
      <c r="K273" s="2">
        <f t="shared" si="29"/>
        <v>-94</v>
      </c>
      <c r="L273" s="12" t="s">
        <v>3714</v>
      </c>
    </row>
    <row r="274" spans="1:12" x14ac:dyDescent="0.25">
      <c r="A274" s="11" t="s">
        <v>1673</v>
      </c>
      <c r="B274" s="2" t="str">
        <f t="shared" si="24"/>
        <v>DistTB Sqr</v>
      </c>
      <c r="C274" s="3">
        <v>273</v>
      </c>
      <c r="D274" s="17" t="s">
        <v>272</v>
      </c>
      <c r="E274" s="2" t="str">
        <f t="shared" si="25"/>
        <v>Overdrive A</v>
      </c>
      <c r="F274" s="12">
        <v>273</v>
      </c>
      <c r="G274" s="17">
        <f t="shared" si="26"/>
        <v>0</v>
      </c>
      <c r="H274" s="2">
        <f t="shared" si="27"/>
        <v>0</v>
      </c>
      <c r="I274" s="3" t="s">
        <v>3714</v>
      </c>
      <c r="J274" s="17">
        <f t="shared" si="28"/>
        <v>182</v>
      </c>
      <c r="K274" s="2">
        <f t="shared" si="29"/>
        <v>-91</v>
      </c>
      <c r="L274" s="12" t="s">
        <v>3714</v>
      </c>
    </row>
    <row r="275" spans="1:12" x14ac:dyDescent="0.25">
      <c r="A275" s="11" t="s">
        <v>1674</v>
      </c>
      <c r="B275" s="2" t="str">
        <f t="shared" si="24"/>
        <v>DistTBSqr Lp</v>
      </c>
      <c r="C275" s="3">
        <v>274</v>
      </c>
      <c r="D275" s="17" t="s">
        <v>273</v>
      </c>
      <c r="E275" s="2" t="str">
        <f t="shared" si="25"/>
        <v>Overdrive C</v>
      </c>
      <c r="F275" s="12">
        <v>274</v>
      </c>
      <c r="G275" s="17">
        <f t="shared" si="26"/>
        <v>0</v>
      </c>
      <c r="H275" s="2">
        <f t="shared" si="27"/>
        <v>0</v>
      </c>
      <c r="I275" s="3" t="s">
        <v>3714</v>
      </c>
      <c r="J275" s="17">
        <f t="shared" si="28"/>
        <v>183</v>
      </c>
      <c r="K275" s="2">
        <f t="shared" si="29"/>
        <v>-91</v>
      </c>
      <c r="L275" s="12" t="s">
        <v>3714</v>
      </c>
    </row>
    <row r="276" spans="1:12" x14ac:dyDescent="0.25">
      <c r="A276" s="11" t="s">
        <v>1675</v>
      </c>
      <c r="B276" s="2" t="str">
        <f t="shared" si="24"/>
        <v>Solid Bass</v>
      </c>
      <c r="C276" s="3">
        <v>275</v>
      </c>
      <c r="D276" s="17" t="s">
        <v>274</v>
      </c>
      <c r="E276" s="2" t="str">
        <f t="shared" si="25"/>
        <v>Distortion A</v>
      </c>
      <c r="F276" s="12">
        <v>275</v>
      </c>
      <c r="G276" s="17">
        <f t="shared" si="26"/>
        <v>0</v>
      </c>
      <c r="H276" s="2">
        <f t="shared" si="27"/>
        <v>0</v>
      </c>
      <c r="I276" s="3" t="s">
        <v>3714</v>
      </c>
      <c r="J276" s="17">
        <f t="shared" si="28"/>
        <v>184</v>
      </c>
      <c r="K276" s="2">
        <f t="shared" si="29"/>
        <v>-91</v>
      </c>
      <c r="L276" s="12" t="s">
        <v>3714</v>
      </c>
    </row>
    <row r="277" spans="1:12" x14ac:dyDescent="0.25">
      <c r="A277" s="11" t="s">
        <v>1676</v>
      </c>
      <c r="B277" s="2" t="str">
        <f t="shared" si="24"/>
        <v>MG Big Bass</v>
      </c>
      <c r="C277" s="3">
        <v>276</v>
      </c>
      <c r="D277" s="17" t="s">
        <v>275</v>
      </c>
      <c r="E277" s="2" t="str">
        <f t="shared" si="25"/>
        <v>Distortion B</v>
      </c>
      <c r="F277" s="12">
        <v>276</v>
      </c>
      <c r="G277" s="17">
        <f t="shared" si="26"/>
        <v>0</v>
      </c>
      <c r="H277" s="2">
        <f t="shared" si="27"/>
        <v>0</v>
      </c>
      <c r="I277" s="3" t="s">
        <v>3714</v>
      </c>
      <c r="J277" s="17">
        <f t="shared" si="28"/>
        <v>185</v>
      </c>
      <c r="K277" s="2">
        <f t="shared" si="29"/>
        <v>-91</v>
      </c>
      <c r="L277" s="12" t="s">
        <v>3714</v>
      </c>
    </row>
    <row r="278" spans="1:12" x14ac:dyDescent="0.25">
      <c r="A278" s="11" t="s">
        <v>1677</v>
      </c>
      <c r="B278" s="2" t="str">
        <f t="shared" si="24"/>
        <v>Jungle Bass</v>
      </c>
      <c r="C278" s="3">
        <v>277</v>
      </c>
      <c r="D278" s="17" t="s">
        <v>276</v>
      </c>
      <c r="E278" s="2" t="str">
        <f t="shared" si="25"/>
        <v>Distortion C</v>
      </c>
      <c r="F278" s="12">
        <v>277</v>
      </c>
      <c r="G278" s="17">
        <f t="shared" si="26"/>
        <v>370</v>
      </c>
      <c r="H278" s="2">
        <f t="shared" si="27"/>
        <v>93</v>
      </c>
      <c r="I278" s="3" t="s">
        <v>3714</v>
      </c>
      <c r="J278" s="17">
        <f t="shared" si="28"/>
        <v>186</v>
      </c>
      <c r="K278" s="2">
        <f t="shared" si="29"/>
        <v>-91</v>
      </c>
      <c r="L278" s="12" t="s">
        <v>3714</v>
      </c>
    </row>
    <row r="279" spans="1:12" x14ac:dyDescent="0.25">
      <c r="A279" s="11" t="s">
        <v>1678</v>
      </c>
      <c r="B279" s="2" t="str">
        <f t="shared" si="24"/>
        <v>Garage Bass</v>
      </c>
      <c r="C279" s="3">
        <v>278</v>
      </c>
      <c r="D279" s="17" t="s">
        <v>277</v>
      </c>
      <c r="E279" s="2" t="str">
        <f t="shared" si="25"/>
        <v>Dist Chord A</v>
      </c>
      <c r="F279" s="12">
        <v>278</v>
      </c>
      <c r="G279" s="17">
        <f t="shared" si="26"/>
        <v>371</v>
      </c>
      <c r="H279" s="2">
        <f t="shared" si="27"/>
        <v>93</v>
      </c>
      <c r="I279" s="3" t="s">
        <v>3714</v>
      </c>
      <c r="J279" s="17">
        <f t="shared" si="28"/>
        <v>190</v>
      </c>
      <c r="K279" s="2">
        <f t="shared" si="29"/>
        <v>-88</v>
      </c>
      <c r="L279" s="12" t="s">
        <v>3714</v>
      </c>
    </row>
    <row r="280" spans="1:12" x14ac:dyDescent="0.25">
      <c r="A280" s="11" t="s">
        <v>1679</v>
      </c>
      <c r="B280" s="2" t="str">
        <f t="shared" si="24"/>
        <v>SH-101 Bs A</v>
      </c>
      <c r="C280" s="3">
        <v>279</v>
      </c>
      <c r="D280" s="17" t="s">
        <v>278</v>
      </c>
      <c r="E280" s="2" t="str">
        <f t="shared" si="25"/>
        <v>Dist Chord B</v>
      </c>
      <c r="F280" s="12">
        <v>279</v>
      </c>
      <c r="G280" s="17">
        <f t="shared" si="26"/>
        <v>372</v>
      </c>
      <c r="H280" s="2">
        <f t="shared" si="27"/>
        <v>93</v>
      </c>
      <c r="I280" s="3" t="s">
        <v>3714</v>
      </c>
      <c r="J280" s="17">
        <f t="shared" si="28"/>
        <v>191</v>
      </c>
      <c r="K280" s="2">
        <f t="shared" si="29"/>
        <v>-88</v>
      </c>
      <c r="L280" s="12" t="s">
        <v>3714</v>
      </c>
    </row>
    <row r="281" spans="1:12" x14ac:dyDescent="0.25">
      <c r="A281" s="11" t="s">
        <v>1680</v>
      </c>
      <c r="B281" s="2" t="str">
        <f t="shared" si="24"/>
        <v>SH-101 Bs B</v>
      </c>
      <c r="C281" s="3">
        <v>280</v>
      </c>
      <c r="D281" s="17" t="s">
        <v>279</v>
      </c>
      <c r="E281" s="2" t="str">
        <f t="shared" si="25"/>
        <v>Dist Chord C</v>
      </c>
      <c r="F281" s="12">
        <v>280</v>
      </c>
      <c r="G281" s="17">
        <f t="shared" si="26"/>
        <v>373</v>
      </c>
      <c r="H281" s="2">
        <f t="shared" si="27"/>
        <v>93</v>
      </c>
      <c r="I281" s="3" t="s">
        <v>3714</v>
      </c>
      <c r="J281" s="17">
        <f t="shared" si="28"/>
        <v>192</v>
      </c>
      <c r="K281" s="2">
        <f t="shared" si="29"/>
        <v>-88</v>
      </c>
      <c r="L281" s="12" t="s">
        <v>3714</v>
      </c>
    </row>
    <row r="282" spans="1:12" x14ac:dyDescent="0.25">
      <c r="A282" s="11" t="s">
        <v>1681</v>
      </c>
      <c r="B282" s="2" t="str">
        <f t="shared" si="24"/>
        <v>SH-101 Bs C</v>
      </c>
      <c r="C282" s="3">
        <v>281</v>
      </c>
      <c r="D282" s="17" t="s">
        <v>280</v>
      </c>
      <c r="E282" s="2" t="str">
        <f t="shared" si="25"/>
        <v>E.Gtr Harm</v>
      </c>
      <c r="F282" s="12">
        <v>281</v>
      </c>
      <c r="G282" s="17">
        <f t="shared" si="26"/>
        <v>374</v>
      </c>
      <c r="H282" s="2">
        <f t="shared" si="27"/>
        <v>93</v>
      </c>
      <c r="I282" s="3" t="s">
        <v>3714</v>
      </c>
      <c r="J282" s="17">
        <f t="shared" si="28"/>
        <v>201</v>
      </c>
      <c r="K282" s="2">
        <f t="shared" si="29"/>
        <v>-80</v>
      </c>
      <c r="L282" s="12" t="s">
        <v>3714</v>
      </c>
    </row>
    <row r="283" spans="1:12" x14ac:dyDescent="0.25">
      <c r="A283" s="11" t="s">
        <v>1682</v>
      </c>
      <c r="B283" s="2" t="str">
        <f t="shared" si="24"/>
        <v>TB Natural</v>
      </c>
      <c r="C283" s="3">
        <v>282</v>
      </c>
      <c r="D283" s="17" t="s">
        <v>281</v>
      </c>
      <c r="E283" s="2" t="str">
        <f t="shared" si="25"/>
        <v>Harp A</v>
      </c>
      <c r="F283" s="12">
        <v>282</v>
      </c>
      <c r="G283" s="17">
        <f t="shared" si="26"/>
        <v>0</v>
      </c>
      <c r="H283" s="2">
        <f t="shared" si="27"/>
        <v>0</v>
      </c>
      <c r="I283" s="3" t="s">
        <v>3714</v>
      </c>
      <c r="J283" s="17">
        <f t="shared" si="28"/>
        <v>203</v>
      </c>
      <c r="K283" s="2">
        <f t="shared" si="29"/>
        <v>-79</v>
      </c>
      <c r="L283" s="12" t="s">
        <v>3714</v>
      </c>
    </row>
    <row r="284" spans="1:12" x14ac:dyDescent="0.25">
      <c r="A284" s="11" t="s">
        <v>1683</v>
      </c>
      <c r="B284" s="2" t="str">
        <f t="shared" si="24"/>
        <v>Poly Bass</v>
      </c>
      <c r="C284" s="3">
        <v>283</v>
      </c>
      <c r="D284" s="17" t="s">
        <v>282</v>
      </c>
      <c r="E284" s="2" t="str">
        <f t="shared" si="25"/>
        <v>Harp B</v>
      </c>
      <c r="F284" s="12">
        <v>283</v>
      </c>
      <c r="G284" s="17">
        <f t="shared" si="26"/>
        <v>0</v>
      </c>
      <c r="H284" s="2">
        <f t="shared" si="27"/>
        <v>0</v>
      </c>
      <c r="I284" s="3" t="s">
        <v>3714</v>
      </c>
      <c r="J284" s="17">
        <f t="shared" si="28"/>
        <v>204</v>
      </c>
      <c r="K284" s="2">
        <f t="shared" si="29"/>
        <v>-79</v>
      </c>
      <c r="L284" s="12" t="s">
        <v>3714</v>
      </c>
    </row>
    <row r="285" spans="1:12" x14ac:dyDescent="0.25">
      <c r="A285" s="11" t="s">
        <v>1684</v>
      </c>
      <c r="B285" s="2" t="str">
        <f t="shared" si="24"/>
        <v>Organ Bass</v>
      </c>
      <c r="C285" s="3">
        <v>284</v>
      </c>
      <c r="D285" s="17" t="s">
        <v>283</v>
      </c>
      <c r="E285" s="2" t="str">
        <f t="shared" si="25"/>
        <v>Harp C</v>
      </c>
      <c r="F285" s="12">
        <v>284</v>
      </c>
      <c r="G285" s="17">
        <f t="shared" si="26"/>
        <v>375</v>
      </c>
      <c r="H285" s="2">
        <f t="shared" si="27"/>
        <v>91</v>
      </c>
      <c r="I285" s="3" t="s">
        <v>3714</v>
      </c>
      <c r="J285" s="17">
        <f t="shared" si="28"/>
        <v>205</v>
      </c>
      <c r="K285" s="2">
        <f t="shared" si="29"/>
        <v>-79</v>
      </c>
      <c r="L285" s="12" t="s">
        <v>3714</v>
      </c>
    </row>
    <row r="286" spans="1:12" x14ac:dyDescent="0.25">
      <c r="A286" s="11" t="s">
        <v>1685</v>
      </c>
      <c r="B286" s="2" t="str">
        <f t="shared" si="24"/>
        <v>Voco Bass</v>
      </c>
      <c r="C286" s="3">
        <v>285</v>
      </c>
      <c r="D286" s="17" t="s">
        <v>284</v>
      </c>
      <c r="E286" s="2" t="str">
        <f t="shared" si="25"/>
        <v>Banjo A</v>
      </c>
      <c r="F286" s="12">
        <v>285</v>
      </c>
      <c r="G286" s="17">
        <f t="shared" si="26"/>
        <v>0</v>
      </c>
      <c r="H286" s="2">
        <f t="shared" si="27"/>
        <v>0</v>
      </c>
      <c r="I286" s="3" t="s">
        <v>3714</v>
      </c>
      <c r="J286" s="17">
        <f t="shared" si="28"/>
        <v>206</v>
      </c>
      <c r="K286" s="2">
        <f t="shared" si="29"/>
        <v>-79</v>
      </c>
      <c r="L286" s="12" t="s">
        <v>3714</v>
      </c>
    </row>
    <row r="287" spans="1:12" x14ac:dyDescent="0.25">
      <c r="A287" s="11" t="s">
        <v>1686</v>
      </c>
      <c r="B287" s="2" t="str">
        <f t="shared" si="24"/>
        <v>MG Bass 2 A</v>
      </c>
      <c r="C287" s="3">
        <v>286</v>
      </c>
      <c r="D287" s="17" t="s">
        <v>285</v>
      </c>
      <c r="E287" s="2" t="str">
        <f t="shared" si="25"/>
        <v>Banjo B</v>
      </c>
      <c r="F287" s="12">
        <v>286</v>
      </c>
      <c r="G287" s="17">
        <f t="shared" si="26"/>
        <v>0</v>
      </c>
      <c r="H287" s="2">
        <f t="shared" si="27"/>
        <v>0</v>
      </c>
      <c r="I287" s="3" t="s">
        <v>3714</v>
      </c>
      <c r="J287" s="17">
        <f t="shared" si="28"/>
        <v>207</v>
      </c>
      <c r="K287" s="2">
        <f t="shared" si="29"/>
        <v>-79</v>
      </c>
      <c r="L287" s="12" t="s">
        <v>3714</v>
      </c>
    </row>
    <row r="288" spans="1:12" x14ac:dyDescent="0.25">
      <c r="A288" s="11" t="s">
        <v>1687</v>
      </c>
      <c r="B288" s="2" t="str">
        <f t="shared" si="24"/>
        <v>MG Bass 2 B</v>
      </c>
      <c r="C288" s="3">
        <v>287</v>
      </c>
      <c r="D288" s="17" t="s">
        <v>286</v>
      </c>
      <c r="E288" s="2" t="str">
        <f t="shared" si="25"/>
        <v>Banjo C</v>
      </c>
      <c r="F288" s="12">
        <v>287</v>
      </c>
      <c r="G288" s="17">
        <f t="shared" si="26"/>
        <v>0</v>
      </c>
      <c r="H288" s="2">
        <f t="shared" si="27"/>
        <v>0</v>
      </c>
      <c r="I288" s="3" t="s">
        <v>3714</v>
      </c>
      <c r="J288" s="17">
        <f t="shared" si="28"/>
        <v>208</v>
      </c>
      <c r="K288" s="2">
        <f t="shared" si="29"/>
        <v>-79</v>
      </c>
      <c r="L288" s="12" t="s">
        <v>3714</v>
      </c>
    </row>
    <row r="289" spans="1:12" x14ac:dyDescent="0.25">
      <c r="A289" s="11" t="s">
        <v>1688</v>
      </c>
      <c r="B289" s="2" t="str">
        <f t="shared" si="24"/>
        <v>MG Bass 2 C</v>
      </c>
      <c r="C289" s="3">
        <v>288</v>
      </c>
      <c r="D289" s="17" t="s">
        <v>287</v>
      </c>
      <c r="E289" s="2" t="str">
        <f t="shared" si="25"/>
        <v>Sitar A</v>
      </c>
      <c r="F289" s="12">
        <v>288</v>
      </c>
      <c r="G289" s="17">
        <f t="shared" si="26"/>
        <v>0</v>
      </c>
      <c r="H289" s="2">
        <f t="shared" si="27"/>
        <v>0</v>
      </c>
      <c r="I289" s="3" t="s">
        <v>3714</v>
      </c>
      <c r="J289" s="17">
        <f t="shared" si="28"/>
        <v>209</v>
      </c>
      <c r="K289" s="2">
        <f t="shared" si="29"/>
        <v>-79</v>
      </c>
      <c r="L289" s="12" t="s">
        <v>3714</v>
      </c>
    </row>
    <row r="290" spans="1:12" x14ac:dyDescent="0.25">
      <c r="A290" s="11" t="s">
        <v>1689</v>
      </c>
      <c r="B290" s="2" t="str">
        <f t="shared" si="24"/>
        <v>MG Bass 3</v>
      </c>
      <c r="C290" s="3">
        <v>289</v>
      </c>
      <c r="D290" s="17" t="s">
        <v>288</v>
      </c>
      <c r="E290" s="2" t="str">
        <f t="shared" si="25"/>
        <v>Sitar B</v>
      </c>
      <c r="F290" s="12">
        <v>289</v>
      </c>
      <c r="G290" s="17">
        <f t="shared" si="26"/>
        <v>380</v>
      </c>
      <c r="H290" s="2">
        <f t="shared" si="27"/>
        <v>91</v>
      </c>
      <c r="I290" s="3" t="s">
        <v>3714</v>
      </c>
      <c r="J290" s="17">
        <f t="shared" si="28"/>
        <v>210</v>
      </c>
      <c r="K290" s="2">
        <f t="shared" si="29"/>
        <v>-79</v>
      </c>
      <c r="L290" s="12" t="s">
        <v>3714</v>
      </c>
    </row>
    <row r="291" spans="1:12" x14ac:dyDescent="0.25">
      <c r="A291" s="11" t="s">
        <v>1690</v>
      </c>
      <c r="B291" s="2" t="str">
        <f t="shared" si="24"/>
        <v>MG Bass 4</v>
      </c>
      <c r="C291" s="3">
        <v>290</v>
      </c>
      <c r="D291" s="17" t="s">
        <v>289</v>
      </c>
      <c r="E291" s="2" t="str">
        <f t="shared" si="25"/>
        <v>Sitar C</v>
      </c>
      <c r="F291" s="12">
        <v>290</v>
      </c>
      <c r="G291" s="17">
        <f t="shared" si="26"/>
        <v>0</v>
      </c>
      <c r="H291" s="2">
        <f t="shared" si="27"/>
        <v>0</v>
      </c>
      <c r="I291" s="3" t="s">
        <v>3714</v>
      </c>
      <c r="J291" s="17">
        <f t="shared" si="28"/>
        <v>211</v>
      </c>
      <c r="K291" s="2">
        <f t="shared" si="29"/>
        <v>-79</v>
      </c>
      <c r="L291" s="12" t="s">
        <v>3714</v>
      </c>
    </row>
    <row r="292" spans="1:12" x14ac:dyDescent="0.25">
      <c r="A292" s="11" t="s">
        <v>1691</v>
      </c>
      <c r="B292" s="2" t="str">
        <f t="shared" si="24"/>
        <v>MC Bass A</v>
      </c>
      <c r="C292" s="3">
        <v>291</v>
      </c>
      <c r="D292" s="17" t="s">
        <v>290</v>
      </c>
      <c r="E292" s="2" t="str">
        <f t="shared" si="25"/>
        <v>Sitar Drn A</v>
      </c>
      <c r="F292" s="12">
        <v>291</v>
      </c>
      <c r="G292" s="17">
        <f t="shared" si="26"/>
        <v>381</v>
      </c>
      <c r="H292" s="2">
        <f t="shared" si="27"/>
        <v>90</v>
      </c>
      <c r="I292" s="3" t="s">
        <v>3714</v>
      </c>
      <c r="J292" s="17">
        <f t="shared" si="28"/>
        <v>212</v>
      </c>
      <c r="K292" s="2">
        <f t="shared" si="29"/>
        <v>-79</v>
      </c>
      <c r="L292" s="12" t="s">
        <v>3714</v>
      </c>
    </row>
    <row r="293" spans="1:12" x14ac:dyDescent="0.25">
      <c r="A293" s="11" t="s">
        <v>1692</v>
      </c>
      <c r="B293" s="2" t="str">
        <f t="shared" si="24"/>
        <v>MC Bass B</v>
      </c>
      <c r="C293" s="3">
        <v>292</v>
      </c>
      <c r="D293" s="17" t="s">
        <v>291</v>
      </c>
      <c r="E293" s="2" t="str">
        <f t="shared" si="25"/>
        <v>Sitar Drn B</v>
      </c>
      <c r="F293" s="12">
        <v>292</v>
      </c>
      <c r="G293" s="17">
        <f t="shared" si="26"/>
        <v>382</v>
      </c>
      <c r="H293" s="2">
        <f t="shared" si="27"/>
        <v>90</v>
      </c>
      <c r="I293" s="3" t="s">
        <v>3714</v>
      </c>
      <c r="J293" s="17">
        <f t="shared" si="28"/>
        <v>213</v>
      </c>
      <c r="K293" s="2">
        <f t="shared" si="29"/>
        <v>-79</v>
      </c>
      <c r="L293" s="12" t="s">
        <v>3714</v>
      </c>
    </row>
    <row r="294" spans="1:12" x14ac:dyDescent="0.25">
      <c r="A294" s="11" t="s">
        <v>1693</v>
      </c>
      <c r="B294" s="2" t="str">
        <f t="shared" si="24"/>
        <v>MC Bass C</v>
      </c>
      <c r="C294" s="3">
        <v>293</v>
      </c>
      <c r="D294" s="17" t="s">
        <v>292</v>
      </c>
      <c r="E294" s="2" t="str">
        <f t="shared" si="25"/>
        <v>Sitar Drn C</v>
      </c>
      <c r="F294" s="12">
        <v>293</v>
      </c>
      <c r="G294" s="17">
        <f t="shared" si="26"/>
        <v>383</v>
      </c>
      <c r="H294" s="2">
        <f t="shared" si="27"/>
        <v>90</v>
      </c>
      <c r="I294" s="3" t="s">
        <v>3714</v>
      </c>
      <c r="J294" s="17">
        <f t="shared" si="28"/>
        <v>214</v>
      </c>
      <c r="K294" s="2">
        <f t="shared" si="29"/>
        <v>-79</v>
      </c>
      <c r="L294" s="12" t="s">
        <v>3714</v>
      </c>
    </row>
    <row r="295" spans="1:12" x14ac:dyDescent="0.25">
      <c r="A295" s="11" t="s">
        <v>1694</v>
      </c>
      <c r="B295" s="2" t="str">
        <f t="shared" si="24"/>
        <v>Atk Syn Bass</v>
      </c>
      <c r="C295" s="3">
        <v>294</v>
      </c>
      <c r="D295" s="17" t="s">
        <v>293</v>
      </c>
      <c r="E295" s="2" t="str">
        <f t="shared" si="25"/>
        <v>E.Sitar A</v>
      </c>
      <c r="F295" s="12">
        <v>294</v>
      </c>
      <c r="G295" s="17">
        <f t="shared" si="26"/>
        <v>384</v>
      </c>
      <c r="H295" s="2">
        <f t="shared" si="27"/>
        <v>90</v>
      </c>
      <c r="I295" s="3" t="s">
        <v>3714</v>
      </c>
      <c r="J295" s="17">
        <f t="shared" si="28"/>
        <v>215</v>
      </c>
      <c r="K295" s="2">
        <f t="shared" si="29"/>
        <v>-79</v>
      </c>
      <c r="L295" s="12" t="s">
        <v>3714</v>
      </c>
    </row>
    <row r="296" spans="1:12" x14ac:dyDescent="0.25">
      <c r="A296" s="11" t="s">
        <v>1695</v>
      </c>
      <c r="B296" s="2" t="str">
        <f t="shared" si="24"/>
        <v>Atk Flute A</v>
      </c>
      <c r="C296" s="3">
        <v>295</v>
      </c>
      <c r="D296" s="17" t="s">
        <v>294</v>
      </c>
      <c r="E296" s="2" t="str">
        <f t="shared" si="25"/>
        <v>E.Sitar B</v>
      </c>
      <c r="F296" s="12">
        <v>295</v>
      </c>
      <c r="G296" s="17">
        <f t="shared" si="26"/>
        <v>0</v>
      </c>
      <c r="H296" s="2">
        <f t="shared" si="27"/>
        <v>0</v>
      </c>
      <c r="I296" s="3" t="s">
        <v>3714</v>
      </c>
      <c r="J296" s="17">
        <f t="shared" si="28"/>
        <v>216</v>
      </c>
      <c r="K296" s="2">
        <f t="shared" si="29"/>
        <v>-79</v>
      </c>
      <c r="L296" s="12" t="s">
        <v>3714</v>
      </c>
    </row>
    <row r="297" spans="1:12" x14ac:dyDescent="0.25">
      <c r="A297" s="11" t="s">
        <v>1696</v>
      </c>
      <c r="B297" s="2" t="str">
        <f t="shared" si="24"/>
        <v>Atk Flute B</v>
      </c>
      <c r="C297" s="3">
        <v>296</v>
      </c>
      <c r="D297" s="17" t="s">
        <v>295</v>
      </c>
      <c r="E297" s="2" t="str">
        <f t="shared" si="25"/>
        <v>E.Sitar C</v>
      </c>
      <c r="F297" s="12">
        <v>296</v>
      </c>
      <c r="G297" s="17">
        <f t="shared" si="26"/>
        <v>0</v>
      </c>
      <c r="H297" s="2">
        <f t="shared" si="27"/>
        <v>0</v>
      </c>
      <c r="I297" s="3" t="s">
        <v>3714</v>
      </c>
      <c r="J297" s="17">
        <f t="shared" si="28"/>
        <v>217</v>
      </c>
      <c r="K297" s="2">
        <f t="shared" si="29"/>
        <v>-79</v>
      </c>
      <c r="L297" s="12" t="s">
        <v>3714</v>
      </c>
    </row>
    <row r="298" spans="1:12" x14ac:dyDescent="0.25">
      <c r="A298" s="11" t="s">
        <v>1697</v>
      </c>
      <c r="B298" s="2" t="str">
        <f t="shared" si="24"/>
        <v>Atk Flute C</v>
      </c>
      <c r="C298" s="3">
        <v>297</v>
      </c>
      <c r="D298" s="17" t="s">
        <v>296</v>
      </c>
      <c r="E298" s="2" t="str">
        <f t="shared" si="25"/>
        <v>Santur A</v>
      </c>
      <c r="F298" s="12">
        <v>297</v>
      </c>
      <c r="G298" s="17">
        <f t="shared" si="26"/>
        <v>0</v>
      </c>
      <c r="H298" s="2">
        <f t="shared" si="27"/>
        <v>0</v>
      </c>
      <c r="I298" s="3" t="s">
        <v>3714</v>
      </c>
      <c r="J298" s="17">
        <f t="shared" si="28"/>
        <v>218</v>
      </c>
      <c r="K298" s="2">
        <f t="shared" si="29"/>
        <v>-79</v>
      </c>
      <c r="L298" s="12" t="s">
        <v>3714</v>
      </c>
    </row>
    <row r="299" spans="1:12" x14ac:dyDescent="0.25">
      <c r="A299" s="11" t="s">
        <v>1698</v>
      </c>
      <c r="B299" s="2" t="str">
        <f t="shared" si="24"/>
        <v>Flute A</v>
      </c>
      <c r="C299" s="3">
        <v>298</v>
      </c>
      <c r="D299" s="17" t="s">
        <v>297</v>
      </c>
      <c r="E299" s="2" t="str">
        <f t="shared" si="25"/>
        <v>Santur B</v>
      </c>
      <c r="F299" s="12">
        <v>298</v>
      </c>
      <c r="G299" s="17">
        <f t="shared" si="26"/>
        <v>385</v>
      </c>
      <c r="H299" s="2">
        <f t="shared" si="27"/>
        <v>87</v>
      </c>
      <c r="I299" s="3" t="s">
        <v>3714</v>
      </c>
      <c r="J299" s="17">
        <f t="shared" si="28"/>
        <v>219</v>
      </c>
      <c r="K299" s="2">
        <f t="shared" si="29"/>
        <v>-79</v>
      </c>
      <c r="L299" s="12" t="s">
        <v>3714</v>
      </c>
    </row>
    <row r="300" spans="1:12" x14ac:dyDescent="0.25">
      <c r="A300" s="11" t="s">
        <v>1699</v>
      </c>
      <c r="B300" s="2" t="str">
        <f t="shared" si="24"/>
        <v>Flute B</v>
      </c>
      <c r="C300" s="3">
        <v>299</v>
      </c>
      <c r="D300" s="17" t="s">
        <v>298</v>
      </c>
      <c r="E300" s="2" t="str">
        <f t="shared" si="25"/>
        <v>Santur C</v>
      </c>
      <c r="F300" s="12">
        <v>299</v>
      </c>
      <c r="G300" s="17">
        <f t="shared" si="26"/>
        <v>386</v>
      </c>
      <c r="H300" s="2">
        <f t="shared" si="27"/>
        <v>87</v>
      </c>
      <c r="I300" s="3" t="s">
        <v>3714</v>
      </c>
      <c r="J300" s="17">
        <f t="shared" si="28"/>
        <v>220</v>
      </c>
      <c r="K300" s="2">
        <f t="shared" si="29"/>
        <v>-79</v>
      </c>
      <c r="L300" s="12" t="s">
        <v>3714</v>
      </c>
    </row>
    <row r="301" spans="1:12" x14ac:dyDescent="0.25">
      <c r="A301" s="11" t="s">
        <v>1700</v>
      </c>
      <c r="B301" s="2" t="str">
        <f t="shared" si="24"/>
        <v>Flute C</v>
      </c>
      <c r="C301" s="3">
        <v>300</v>
      </c>
      <c r="D301" s="17" t="s">
        <v>299</v>
      </c>
      <c r="E301" s="2" t="str">
        <f t="shared" si="25"/>
        <v>Dulcimer A</v>
      </c>
      <c r="F301" s="12">
        <v>300</v>
      </c>
      <c r="G301" s="17">
        <f t="shared" si="26"/>
        <v>387</v>
      </c>
      <c r="H301" s="2">
        <f t="shared" si="27"/>
        <v>87</v>
      </c>
      <c r="I301" s="3" t="s">
        <v>3714</v>
      </c>
      <c r="J301" s="17">
        <f t="shared" si="28"/>
        <v>221</v>
      </c>
      <c r="K301" s="2">
        <f t="shared" si="29"/>
        <v>-79</v>
      </c>
      <c r="L301" s="12" t="s">
        <v>3714</v>
      </c>
    </row>
    <row r="302" spans="1:12" x14ac:dyDescent="0.25">
      <c r="A302" s="11" t="s">
        <v>1701</v>
      </c>
      <c r="B302" s="2" t="str">
        <f t="shared" si="24"/>
        <v>Piccolo A</v>
      </c>
      <c r="C302" s="3">
        <v>301</v>
      </c>
      <c r="D302" s="17" t="s">
        <v>300</v>
      </c>
      <c r="E302" s="2" t="str">
        <f t="shared" si="25"/>
        <v>Dulcimer B</v>
      </c>
      <c r="F302" s="12">
        <v>301</v>
      </c>
      <c r="G302" s="17">
        <f t="shared" si="26"/>
        <v>388</v>
      </c>
      <c r="H302" s="2">
        <f t="shared" si="27"/>
        <v>87</v>
      </c>
      <c r="I302" s="3" t="s">
        <v>3714</v>
      </c>
      <c r="J302" s="17">
        <f t="shared" si="28"/>
        <v>222</v>
      </c>
      <c r="K302" s="2">
        <f t="shared" si="29"/>
        <v>-79</v>
      </c>
      <c r="L302" s="12" t="s">
        <v>3714</v>
      </c>
    </row>
    <row r="303" spans="1:12" x14ac:dyDescent="0.25">
      <c r="A303" s="11" t="s">
        <v>1702</v>
      </c>
      <c r="B303" s="2" t="str">
        <f t="shared" si="24"/>
        <v>Piccolo B</v>
      </c>
      <c r="C303" s="3">
        <v>302</v>
      </c>
      <c r="D303" s="17" t="s">
        <v>301</v>
      </c>
      <c r="E303" s="2" t="str">
        <f t="shared" si="25"/>
        <v>Dulcimer C</v>
      </c>
      <c r="F303" s="12">
        <v>302</v>
      </c>
      <c r="G303" s="17">
        <f t="shared" si="26"/>
        <v>389</v>
      </c>
      <c r="H303" s="2">
        <f t="shared" si="27"/>
        <v>87</v>
      </c>
      <c r="I303" s="3" t="s">
        <v>3714</v>
      </c>
      <c r="J303" s="17">
        <f t="shared" si="28"/>
        <v>223</v>
      </c>
      <c r="K303" s="2">
        <f t="shared" si="29"/>
        <v>-79</v>
      </c>
      <c r="L303" s="12" t="s">
        <v>3714</v>
      </c>
    </row>
    <row r="304" spans="1:12" x14ac:dyDescent="0.25">
      <c r="A304" s="11" t="s">
        <v>1703</v>
      </c>
      <c r="B304" s="2" t="str">
        <f t="shared" si="24"/>
        <v>Piccolo C</v>
      </c>
      <c r="C304" s="3">
        <v>303</v>
      </c>
      <c r="D304" s="17" t="s">
        <v>302</v>
      </c>
      <c r="E304" s="2" t="str">
        <f t="shared" si="25"/>
        <v>Shamisen A</v>
      </c>
      <c r="F304" s="12">
        <v>303</v>
      </c>
      <c r="G304" s="17">
        <f t="shared" si="26"/>
        <v>390</v>
      </c>
      <c r="H304" s="2">
        <f t="shared" si="27"/>
        <v>87</v>
      </c>
      <c r="I304" s="3" t="s">
        <v>3714</v>
      </c>
      <c r="J304" s="17">
        <f t="shared" si="28"/>
        <v>224</v>
      </c>
      <c r="K304" s="2">
        <f t="shared" si="29"/>
        <v>-79</v>
      </c>
      <c r="L304" s="12" t="s">
        <v>3714</v>
      </c>
    </row>
    <row r="305" spans="1:12" x14ac:dyDescent="0.25">
      <c r="A305" s="11" t="s">
        <v>1704</v>
      </c>
      <c r="B305" s="2" t="str">
        <f t="shared" si="24"/>
        <v>Pan Flute</v>
      </c>
      <c r="C305" s="3">
        <v>304</v>
      </c>
      <c r="D305" s="17" t="s">
        <v>303</v>
      </c>
      <c r="E305" s="2" t="str">
        <f t="shared" si="25"/>
        <v>Shamisen B</v>
      </c>
      <c r="F305" s="12">
        <v>304</v>
      </c>
      <c r="G305" s="17">
        <f t="shared" si="26"/>
        <v>391</v>
      </c>
      <c r="H305" s="2">
        <f t="shared" si="27"/>
        <v>87</v>
      </c>
      <c r="I305" s="3" t="s">
        <v>3714</v>
      </c>
      <c r="J305" s="17">
        <f t="shared" si="28"/>
        <v>225</v>
      </c>
      <c r="K305" s="2">
        <f t="shared" si="29"/>
        <v>-79</v>
      </c>
      <c r="L305" s="12" t="s">
        <v>3714</v>
      </c>
    </row>
    <row r="306" spans="1:12" x14ac:dyDescent="0.25">
      <c r="A306" s="11" t="s">
        <v>1705</v>
      </c>
      <c r="B306" s="2" t="str">
        <f t="shared" si="24"/>
        <v>JD Rad Hose</v>
      </c>
      <c r="C306" s="3">
        <v>305</v>
      </c>
      <c r="D306" s="17" t="s">
        <v>304</v>
      </c>
      <c r="E306" s="2" t="str">
        <f t="shared" si="25"/>
        <v>Shamisen C</v>
      </c>
      <c r="F306" s="12">
        <v>305</v>
      </c>
      <c r="G306" s="17">
        <f t="shared" si="26"/>
        <v>0</v>
      </c>
      <c r="H306" s="2">
        <f t="shared" si="27"/>
        <v>0</v>
      </c>
      <c r="I306" s="3" t="s">
        <v>3714</v>
      </c>
      <c r="J306" s="17">
        <f t="shared" si="28"/>
        <v>226</v>
      </c>
      <c r="K306" s="2">
        <f t="shared" si="29"/>
        <v>-79</v>
      </c>
      <c r="L306" s="12" t="s">
        <v>3714</v>
      </c>
    </row>
    <row r="307" spans="1:12" x14ac:dyDescent="0.25">
      <c r="A307" s="11" t="s">
        <v>1706</v>
      </c>
      <c r="B307" s="2" t="str">
        <f t="shared" si="24"/>
        <v>Shakuhachi</v>
      </c>
      <c r="C307" s="3">
        <v>306</v>
      </c>
      <c r="D307" s="17" t="s">
        <v>305</v>
      </c>
      <c r="E307" s="2" t="str">
        <f t="shared" si="25"/>
        <v>Koto A</v>
      </c>
      <c r="F307" s="12">
        <v>306</v>
      </c>
      <c r="G307" s="17">
        <f t="shared" si="26"/>
        <v>392</v>
      </c>
      <c r="H307" s="2">
        <f t="shared" si="27"/>
        <v>86</v>
      </c>
      <c r="I307" s="3" t="s">
        <v>3714</v>
      </c>
      <c r="J307" s="17">
        <f t="shared" si="28"/>
        <v>227</v>
      </c>
      <c r="K307" s="2">
        <f t="shared" si="29"/>
        <v>-79</v>
      </c>
      <c r="L307" s="12" t="s">
        <v>3714</v>
      </c>
    </row>
    <row r="308" spans="1:12" x14ac:dyDescent="0.25">
      <c r="A308" s="11" t="s">
        <v>1707</v>
      </c>
      <c r="B308" s="2" t="str">
        <f t="shared" si="24"/>
        <v>JD Fl Push</v>
      </c>
      <c r="C308" s="3">
        <v>307</v>
      </c>
      <c r="D308" s="17" t="s">
        <v>306</v>
      </c>
      <c r="E308" s="2" t="str">
        <f t="shared" si="25"/>
        <v>Koto B</v>
      </c>
      <c r="F308" s="12">
        <v>307</v>
      </c>
      <c r="G308" s="17">
        <f t="shared" si="26"/>
        <v>393</v>
      </c>
      <c r="H308" s="2">
        <f t="shared" si="27"/>
        <v>86</v>
      </c>
      <c r="I308" s="3" t="s">
        <v>3714</v>
      </c>
      <c r="J308" s="17">
        <f t="shared" si="28"/>
        <v>228</v>
      </c>
      <c r="K308" s="2">
        <f t="shared" si="29"/>
        <v>-79</v>
      </c>
      <c r="L308" s="12" t="s">
        <v>3714</v>
      </c>
    </row>
    <row r="309" spans="1:12" x14ac:dyDescent="0.25">
      <c r="A309" s="11" t="s">
        <v>1708</v>
      </c>
      <c r="B309" s="2" t="str">
        <f t="shared" si="24"/>
        <v>Clarinet A</v>
      </c>
      <c r="C309" s="3">
        <v>308</v>
      </c>
      <c r="D309" s="17" t="s">
        <v>307</v>
      </c>
      <c r="E309" s="2" t="str">
        <f t="shared" si="25"/>
        <v>Koto C</v>
      </c>
      <c r="F309" s="12">
        <v>308</v>
      </c>
      <c r="G309" s="17">
        <f t="shared" si="26"/>
        <v>394</v>
      </c>
      <c r="H309" s="2">
        <f t="shared" si="27"/>
        <v>86</v>
      </c>
      <c r="I309" s="3" t="s">
        <v>3714</v>
      </c>
      <c r="J309" s="17">
        <f t="shared" si="28"/>
        <v>229</v>
      </c>
      <c r="K309" s="2">
        <f t="shared" si="29"/>
        <v>-79</v>
      </c>
      <c r="L309" s="12" t="s">
        <v>3714</v>
      </c>
    </row>
    <row r="310" spans="1:12" x14ac:dyDescent="0.25">
      <c r="A310" s="11" t="s">
        <v>1709</v>
      </c>
      <c r="B310" s="2" t="str">
        <f t="shared" si="24"/>
        <v>Clarinet B</v>
      </c>
      <c r="C310" s="3">
        <v>309</v>
      </c>
      <c r="D310" s="17" t="s">
        <v>308</v>
      </c>
      <c r="E310" s="2" t="str">
        <f t="shared" si="25"/>
        <v>FatAc.Bs p A</v>
      </c>
      <c r="F310" s="12">
        <v>309</v>
      </c>
      <c r="G310" s="17">
        <f t="shared" si="26"/>
        <v>395</v>
      </c>
      <c r="H310" s="2">
        <f t="shared" si="27"/>
        <v>86</v>
      </c>
      <c r="I310" s="3" t="s">
        <v>3714</v>
      </c>
      <c r="J310" s="17">
        <f t="shared" si="28"/>
        <v>0</v>
      </c>
      <c r="K310" s="2">
        <f t="shared" si="29"/>
        <v>0</v>
      </c>
      <c r="L310" s="12" t="s">
        <v>3714</v>
      </c>
    </row>
    <row r="311" spans="1:12" x14ac:dyDescent="0.25">
      <c r="A311" s="11" t="s">
        <v>1710</v>
      </c>
      <c r="B311" s="2" t="str">
        <f t="shared" si="24"/>
        <v>Clarinet C</v>
      </c>
      <c r="C311" s="3">
        <v>310</v>
      </c>
      <c r="D311" s="17" t="s">
        <v>309</v>
      </c>
      <c r="E311" s="2" t="str">
        <f t="shared" si="25"/>
        <v>FatAc.Bs p B</v>
      </c>
      <c r="F311" s="12">
        <v>310</v>
      </c>
      <c r="G311" s="17">
        <f t="shared" si="26"/>
        <v>396</v>
      </c>
      <c r="H311" s="2">
        <f t="shared" si="27"/>
        <v>86</v>
      </c>
      <c r="I311" s="3" t="s">
        <v>3714</v>
      </c>
      <c r="J311" s="17">
        <f t="shared" si="28"/>
        <v>0</v>
      </c>
      <c r="K311" s="2">
        <f t="shared" si="29"/>
        <v>0</v>
      </c>
      <c r="L311" s="12" t="s">
        <v>3714</v>
      </c>
    </row>
    <row r="312" spans="1:12" x14ac:dyDescent="0.25">
      <c r="A312" s="11" t="s">
        <v>1711</v>
      </c>
      <c r="B312" s="2" t="str">
        <f t="shared" si="24"/>
        <v>Oboe Mezzo A</v>
      </c>
      <c r="C312" s="3">
        <v>311</v>
      </c>
      <c r="D312" s="17" t="s">
        <v>310</v>
      </c>
      <c r="E312" s="2" t="str">
        <f t="shared" si="25"/>
        <v>FatAc.Bs p C</v>
      </c>
      <c r="F312" s="12">
        <v>311</v>
      </c>
      <c r="G312" s="17">
        <f t="shared" si="26"/>
        <v>397</v>
      </c>
      <c r="H312" s="2">
        <f t="shared" si="27"/>
        <v>86</v>
      </c>
      <c r="I312" s="3" t="s">
        <v>3714</v>
      </c>
      <c r="J312" s="17">
        <f t="shared" si="28"/>
        <v>0</v>
      </c>
      <c r="K312" s="2">
        <f t="shared" si="29"/>
        <v>0</v>
      </c>
      <c r="L312" s="12" t="s">
        <v>3714</v>
      </c>
    </row>
    <row r="313" spans="1:12" x14ac:dyDescent="0.25">
      <c r="A313" s="11" t="s">
        <v>1712</v>
      </c>
      <c r="B313" s="2" t="str">
        <f t="shared" si="24"/>
        <v>Oboe Mezzo B</v>
      </c>
      <c r="C313" s="3">
        <v>312</v>
      </c>
      <c r="D313" s="17" t="s">
        <v>311</v>
      </c>
      <c r="E313" s="2" t="str">
        <f t="shared" si="25"/>
        <v>FatAc.Bs f A</v>
      </c>
      <c r="F313" s="12">
        <v>312</v>
      </c>
      <c r="G313" s="17">
        <f t="shared" si="26"/>
        <v>398</v>
      </c>
      <c r="H313" s="2">
        <f t="shared" si="27"/>
        <v>86</v>
      </c>
      <c r="I313" s="3" t="s">
        <v>3714</v>
      </c>
      <c r="J313" s="17">
        <f t="shared" si="28"/>
        <v>0</v>
      </c>
      <c r="K313" s="2">
        <f t="shared" si="29"/>
        <v>0</v>
      </c>
      <c r="L313" s="12" t="s">
        <v>3714</v>
      </c>
    </row>
    <row r="314" spans="1:12" x14ac:dyDescent="0.25">
      <c r="A314" s="11" t="s">
        <v>1713</v>
      </c>
      <c r="B314" s="2" t="str">
        <f t="shared" si="24"/>
        <v>Oboe Mezzo C</v>
      </c>
      <c r="C314" s="3">
        <v>313</v>
      </c>
      <c r="D314" s="17" t="s">
        <v>312</v>
      </c>
      <c r="E314" s="2" t="str">
        <f t="shared" si="25"/>
        <v>FatAc.Bs f B</v>
      </c>
      <c r="F314" s="12">
        <v>313</v>
      </c>
      <c r="G314" s="17">
        <f t="shared" si="26"/>
        <v>399</v>
      </c>
      <c r="H314" s="2">
        <f t="shared" si="27"/>
        <v>86</v>
      </c>
      <c r="I314" s="3" t="s">
        <v>3714</v>
      </c>
      <c r="J314" s="17">
        <f t="shared" si="28"/>
        <v>0</v>
      </c>
      <c r="K314" s="2">
        <f t="shared" si="29"/>
        <v>0</v>
      </c>
      <c r="L314" s="12" t="s">
        <v>3714</v>
      </c>
    </row>
    <row r="315" spans="1:12" x14ac:dyDescent="0.25">
      <c r="A315" s="11" t="s">
        <v>1714</v>
      </c>
      <c r="B315" s="2" t="str">
        <f t="shared" si="24"/>
        <v>Oboe Forte A</v>
      </c>
      <c r="C315" s="3">
        <v>314</v>
      </c>
      <c r="D315" s="17" t="s">
        <v>313</v>
      </c>
      <c r="E315" s="2" t="str">
        <f t="shared" si="25"/>
        <v>FatAc.Bs f C</v>
      </c>
      <c r="F315" s="12">
        <v>314</v>
      </c>
      <c r="G315" s="17">
        <f t="shared" si="26"/>
        <v>400</v>
      </c>
      <c r="H315" s="2">
        <f t="shared" si="27"/>
        <v>86</v>
      </c>
      <c r="I315" s="3" t="s">
        <v>3714</v>
      </c>
      <c r="J315" s="17">
        <f t="shared" si="28"/>
        <v>0</v>
      </c>
      <c r="K315" s="2">
        <f t="shared" si="29"/>
        <v>0</v>
      </c>
      <c r="L315" s="12" t="s">
        <v>3714</v>
      </c>
    </row>
    <row r="316" spans="1:12" x14ac:dyDescent="0.25">
      <c r="A316" s="11" t="s">
        <v>1715</v>
      </c>
      <c r="B316" s="2" t="str">
        <f t="shared" si="24"/>
        <v>Oboe Forte B</v>
      </c>
      <c r="C316" s="3">
        <v>315</v>
      </c>
      <c r="D316" s="17" t="s">
        <v>314</v>
      </c>
      <c r="E316" s="2" t="str">
        <f t="shared" si="25"/>
        <v>Ac.Bass A</v>
      </c>
      <c r="F316" s="12">
        <v>315</v>
      </c>
      <c r="G316" s="17">
        <f t="shared" si="26"/>
        <v>401</v>
      </c>
      <c r="H316" s="2">
        <f t="shared" si="27"/>
        <v>86</v>
      </c>
      <c r="I316" s="3" t="s">
        <v>3714</v>
      </c>
      <c r="J316" s="17">
        <f t="shared" si="28"/>
        <v>230</v>
      </c>
      <c r="K316" s="2">
        <f t="shared" si="29"/>
        <v>-85</v>
      </c>
      <c r="L316" s="12" t="s">
        <v>3714</v>
      </c>
    </row>
    <row r="317" spans="1:12" x14ac:dyDescent="0.25">
      <c r="A317" s="11" t="s">
        <v>1716</v>
      </c>
      <c r="B317" s="2" t="str">
        <f t="shared" si="24"/>
        <v>Oboe Forte C</v>
      </c>
      <c r="C317" s="3">
        <v>316</v>
      </c>
      <c r="D317" s="17" t="s">
        <v>315</v>
      </c>
      <c r="E317" s="2" t="str">
        <f t="shared" si="25"/>
        <v>Ac.Bass B</v>
      </c>
      <c r="F317" s="12">
        <v>316</v>
      </c>
      <c r="G317" s="17">
        <f t="shared" si="26"/>
        <v>402</v>
      </c>
      <c r="H317" s="2">
        <f t="shared" si="27"/>
        <v>86</v>
      </c>
      <c r="I317" s="3" t="s">
        <v>3714</v>
      </c>
      <c r="J317" s="17">
        <f t="shared" si="28"/>
        <v>231</v>
      </c>
      <c r="K317" s="2">
        <f t="shared" si="29"/>
        <v>-85</v>
      </c>
      <c r="L317" s="12" t="s">
        <v>3714</v>
      </c>
    </row>
    <row r="318" spans="1:12" x14ac:dyDescent="0.25">
      <c r="A318" s="11" t="s">
        <v>1717</v>
      </c>
      <c r="B318" s="2" t="str">
        <f t="shared" si="24"/>
        <v>E.Horn A</v>
      </c>
      <c r="C318" s="3">
        <v>317</v>
      </c>
      <c r="D318" s="17" t="s">
        <v>316</v>
      </c>
      <c r="E318" s="2" t="str">
        <f t="shared" si="25"/>
        <v>Ac.Bass C</v>
      </c>
      <c r="F318" s="12">
        <v>317</v>
      </c>
      <c r="G318" s="17">
        <f t="shared" si="26"/>
        <v>403</v>
      </c>
      <c r="H318" s="2">
        <f t="shared" si="27"/>
        <v>86</v>
      </c>
      <c r="I318" s="3" t="s">
        <v>3714</v>
      </c>
      <c r="J318" s="17">
        <f t="shared" si="28"/>
        <v>232</v>
      </c>
      <c r="K318" s="2">
        <f t="shared" si="29"/>
        <v>-85</v>
      </c>
      <c r="L318" s="12" t="s">
        <v>3714</v>
      </c>
    </row>
    <row r="319" spans="1:12" x14ac:dyDescent="0.25">
      <c r="A319" s="11" t="s">
        <v>1718</v>
      </c>
      <c r="B319" s="2" t="str">
        <f t="shared" si="24"/>
        <v>E.Horn B</v>
      </c>
      <c r="C319" s="3">
        <v>318</v>
      </c>
      <c r="D319" s="17" t="s">
        <v>317</v>
      </c>
      <c r="E319" s="2" t="str">
        <f t="shared" si="25"/>
        <v>Fng.EB1 mf A</v>
      </c>
      <c r="F319" s="12">
        <v>318</v>
      </c>
      <c r="G319" s="17">
        <f t="shared" si="26"/>
        <v>404</v>
      </c>
      <c r="H319" s="2">
        <f t="shared" si="27"/>
        <v>86</v>
      </c>
      <c r="I319" s="3" t="s">
        <v>3714</v>
      </c>
      <c r="J319" s="17">
        <f t="shared" si="28"/>
        <v>0</v>
      </c>
      <c r="K319" s="2">
        <f t="shared" si="29"/>
        <v>0</v>
      </c>
      <c r="L319" s="12" t="s">
        <v>3714</v>
      </c>
    </row>
    <row r="320" spans="1:12" x14ac:dyDescent="0.25">
      <c r="A320" s="11" t="s">
        <v>1719</v>
      </c>
      <c r="B320" s="2" t="str">
        <f t="shared" si="24"/>
        <v>E.Horn C</v>
      </c>
      <c r="C320" s="3">
        <v>319</v>
      </c>
      <c r="D320" s="17" t="s">
        <v>318</v>
      </c>
      <c r="E320" s="2" t="str">
        <f t="shared" si="25"/>
        <v>Fng.EB1 mf B</v>
      </c>
      <c r="F320" s="12">
        <v>319</v>
      </c>
      <c r="G320" s="17">
        <f t="shared" si="26"/>
        <v>405</v>
      </c>
      <c r="H320" s="2">
        <f t="shared" si="27"/>
        <v>86</v>
      </c>
      <c r="I320" s="3" t="s">
        <v>3714</v>
      </c>
      <c r="J320" s="17">
        <f t="shared" si="28"/>
        <v>0</v>
      </c>
      <c r="K320" s="2">
        <f t="shared" si="29"/>
        <v>0</v>
      </c>
      <c r="L320" s="12" t="s">
        <v>3714</v>
      </c>
    </row>
    <row r="321" spans="1:12" x14ac:dyDescent="0.25">
      <c r="A321" s="11" t="s">
        <v>1720</v>
      </c>
      <c r="B321" s="2" t="str">
        <f t="shared" si="24"/>
        <v>Bassoon A</v>
      </c>
      <c r="C321" s="3">
        <v>320</v>
      </c>
      <c r="D321" s="17" t="s">
        <v>319</v>
      </c>
      <c r="E321" s="2" t="str">
        <f t="shared" si="25"/>
        <v>Fng.EB1 mf C</v>
      </c>
      <c r="F321" s="12">
        <v>320</v>
      </c>
      <c r="G321" s="17">
        <f t="shared" si="26"/>
        <v>406</v>
      </c>
      <c r="H321" s="2">
        <f t="shared" si="27"/>
        <v>86</v>
      </c>
      <c r="I321" s="3" t="s">
        <v>3714</v>
      </c>
      <c r="J321" s="17">
        <f t="shared" si="28"/>
        <v>0</v>
      </c>
      <c r="K321" s="2">
        <f t="shared" si="29"/>
        <v>0</v>
      </c>
      <c r="L321" s="12" t="s">
        <v>3714</v>
      </c>
    </row>
    <row r="322" spans="1:12" x14ac:dyDescent="0.25">
      <c r="A322" s="11" t="s">
        <v>1721</v>
      </c>
      <c r="B322" s="2" t="str">
        <f t="shared" ref="B322:B385" si="30">_xlfn.TEXTAFTER(A322," ",1)</f>
        <v>Bassoon B</v>
      </c>
      <c r="C322" s="3">
        <v>321</v>
      </c>
      <c r="D322" s="17" t="s">
        <v>320</v>
      </c>
      <c r="E322" s="2" t="str">
        <f t="shared" ref="E322:E385" si="31">_xlfn.TEXTAFTER(D322," ",1)</f>
        <v>Fng.EB1 ff A</v>
      </c>
      <c r="F322" s="12">
        <v>321</v>
      </c>
      <c r="G322" s="17">
        <f t="shared" si="26"/>
        <v>407</v>
      </c>
      <c r="H322" s="2">
        <f t="shared" si="27"/>
        <v>86</v>
      </c>
      <c r="I322" s="3" t="s">
        <v>3714</v>
      </c>
      <c r="J322" s="17">
        <f t="shared" si="28"/>
        <v>0</v>
      </c>
      <c r="K322" s="2">
        <f t="shared" si="29"/>
        <v>0</v>
      </c>
      <c r="L322" s="12" t="s">
        <v>3714</v>
      </c>
    </row>
    <row r="323" spans="1:12" x14ac:dyDescent="0.25">
      <c r="A323" s="11" t="s">
        <v>1722</v>
      </c>
      <c r="B323" s="2" t="str">
        <f t="shared" si="30"/>
        <v>Bassoon C</v>
      </c>
      <c r="C323" s="3">
        <v>322</v>
      </c>
      <c r="D323" s="17" t="s">
        <v>321</v>
      </c>
      <c r="E323" s="2" t="str">
        <f t="shared" si="31"/>
        <v>Fng.EB1 ff B</v>
      </c>
      <c r="F323" s="12">
        <v>322</v>
      </c>
      <c r="G323" s="17">
        <f t="shared" ref="G323:G386" si="32">_xlfn.IFNA(_xlfn.XMATCH(B323,E$2:E$1402,0,1),0)</f>
        <v>408</v>
      </c>
      <c r="H323" s="2">
        <f t="shared" ref="H323:H386" si="33">IF(G323=0,0,G323-C323)</f>
        <v>86</v>
      </c>
      <c r="I323" s="3" t="s">
        <v>3714</v>
      </c>
      <c r="J323" s="17">
        <f t="shared" ref="J323:J386" si="34">_xlfn.IFNA(_xlfn.XMATCH(E323,B$2:B$1229,0,1),0)</f>
        <v>0</v>
      </c>
      <c r="K323" s="2">
        <f t="shared" ref="K323:K386" si="35">IF(J323=0,0,J323-F323)</f>
        <v>0</v>
      </c>
      <c r="L323" s="12" t="s">
        <v>3714</v>
      </c>
    </row>
    <row r="324" spans="1:12" x14ac:dyDescent="0.25">
      <c r="A324" s="11" t="s">
        <v>1723</v>
      </c>
      <c r="B324" s="2" t="str">
        <f t="shared" si="30"/>
        <v>Recorder A</v>
      </c>
      <c r="C324" s="3">
        <v>323</v>
      </c>
      <c r="D324" s="17" t="s">
        <v>322</v>
      </c>
      <c r="E324" s="2" t="str">
        <f t="shared" si="31"/>
        <v>Fng.EB1 ff C</v>
      </c>
      <c r="F324" s="12">
        <v>323</v>
      </c>
      <c r="G324" s="17">
        <f t="shared" si="32"/>
        <v>409</v>
      </c>
      <c r="H324" s="2">
        <f t="shared" si="33"/>
        <v>86</v>
      </c>
      <c r="I324" s="3" t="s">
        <v>3714</v>
      </c>
      <c r="J324" s="17">
        <f t="shared" si="34"/>
        <v>0</v>
      </c>
      <c r="K324" s="2">
        <f t="shared" si="35"/>
        <v>0</v>
      </c>
      <c r="L324" s="12" t="s">
        <v>3714</v>
      </c>
    </row>
    <row r="325" spans="1:12" x14ac:dyDescent="0.25">
      <c r="A325" s="11" t="s">
        <v>1724</v>
      </c>
      <c r="B325" s="2" t="str">
        <f t="shared" si="30"/>
        <v>Recorder B</v>
      </c>
      <c r="C325" s="3">
        <v>324</v>
      </c>
      <c r="D325" s="17" t="s">
        <v>323</v>
      </c>
      <c r="E325" s="2" t="str">
        <f t="shared" si="31"/>
        <v>Fng.EB2 mf A</v>
      </c>
      <c r="F325" s="12">
        <v>324</v>
      </c>
      <c r="G325" s="17">
        <f t="shared" si="32"/>
        <v>410</v>
      </c>
      <c r="H325" s="2">
        <f t="shared" si="33"/>
        <v>86</v>
      </c>
      <c r="I325" s="3" t="s">
        <v>3714</v>
      </c>
      <c r="J325" s="17">
        <f t="shared" si="34"/>
        <v>0</v>
      </c>
      <c r="K325" s="2">
        <f t="shared" si="35"/>
        <v>0</v>
      </c>
      <c r="L325" s="12" t="s">
        <v>3714</v>
      </c>
    </row>
    <row r="326" spans="1:12" x14ac:dyDescent="0.25">
      <c r="A326" s="11" t="s">
        <v>1725</v>
      </c>
      <c r="B326" s="2" t="str">
        <f t="shared" si="30"/>
        <v>Recorder C</v>
      </c>
      <c r="C326" s="3">
        <v>325</v>
      </c>
      <c r="D326" s="17" t="s">
        <v>324</v>
      </c>
      <c r="E326" s="2" t="str">
        <f t="shared" si="31"/>
        <v>Fng.EB2 mf B</v>
      </c>
      <c r="F326" s="12">
        <v>325</v>
      </c>
      <c r="G326" s="17">
        <f t="shared" si="32"/>
        <v>411</v>
      </c>
      <c r="H326" s="2">
        <f t="shared" si="33"/>
        <v>86</v>
      </c>
      <c r="I326" s="3" t="s">
        <v>3714</v>
      </c>
      <c r="J326" s="17">
        <f t="shared" si="34"/>
        <v>0</v>
      </c>
      <c r="K326" s="2">
        <f t="shared" si="35"/>
        <v>0</v>
      </c>
      <c r="L326" s="12" t="s">
        <v>3714</v>
      </c>
    </row>
    <row r="327" spans="1:12" x14ac:dyDescent="0.25">
      <c r="A327" s="11" t="s">
        <v>1726</v>
      </c>
      <c r="B327" s="2" t="str">
        <f t="shared" si="30"/>
        <v>SopranoSax A</v>
      </c>
      <c r="C327" s="3">
        <v>326</v>
      </c>
      <c r="D327" s="17" t="s">
        <v>325</v>
      </c>
      <c r="E327" s="2" t="str">
        <f t="shared" si="31"/>
        <v>Fng.EB2 mf C</v>
      </c>
      <c r="F327" s="12">
        <v>326</v>
      </c>
      <c r="G327" s="17">
        <f t="shared" si="32"/>
        <v>412</v>
      </c>
      <c r="H327" s="2">
        <f t="shared" si="33"/>
        <v>86</v>
      </c>
      <c r="I327" s="3" t="s">
        <v>3714</v>
      </c>
      <c r="J327" s="17">
        <f t="shared" si="34"/>
        <v>0</v>
      </c>
      <c r="K327" s="2">
        <f t="shared" si="35"/>
        <v>0</v>
      </c>
      <c r="L327" s="12" t="s">
        <v>3714</v>
      </c>
    </row>
    <row r="328" spans="1:12" x14ac:dyDescent="0.25">
      <c r="A328" s="11" t="s">
        <v>1727</v>
      </c>
      <c r="B328" s="2" t="str">
        <f t="shared" si="30"/>
        <v>SopranoSax B</v>
      </c>
      <c r="C328" s="3">
        <v>327</v>
      </c>
      <c r="D328" s="17" t="s">
        <v>326</v>
      </c>
      <c r="E328" s="2" t="str">
        <f t="shared" si="31"/>
        <v>Fng.EB2 f A</v>
      </c>
      <c r="F328" s="12">
        <v>327</v>
      </c>
      <c r="G328" s="17">
        <f t="shared" si="32"/>
        <v>413</v>
      </c>
      <c r="H328" s="2">
        <f t="shared" si="33"/>
        <v>86</v>
      </c>
      <c r="I328" s="3" t="s">
        <v>3714</v>
      </c>
      <c r="J328" s="17">
        <f t="shared" si="34"/>
        <v>0</v>
      </c>
      <c r="K328" s="2">
        <f t="shared" si="35"/>
        <v>0</v>
      </c>
      <c r="L328" s="12" t="s">
        <v>3714</v>
      </c>
    </row>
    <row r="329" spans="1:12" x14ac:dyDescent="0.25">
      <c r="A329" s="11" t="s">
        <v>1728</v>
      </c>
      <c r="B329" s="2" t="str">
        <f t="shared" si="30"/>
        <v>SopranoSax C</v>
      </c>
      <c r="C329" s="3">
        <v>328</v>
      </c>
      <c r="D329" s="17" t="s">
        <v>327</v>
      </c>
      <c r="E329" s="2" t="str">
        <f t="shared" si="31"/>
        <v>Fng.EB2 f B</v>
      </c>
      <c r="F329" s="12">
        <v>328</v>
      </c>
      <c r="G329" s="17">
        <f t="shared" si="32"/>
        <v>414</v>
      </c>
      <c r="H329" s="2">
        <f t="shared" si="33"/>
        <v>86</v>
      </c>
      <c r="I329" s="3" t="s">
        <v>3714</v>
      </c>
      <c r="J329" s="17">
        <f t="shared" si="34"/>
        <v>0</v>
      </c>
      <c r="K329" s="2">
        <f t="shared" si="35"/>
        <v>0</v>
      </c>
      <c r="L329" s="12" t="s">
        <v>3714</v>
      </c>
    </row>
    <row r="330" spans="1:12" x14ac:dyDescent="0.25">
      <c r="A330" s="11" t="s">
        <v>1729</v>
      </c>
      <c r="B330" s="2" t="str">
        <f t="shared" si="30"/>
        <v>Alto Sax Vib</v>
      </c>
      <c r="C330" s="3">
        <v>329</v>
      </c>
      <c r="D330" s="17" t="s">
        <v>328</v>
      </c>
      <c r="E330" s="2" t="str">
        <f t="shared" si="31"/>
        <v>Fng.EB2 f C</v>
      </c>
      <c r="F330" s="12">
        <v>329</v>
      </c>
      <c r="G330" s="17">
        <f t="shared" si="32"/>
        <v>415</v>
      </c>
      <c r="H330" s="2">
        <f t="shared" si="33"/>
        <v>86</v>
      </c>
      <c r="I330" s="3" t="s">
        <v>3714</v>
      </c>
      <c r="J330" s="17">
        <f t="shared" si="34"/>
        <v>0</v>
      </c>
      <c r="K330" s="2">
        <f t="shared" si="35"/>
        <v>0</v>
      </c>
      <c r="L330" s="12" t="s">
        <v>3714</v>
      </c>
    </row>
    <row r="331" spans="1:12" x14ac:dyDescent="0.25">
      <c r="A331" s="11" t="s">
        <v>1730</v>
      </c>
      <c r="B331" s="2" t="str">
        <f t="shared" si="30"/>
        <v>Soft Alto A</v>
      </c>
      <c r="C331" s="3">
        <v>330</v>
      </c>
      <c r="D331" s="17" t="s">
        <v>329</v>
      </c>
      <c r="E331" s="2" t="str">
        <f t="shared" si="31"/>
        <v>FngrCmp Bs A</v>
      </c>
      <c r="F331" s="12">
        <v>330</v>
      </c>
      <c r="G331" s="17">
        <f t="shared" si="32"/>
        <v>416</v>
      </c>
      <c r="H331" s="2">
        <f t="shared" si="33"/>
        <v>86</v>
      </c>
      <c r="I331" s="3" t="s">
        <v>3714</v>
      </c>
      <c r="J331" s="17">
        <f t="shared" si="34"/>
        <v>233</v>
      </c>
      <c r="K331" s="2">
        <f t="shared" si="35"/>
        <v>-97</v>
      </c>
      <c r="L331" s="12" t="s">
        <v>3714</v>
      </c>
    </row>
    <row r="332" spans="1:12" x14ac:dyDescent="0.25">
      <c r="A332" s="11" t="s">
        <v>1731</v>
      </c>
      <c r="B332" s="2" t="str">
        <f t="shared" si="30"/>
        <v>Soft Alto B</v>
      </c>
      <c r="C332" s="3">
        <v>331</v>
      </c>
      <c r="D332" s="17" t="s">
        <v>330</v>
      </c>
      <c r="E332" s="2" t="str">
        <f t="shared" si="31"/>
        <v>FngrCmp Bs B</v>
      </c>
      <c r="F332" s="12">
        <v>331</v>
      </c>
      <c r="G332" s="17">
        <f t="shared" si="32"/>
        <v>417</v>
      </c>
      <c r="H332" s="2">
        <f t="shared" si="33"/>
        <v>86</v>
      </c>
      <c r="I332" s="3" t="s">
        <v>3714</v>
      </c>
      <c r="J332" s="17">
        <f t="shared" si="34"/>
        <v>234</v>
      </c>
      <c r="K332" s="2">
        <f t="shared" si="35"/>
        <v>-97</v>
      </c>
      <c r="L332" s="12" t="s">
        <v>3714</v>
      </c>
    </row>
    <row r="333" spans="1:12" x14ac:dyDescent="0.25">
      <c r="A333" s="11" t="s">
        <v>1732</v>
      </c>
      <c r="B333" s="2" t="str">
        <f t="shared" si="30"/>
        <v>Soft Alto C</v>
      </c>
      <c r="C333" s="3">
        <v>332</v>
      </c>
      <c r="D333" s="17" t="s">
        <v>331</v>
      </c>
      <c r="E333" s="2" t="str">
        <f t="shared" si="31"/>
        <v>FngrCmp Bs C</v>
      </c>
      <c r="F333" s="12">
        <v>332</v>
      </c>
      <c r="G333" s="17">
        <f t="shared" si="32"/>
        <v>418</v>
      </c>
      <c r="H333" s="2">
        <f t="shared" si="33"/>
        <v>86</v>
      </c>
      <c r="I333" s="3" t="s">
        <v>3714</v>
      </c>
      <c r="J333" s="17">
        <f t="shared" si="34"/>
        <v>235</v>
      </c>
      <c r="K333" s="2">
        <f t="shared" si="35"/>
        <v>-97</v>
      </c>
      <c r="L333" s="12" t="s">
        <v>3714</v>
      </c>
    </row>
    <row r="334" spans="1:12" x14ac:dyDescent="0.25">
      <c r="A334" s="11" t="s">
        <v>1733</v>
      </c>
      <c r="B334" s="2" t="str">
        <f t="shared" si="30"/>
        <v>Wide Sax A</v>
      </c>
      <c r="C334" s="3">
        <v>333</v>
      </c>
      <c r="D334" s="17" t="s">
        <v>332</v>
      </c>
      <c r="E334" s="2" t="str">
        <f t="shared" si="31"/>
        <v>Finger Bs A</v>
      </c>
      <c r="F334" s="12">
        <v>333</v>
      </c>
      <c r="G334" s="17">
        <f t="shared" si="32"/>
        <v>419</v>
      </c>
      <c r="H334" s="2">
        <f t="shared" si="33"/>
        <v>86</v>
      </c>
      <c r="I334" s="3" t="s">
        <v>3714</v>
      </c>
      <c r="J334" s="17">
        <f t="shared" si="34"/>
        <v>236</v>
      </c>
      <c r="K334" s="2">
        <f t="shared" si="35"/>
        <v>-97</v>
      </c>
      <c r="L334" s="12" t="s">
        <v>3714</v>
      </c>
    </row>
    <row r="335" spans="1:12" x14ac:dyDescent="0.25">
      <c r="A335" s="11" t="s">
        <v>1734</v>
      </c>
      <c r="B335" s="2" t="str">
        <f t="shared" si="30"/>
        <v>Wide Sax B</v>
      </c>
      <c r="C335" s="3">
        <v>334</v>
      </c>
      <c r="D335" s="17" t="s">
        <v>333</v>
      </c>
      <c r="E335" s="2" t="str">
        <f t="shared" si="31"/>
        <v>Finger Bs B</v>
      </c>
      <c r="F335" s="12">
        <v>334</v>
      </c>
      <c r="G335" s="17">
        <f t="shared" si="32"/>
        <v>420</v>
      </c>
      <c r="H335" s="2">
        <f t="shared" si="33"/>
        <v>86</v>
      </c>
      <c r="I335" s="3" t="s">
        <v>3714</v>
      </c>
      <c r="J335" s="17">
        <f t="shared" si="34"/>
        <v>237</v>
      </c>
      <c r="K335" s="2">
        <f t="shared" si="35"/>
        <v>-97</v>
      </c>
      <c r="L335" s="12" t="s">
        <v>3714</v>
      </c>
    </row>
    <row r="336" spans="1:12" x14ac:dyDescent="0.25">
      <c r="A336" s="11" t="s">
        <v>1735</v>
      </c>
      <c r="B336" s="2" t="str">
        <f t="shared" si="30"/>
        <v>Wide Sax C</v>
      </c>
      <c r="C336" s="3">
        <v>335</v>
      </c>
      <c r="D336" s="17" t="s">
        <v>334</v>
      </c>
      <c r="E336" s="2" t="str">
        <f t="shared" si="31"/>
        <v>Finger Bs C</v>
      </c>
      <c r="F336" s="12">
        <v>335</v>
      </c>
      <c r="G336" s="17">
        <f t="shared" si="32"/>
        <v>421</v>
      </c>
      <c r="H336" s="2">
        <f t="shared" si="33"/>
        <v>86</v>
      </c>
      <c r="I336" s="3" t="s">
        <v>3714</v>
      </c>
      <c r="J336" s="17">
        <f t="shared" si="34"/>
        <v>238</v>
      </c>
      <c r="K336" s="2">
        <f t="shared" si="35"/>
        <v>-97</v>
      </c>
      <c r="L336" s="12" t="s">
        <v>3714</v>
      </c>
    </row>
    <row r="337" spans="1:12" x14ac:dyDescent="0.25">
      <c r="A337" s="11" t="s">
        <v>1736</v>
      </c>
      <c r="B337" s="2" t="str">
        <f t="shared" si="30"/>
        <v>BreathySax A</v>
      </c>
      <c r="C337" s="3">
        <v>336</v>
      </c>
      <c r="D337" s="17" t="s">
        <v>335</v>
      </c>
      <c r="E337" s="2" t="str">
        <f t="shared" si="31"/>
        <v>Precision Bs</v>
      </c>
      <c r="F337" s="12">
        <v>336</v>
      </c>
      <c r="G337" s="17">
        <f t="shared" si="32"/>
        <v>422</v>
      </c>
      <c r="H337" s="2">
        <f t="shared" si="33"/>
        <v>86</v>
      </c>
      <c r="I337" s="3" t="s">
        <v>3714</v>
      </c>
      <c r="J337" s="17">
        <f t="shared" si="34"/>
        <v>239</v>
      </c>
      <c r="K337" s="2">
        <f t="shared" si="35"/>
        <v>-97</v>
      </c>
      <c r="L337" s="12" t="s">
        <v>3714</v>
      </c>
    </row>
    <row r="338" spans="1:12" x14ac:dyDescent="0.25">
      <c r="A338" s="11" t="s">
        <v>1737</v>
      </c>
      <c r="B338" s="2" t="str">
        <f t="shared" si="30"/>
        <v>BreathySax B</v>
      </c>
      <c r="C338" s="3">
        <v>337</v>
      </c>
      <c r="D338" s="17" t="s">
        <v>336</v>
      </c>
      <c r="E338" s="2" t="str">
        <f t="shared" si="31"/>
        <v>ThumbMtBs pA</v>
      </c>
      <c r="F338" s="12">
        <v>337</v>
      </c>
      <c r="G338" s="17">
        <f t="shared" si="32"/>
        <v>423</v>
      </c>
      <c r="H338" s="2">
        <f t="shared" si="33"/>
        <v>86</v>
      </c>
      <c r="I338" s="3" t="s">
        <v>3714</v>
      </c>
      <c r="J338" s="17">
        <f t="shared" si="34"/>
        <v>246</v>
      </c>
      <c r="K338" s="2">
        <f t="shared" si="35"/>
        <v>-91</v>
      </c>
      <c r="L338" s="12" t="s">
        <v>3714</v>
      </c>
    </row>
    <row r="339" spans="1:12" x14ac:dyDescent="0.25">
      <c r="A339" s="11" t="s">
        <v>1738</v>
      </c>
      <c r="B339" s="2" t="str">
        <f t="shared" si="30"/>
        <v>BreathySax C</v>
      </c>
      <c r="C339" s="3">
        <v>338</v>
      </c>
      <c r="D339" s="17" t="s">
        <v>337</v>
      </c>
      <c r="E339" s="2" t="str">
        <f t="shared" si="31"/>
        <v>ThumbMtBs pB</v>
      </c>
      <c r="F339" s="12">
        <v>338</v>
      </c>
      <c r="G339" s="17">
        <f t="shared" si="32"/>
        <v>424</v>
      </c>
      <c r="H339" s="2">
        <f t="shared" si="33"/>
        <v>86</v>
      </c>
      <c r="I339" s="3" t="s">
        <v>3714</v>
      </c>
      <c r="J339" s="17">
        <f t="shared" si="34"/>
        <v>247</v>
      </c>
      <c r="K339" s="2">
        <f t="shared" si="35"/>
        <v>-91</v>
      </c>
      <c r="L339" s="12" t="s">
        <v>3714</v>
      </c>
    </row>
    <row r="340" spans="1:12" x14ac:dyDescent="0.25">
      <c r="A340" s="11" t="s">
        <v>1739</v>
      </c>
      <c r="B340" s="2" t="str">
        <f t="shared" si="30"/>
        <v>Tenor Sax A</v>
      </c>
      <c r="C340" s="3">
        <v>339</v>
      </c>
      <c r="D340" s="17" t="s">
        <v>338</v>
      </c>
      <c r="E340" s="2" t="str">
        <f t="shared" si="31"/>
        <v>ThumbMtBs pC</v>
      </c>
      <c r="F340" s="12">
        <v>339</v>
      </c>
      <c r="G340" s="17">
        <f t="shared" si="32"/>
        <v>426</v>
      </c>
      <c r="H340" s="2">
        <f t="shared" si="33"/>
        <v>87</v>
      </c>
      <c r="I340" s="3" t="s">
        <v>3714</v>
      </c>
      <c r="J340" s="17">
        <f t="shared" si="34"/>
        <v>248</v>
      </c>
      <c r="K340" s="2">
        <f t="shared" si="35"/>
        <v>-91</v>
      </c>
      <c r="L340" s="12" t="s">
        <v>3714</v>
      </c>
    </row>
    <row r="341" spans="1:12" x14ac:dyDescent="0.25">
      <c r="A341" s="11" t="s">
        <v>1740</v>
      </c>
      <c r="B341" s="2" t="str">
        <f t="shared" si="30"/>
        <v>Tenor Sax B</v>
      </c>
      <c r="C341" s="3">
        <v>340</v>
      </c>
      <c r="D341" s="17" t="s">
        <v>339</v>
      </c>
      <c r="E341" s="2" t="str">
        <f t="shared" si="31"/>
        <v>Fretlss Bs A</v>
      </c>
      <c r="F341" s="12">
        <v>340</v>
      </c>
      <c r="G341" s="17">
        <f t="shared" si="32"/>
        <v>427</v>
      </c>
      <c r="H341" s="2">
        <f t="shared" si="33"/>
        <v>87</v>
      </c>
      <c r="I341" s="3" t="s">
        <v>3714</v>
      </c>
      <c r="J341" s="17">
        <f t="shared" si="34"/>
        <v>252</v>
      </c>
      <c r="K341" s="2">
        <f t="shared" si="35"/>
        <v>-88</v>
      </c>
      <c r="L341" s="12" t="s">
        <v>3714</v>
      </c>
    </row>
    <row r="342" spans="1:12" x14ac:dyDescent="0.25">
      <c r="A342" s="11" t="s">
        <v>1741</v>
      </c>
      <c r="B342" s="2" t="str">
        <f t="shared" si="30"/>
        <v>Tenor Sax C</v>
      </c>
      <c r="C342" s="3">
        <v>341</v>
      </c>
      <c r="D342" s="17" t="s">
        <v>340</v>
      </c>
      <c r="E342" s="2" t="str">
        <f t="shared" si="31"/>
        <v>Fretlss Bs B</v>
      </c>
      <c r="F342" s="12">
        <v>341</v>
      </c>
      <c r="G342" s="17">
        <f t="shared" si="32"/>
        <v>428</v>
      </c>
      <c r="H342" s="2">
        <f t="shared" si="33"/>
        <v>87</v>
      </c>
      <c r="I342" s="3" t="s">
        <v>3714</v>
      </c>
      <c r="J342" s="17">
        <f t="shared" si="34"/>
        <v>253</v>
      </c>
      <c r="K342" s="2">
        <f t="shared" si="35"/>
        <v>-88</v>
      </c>
      <c r="L342" s="12" t="s">
        <v>3714</v>
      </c>
    </row>
    <row r="343" spans="1:12" x14ac:dyDescent="0.25">
      <c r="A343" s="11" t="s">
        <v>1742</v>
      </c>
      <c r="B343" s="2" t="str">
        <f t="shared" si="30"/>
        <v>Bari.Sax 1 A</v>
      </c>
      <c r="C343" s="3">
        <v>342</v>
      </c>
      <c r="D343" s="17" t="s">
        <v>341</v>
      </c>
      <c r="E343" s="2" t="str">
        <f t="shared" si="31"/>
        <v>Fretlss Bs C</v>
      </c>
      <c r="F343" s="12">
        <v>342</v>
      </c>
      <c r="G343" s="17">
        <f t="shared" si="32"/>
        <v>429</v>
      </c>
      <c r="H343" s="2">
        <f t="shared" si="33"/>
        <v>87</v>
      </c>
      <c r="I343" s="3" t="s">
        <v>3714</v>
      </c>
      <c r="J343" s="17">
        <f t="shared" si="34"/>
        <v>254</v>
      </c>
      <c r="K343" s="2">
        <f t="shared" si="35"/>
        <v>-88</v>
      </c>
      <c r="L343" s="12" t="s">
        <v>3714</v>
      </c>
    </row>
    <row r="344" spans="1:12" x14ac:dyDescent="0.25">
      <c r="A344" s="11" t="s">
        <v>1743</v>
      </c>
      <c r="B344" s="2" t="str">
        <f t="shared" si="30"/>
        <v>Bari.Sax 1 B</v>
      </c>
      <c r="C344" s="3">
        <v>343</v>
      </c>
      <c r="D344" s="17" t="s">
        <v>342</v>
      </c>
      <c r="E344" s="2" t="str">
        <f t="shared" si="31"/>
        <v>Fretlss SftA</v>
      </c>
      <c r="F344" s="12">
        <v>343</v>
      </c>
      <c r="G344" s="17">
        <f t="shared" si="32"/>
        <v>430</v>
      </c>
      <c r="H344" s="2">
        <f t="shared" si="33"/>
        <v>87</v>
      </c>
      <c r="I344" s="3" t="s">
        <v>3714</v>
      </c>
      <c r="J344" s="17">
        <f t="shared" si="34"/>
        <v>255</v>
      </c>
      <c r="K344" s="2">
        <f t="shared" si="35"/>
        <v>-88</v>
      </c>
      <c r="L344" s="12" t="s">
        <v>3714</v>
      </c>
    </row>
    <row r="345" spans="1:12" x14ac:dyDescent="0.25">
      <c r="A345" s="11" t="s">
        <v>1744</v>
      </c>
      <c r="B345" s="2" t="str">
        <f t="shared" si="30"/>
        <v>Bari.Sax 1 C</v>
      </c>
      <c r="C345" s="3">
        <v>344</v>
      </c>
      <c r="D345" s="17" t="s">
        <v>343</v>
      </c>
      <c r="E345" s="2" t="str">
        <f t="shared" si="31"/>
        <v>Fretlss SftB</v>
      </c>
      <c r="F345" s="12">
        <v>344</v>
      </c>
      <c r="G345" s="17">
        <f t="shared" si="32"/>
        <v>431</v>
      </c>
      <c r="H345" s="2">
        <f t="shared" si="33"/>
        <v>87</v>
      </c>
      <c r="I345" s="3" t="s">
        <v>3714</v>
      </c>
      <c r="J345" s="17">
        <f t="shared" si="34"/>
        <v>256</v>
      </c>
      <c r="K345" s="2">
        <f t="shared" si="35"/>
        <v>-88</v>
      </c>
      <c r="L345" s="12" t="s">
        <v>3714</v>
      </c>
    </row>
    <row r="346" spans="1:12" x14ac:dyDescent="0.25">
      <c r="A346" s="11" t="s">
        <v>1745</v>
      </c>
      <c r="B346" s="2" t="str">
        <f t="shared" si="30"/>
        <v>Bari.Sax 2 A</v>
      </c>
      <c r="C346" s="3">
        <v>345</v>
      </c>
      <c r="D346" s="17" t="s">
        <v>344</v>
      </c>
      <c r="E346" s="2" t="str">
        <f t="shared" si="31"/>
        <v>Fretlss SftC</v>
      </c>
      <c r="F346" s="12">
        <v>345</v>
      </c>
      <c r="G346" s="17">
        <f t="shared" si="32"/>
        <v>432</v>
      </c>
      <c r="H346" s="2">
        <f t="shared" si="33"/>
        <v>87</v>
      </c>
      <c r="I346" s="3" t="s">
        <v>3714</v>
      </c>
      <c r="J346" s="17">
        <f t="shared" si="34"/>
        <v>257</v>
      </c>
      <c r="K346" s="2">
        <f t="shared" si="35"/>
        <v>-88</v>
      </c>
      <c r="L346" s="12" t="s">
        <v>3714</v>
      </c>
    </row>
    <row r="347" spans="1:12" x14ac:dyDescent="0.25">
      <c r="A347" s="11" t="s">
        <v>1746</v>
      </c>
      <c r="B347" s="2" t="str">
        <f t="shared" si="30"/>
        <v>Bari.Sax 2 B</v>
      </c>
      <c r="C347" s="3">
        <v>346</v>
      </c>
      <c r="D347" s="17" t="s">
        <v>345</v>
      </c>
      <c r="E347" s="2" t="str">
        <f t="shared" si="31"/>
        <v>Pick EB f A</v>
      </c>
      <c r="F347" s="12">
        <v>346</v>
      </c>
      <c r="G347" s="17">
        <f t="shared" si="32"/>
        <v>433</v>
      </c>
      <c r="H347" s="2">
        <f t="shared" si="33"/>
        <v>87</v>
      </c>
      <c r="I347" s="3" t="s">
        <v>3714</v>
      </c>
      <c r="J347" s="17">
        <f t="shared" si="34"/>
        <v>0</v>
      </c>
      <c r="K347" s="2">
        <f t="shared" si="35"/>
        <v>0</v>
      </c>
      <c r="L347" s="12" t="s">
        <v>3714</v>
      </c>
    </row>
    <row r="348" spans="1:12" x14ac:dyDescent="0.25">
      <c r="A348" s="11" t="s">
        <v>1747</v>
      </c>
      <c r="B348" s="2" t="str">
        <f t="shared" si="30"/>
        <v>Bari.Sax 2 C</v>
      </c>
      <c r="C348" s="3">
        <v>347</v>
      </c>
      <c r="D348" s="17" t="s">
        <v>346</v>
      </c>
      <c r="E348" s="2" t="str">
        <f t="shared" si="31"/>
        <v>Pick EB f B</v>
      </c>
      <c r="F348" s="12">
        <v>347</v>
      </c>
      <c r="G348" s="17">
        <f t="shared" si="32"/>
        <v>434</v>
      </c>
      <c r="H348" s="2">
        <f t="shared" si="33"/>
        <v>87</v>
      </c>
      <c r="I348" s="3" t="s">
        <v>3714</v>
      </c>
      <c r="J348" s="17">
        <f t="shared" si="34"/>
        <v>0</v>
      </c>
      <c r="K348" s="2">
        <f t="shared" si="35"/>
        <v>0</v>
      </c>
      <c r="L348" s="12" t="s">
        <v>3714</v>
      </c>
    </row>
    <row r="349" spans="1:12" x14ac:dyDescent="0.25">
      <c r="A349" s="11" t="s">
        <v>1748</v>
      </c>
      <c r="B349" s="2" t="str">
        <f t="shared" si="30"/>
        <v>Musette</v>
      </c>
      <c r="C349" s="3">
        <v>348</v>
      </c>
      <c r="D349" s="17" t="s">
        <v>347</v>
      </c>
      <c r="E349" s="2" t="str">
        <f t="shared" si="31"/>
        <v>Pick EB f C</v>
      </c>
      <c r="F349" s="12">
        <v>348</v>
      </c>
      <c r="G349" s="17">
        <f t="shared" si="32"/>
        <v>435</v>
      </c>
      <c r="H349" s="2">
        <f t="shared" si="33"/>
        <v>87</v>
      </c>
      <c r="I349" s="3" t="s">
        <v>3714</v>
      </c>
      <c r="J349" s="17">
        <f t="shared" si="34"/>
        <v>0</v>
      </c>
      <c r="K349" s="2">
        <f t="shared" si="35"/>
        <v>0</v>
      </c>
      <c r="L349" s="12" t="s">
        <v>3714</v>
      </c>
    </row>
    <row r="350" spans="1:12" x14ac:dyDescent="0.25">
      <c r="A350" s="11" t="s">
        <v>1749</v>
      </c>
      <c r="B350" s="2" t="str">
        <f t="shared" si="30"/>
        <v>Harmonica A</v>
      </c>
      <c r="C350" s="3">
        <v>349</v>
      </c>
      <c r="D350" s="17" t="s">
        <v>348</v>
      </c>
      <c r="E350" s="2" t="str">
        <f t="shared" si="31"/>
        <v>Pick Bass</v>
      </c>
      <c r="F350" s="12">
        <v>349</v>
      </c>
      <c r="G350" s="17">
        <f t="shared" si="32"/>
        <v>443</v>
      </c>
      <c r="H350" s="2">
        <f t="shared" si="33"/>
        <v>94</v>
      </c>
      <c r="I350" s="3" t="s">
        <v>3714</v>
      </c>
      <c r="J350" s="17">
        <f t="shared" si="34"/>
        <v>0</v>
      </c>
      <c r="K350" s="2">
        <f t="shared" si="35"/>
        <v>0</v>
      </c>
      <c r="L350" s="12" t="s">
        <v>3714</v>
      </c>
    </row>
    <row r="351" spans="1:12" x14ac:dyDescent="0.25">
      <c r="A351" s="11" t="s">
        <v>1750</v>
      </c>
      <c r="B351" s="2" t="str">
        <f t="shared" si="30"/>
        <v>Harmonica B</v>
      </c>
      <c r="C351" s="3">
        <v>350</v>
      </c>
      <c r="D351" s="17" t="s">
        <v>349</v>
      </c>
      <c r="E351" s="2" t="str">
        <f t="shared" si="31"/>
        <v>Slp.E.BassA</v>
      </c>
      <c r="F351" s="12">
        <v>350</v>
      </c>
      <c r="G351" s="17">
        <f t="shared" si="32"/>
        <v>444</v>
      </c>
      <c r="H351" s="2">
        <f t="shared" si="33"/>
        <v>94</v>
      </c>
      <c r="I351" s="3" t="s">
        <v>3714</v>
      </c>
      <c r="J351" s="17">
        <f t="shared" si="34"/>
        <v>0</v>
      </c>
      <c r="K351" s="2">
        <f t="shared" si="35"/>
        <v>0</v>
      </c>
      <c r="L351" s="12" t="s">
        <v>3714</v>
      </c>
    </row>
    <row r="352" spans="1:12" x14ac:dyDescent="0.25">
      <c r="A352" s="11" t="s">
        <v>1751</v>
      </c>
      <c r="B352" s="2" t="str">
        <f t="shared" si="30"/>
        <v>Harmonica C</v>
      </c>
      <c r="C352" s="3">
        <v>351</v>
      </c>
      <c r="D352" s="17" t="s">
        <v>350</v>
      </c>
      <c r="E352" s="2" t="str">
        <f t="shared" si="31"/>
        <v>Slp.E.BassB</v>
      </c>
      <c r="F352" s="12">
        <v>351</v>
      </c>
      <c r="G352" s="17">
        <f t="shared" si="32"/>
        <v>445</v>
      </c>
      <c r="H352" s="2">
        <f t="shared" si="33"/>
        <v>94</v>
      </c>
      <c r="I352" s="3" t="s">
        <v>3714</v>
      </c>
      <c r="J352" s="17">
        <f t="shared" si="34"/>
        <v>0</v>
      </c>
      <c r="K352" s="2">
        <f t="shared" si="35"/>
        <v>0</v>
      </c>
      <c r="L352" s="12" t="s">
        <v>3714</v>
      </c>
    </row>
    <row r="353" spans="1:12" x14ac:dyDescent="0.25">
      <c r="A353" s="11" t="s">
        <v>1752</v>
      </c>
      <c r="B353" s="2" t="str">
        <f t="shared" si="30"/>
        <v>Blues G-harp</v>
      </c>
      <c r="C353" s="3">
        <v>352</v>
      </c>
      <c r="D353" s="17" t="s">
        <v>351</v>
      </c>
      <c r="E353" s="2" t="str">
        <f t="shared" si="31"/>
        <v>Slp.E.BassC</v>
      </c>
      <c r="F353" s="12">
        <v>352</v>
      </c>
      <c r="G353" s="17">
        <f t="shared" si="32"/>
        <v>446</v>
      </c>
      <c r="H353" s="2">
        <f t="shared" si="33"/>
        <v>94</v>
      </c>
      <c r="I353" s="3" t="s">
        <v>3714</v>
      </c>
      <c r="J353" s="17">
        <f t="shared" si="34"/>
        <v>0</v>
      </c>
      <c r="K353" s="2">
        <f t="shared" si="35"/>
        <v>0</v>
      </c>
      <c r="L353" s="12" t="s">
        <v>3714</v>
      </c>
    </row>
    <row r="354" spans="1:12" x14ac:dyDescent="0.25">
      <c r="A354" s="11" t="s">
        <v>1753</v>
      </c>
      <c r="B354" s="2" t="str">
        <f t="shared" si="30"/>
        <v>Flugel A</v>
      </c>
      <c r="C354" s="3">
        <v>353</v>
      </c>
      <c r="D354" s="17" t="s">
        <v>352</v>
      </c>
      <c r="E354" s="2" t="str">
        <f t="shared" si="31"/>
        <v>Slp.EB HO A</v>
      </c>
      <c r="F354" s="12">
        <v>353</v>
      </c>
      <c r="G354" s="17">
        <f t="shared" si="32"/>
        <v>447</v>
      </c>
      <c r="H354" s="2">
        <f t="shared" si="33"/>
        <v>94</v>
      </c>
      <c r="I354" s="3" t="s">
        <v>3714</v>
      </c>
      <c r="J354" s="17">
        <f t="shared" si="34"/>
        <v>0</v>
      </c>
      <c r="K354" s="2">
        <f t="shared" si="35"/>
        <v>0</v>
      </c>
      <c r="L354" s="12" t="s">
        <v>3714</v>
      </c>
    </row>
    <row r="355" spans="1:12" x14ac:dyDescent="0.25">
      <c r="A355" s="11" t="s">
        <v>1754</v>
      </c>
      <c r="B355" s="2" t="str">
        <f t="shared" si="30"/>
        <v>Flugel B</v>
      </c>
      <c r="C355" s="3">
        <v>354</v>
      </c>
      <c r="D355" s="17" t="s">
        <v>353</v>
      </c>
      <c r="E355" s="2" t="str">
        <f t="shared" si="31"/>
        <v>Slp.EB HO B</v>
      </c>
      <c r="F355" s="12">
        <v>354</v>
      </c>
      <c r="G355" s="17">
        <f t="shared" si="32"/>
        <v>448</v>
      </c>
      <c r="H355" s="2">
        <f t="shared" si="33"/>
        <v>94</v>
      </c>
      <c r="I355" s="3" t="s">
        <v>3714</v>
      </c>
      <c r="J355" s="17">
        <f t="shared" si="34"/>
        <v>0</v>
      </c>
      <c r="K355" s="2">
        <f t="shared" si="35"/>
        <v>0</v>
      </c>
      <c r="L355" s="12" t="s">
        <v>3714</v>
      </c>
    </row>
    <row r="356" spans="1:12" x14ac:dyDescent="0.25">
      <c r="A356" s="11" t="s">
        <v>1755</v>
      </c>
      <c r="B356" s="2" t="str">
        <f t="shared" si="30"/>
        <v>Flugel C</v>
      </c>
      <c r="C356" s="3">
        <v>355</v>
      </c>
      <c r="D356" s="17" t="s">
        <v>354</v>
      </c>
      <c r="E356" s="2" t="str">
        <f t="shared" si="31"/>
        <v>Slp.EB HO C</v>
      </c>
      <c r="F356" s="12">
        <v>355</v>
      </c>
      <c r="G356" s="17">
        <f t="shared" si="32"/>
        <v>449</v>
      </c>
      <c r="H356" s="2">
        <f t="shared" si="33"/>
        <v>94</v>
      </c>
      <c r="I356" s="3" t="s">
        <v>3714</v>
      </c>
      <c r="J356" s="17">
        <f t="shared" si="34"/>
        <v>0</v>
      </c>
      <c r="K356" s="2">
        <f t="shared" si="35"/>
        <v>0</v>
      </c>
      <c r="L356" s="12" t="s">
        <v>3714</v>
      </c>
    </row>
    <row r="357" spans="1:12" x14ac:dyDescent="0.25">
      <c r="A357" s="11" t="s">
        <v>1756</v>
      </c>
      <c r="B357" s="2" t="str">
        <f t="shared" si="30"/>
        <v>Trumpet A</v>
      </c>
      <c r="C357" s="3">
        <v>356</v>
      </c>
      <c r="D357" s="17" t="s">
        <v>355</v>
      </c>
      <c r="E357" s="2" t="str">
        <f t="shared" si="31"/>
        <v>Pul.E.BassA</v>
      </c>
      <c r="F357" s="12">
        <v>356</v>
      </c>
      <c r="G357" s="17">
        <f t="shared" si="32"/>
        <v>450</v>
      </c>
      <c r="H357" s="2">
        <f t="shared" si="33"/>
        <v>94</v>
      </c>
      <c r="I357" s="3" t="s">
        <v>3714</v>
      </c>
      <c r="J357" s="17">
        <f t="shared" si="34"/>
        <v>0</v>
      </c>
      <c r="K357" s="2">
        <f t="shared" si="35"/>
        <v>0</v>
      </c>
      <c r="L357" s="12" t="s">
        <v>3714</v>
      </c>
    </row>
    <row r="358" spans="1:12" x14ac:dyDescent="0.25">
      <c r="A358" s="11" t="s">
        <v>1757</v>
      </c>
      <c r="B358" s="2" t="str">
        <f t="shared" si="30"/>
        <v>Trumpet B</v>
      </c>
      <c r="C358" s="3">
        <v>357</v>
      </c>
      <c r="D358" s="17" t="s">
        <v>356</v>
      </c>
      <c r="E358" s="2" t="str">
        <f t="shared" si="31"/>
        <v>Pul.E.BassB</v>
      </c>
      <c r="F358" s="12">
        <v>357</v>
      </c>
      <c r="G358" s="17">
        <f t="shared" si="32"/>
        <v>451</v>
      </c>
      <c r="H358" s="2">
        <f t="shared" si="33"/>
        <v>94</v>
      </c>
      <c r="I358" s="3" t="s">
        <v>3714</v>
      </c>
      <c r="J358" s="17">
        <f t="shared" si="34"/>
        <v>0</v>
      </c>
      <c r="K358" s="2">
        <f t="shared" si="35"/>
        <v>0</v>
      </c>
      <c r="L358" s="12" t="s">
        <v>3714</v>
      </c>
    </row>
    <row r="359" spans="1:12" x14ac:dyDescent="0.25">
      <c r="A359" s="11" t="s">
        <v>1758</v>
      </c>
      <c r="B359" s="2" t="str">
        <f t="shared" si="30"/>
        <v>Trumpet C</v>
      </c>
      <c r="C359" s="3">
        <v>358</v>
      </c>
      <c r="D359" s="17" t="s">
        <v>357</v>
      </c>
      <c r="E359" s="2" t="str">
        <f t="shared" si="31"/>
        <v>Pul.E.BassC</v>
      </c>
      <c r="F359" s="12">
        <v>358</v>
      </c>
      <c r="G359" s="17">
        <f t="shared" si="32"/>
        <v>452</v>
      </c>
      <c r="H359" s="2">
        <f t="shared" si="33"/>
        <v>94</v>
      </c>
      <c r="I359" s="3" t="s">
        <v>3714</v>
      </c>
      <c r="J359" s="17">
        <f t="shared" si="34"/>
        <v>0</v>
      </c>
      <c r="K359" s="2">
        <f t="shared" si="35"/>
        <v>0</v>
      </c>
      <c r="L359" s="12" t="s">
        <v>3714</v>
      </c>
    </row>
    <row r="360" spans="1:12" x14ac:dyDescent="0.25">
      <c r="A360" s="11" t="s">
        <v>1759</v>
      </c>
      <c r="B360" s="2" t="str">
        <f t="shared" si="30"/>
        <v>Wide Tp A</v>
      </c>
      <c r="C360" s="3">
        <v>359</v>
      </c>
      <c r="D360" s="17" t="s">
        <v>358</v>
      </c>
      <c r="E360" s="2" t="str">
        <f t="shared" si="31"/>
        <v>Pul.EB HO A</v>
      </c>
      <c r="F360" s="12">
        <v>359</v>
      </c>
      <c r="G360" s="17">
        <f t="shared" si="32"/>
        <v>453</v>
      </c>
      <c r="H360" s="2">
        <f t="shared" si="33"/>
        <v>94</v>
      </c>
      <c r="I360" s="3" t="s">
        <v>3714</v>
      </c>
      <c r="J360" s="17">
        <f t="shared" si="34"/>
        <v>0</v>
      </c>
      <c r="K360" s="2">
        <f t="shared" si="35"/>
        <v>0</v>
      </c>
      <c r="L360" s="12" t="s">
        <v>3714</v>
      </c>
    </row>
    <row r="361" spans="1:12" x14ac:dyDescent="0.25">
      <c r="A361" s="11" t="s">
        <v>1760</v>
      </c>
      <c r="B361" s="2" t="str">
        <f t="shared" si="30"/>
        <v>Wide Tp B</v>
      </c>
      <c r="C361" s="3">
        <v>360</v>
      </c>
      <c r="D361" s="17" t="s">
        <v>359</v>
      </c>
      <c r="E361" s="2" t="str">
        <f t="shared" si="31"/>
        <v>Pul.EB HO B</v>
      </c>
      <c r="F361" s="12">
        <v>360</v>
      </c>
      <c r="G361" s="17">
        <f t="shared" si="32"/>
        <v>454</v>
      </c>
      <c r="H361" s="2">
        <f t="shared" si="33"/>
        <v>94</v>
      </c>
      <c r="I361" s="3" t="s">
        <v>3714</v>
      </c>
      <c r="J361" s="17">
        <f t="shared" si="34"/>
        <v>0</v>
      </c>
      <c r="K361" s="2">
        <f t="shared" si="35"/>
        <v>0</v>
      </c>
      <c r="L361" s="12" t="s">
        <v>3714</v>
      </c>
    </row>
    <row r="362" spans="1:12" x14ac:dyDescent="0.25">
      <c r="A362" s="11" t="s">
        <v>1761</v>
      </c>
      <c r="B362" s="2" t="str">
        <f t="shared" si="30"/>
        <v>Wide Tp C</v>
      </c>
      <c r="C362" s="3">
        <v>361</v>
      </c>
      <c r="D362" s="17" t="s">
        <v>360</v>
      </c>
      <c r="E362" s="2" t="str">
        <f t="shared" si="31"/>
        <v>Pul.EB HO C</v>
      </c>
      <c r="F362" s="12">
        <v>361</v>
      </c>
      <c r="G362" s="17">
        <f t="shared" si="32"/>
        <v>455</v>
      </c>
      <c r="H362" s="2">
        <f t="shared" si="33"/>
        <v>94</v>
      </c>
      <c r="I362" s="3" t="s">
        <v>3714</v>
      </c>
      <c r="J362" s="17">
        <f t="shared" si="34"/>
        <v>0</v>
      </c>
      <c r="K362" s="2">
        <f t="shared" si="35"/>
        <v>0</v>
      </c>
      <c r="L362" s="12" t="s">
        <v>3714</v>
      </c>
    </row>
    <row r="363" spans="1:12" x14ac:dyDescent="0.25">
      <c r="A363" s="11" t="s">
        <v>1762</v>
      </c>
      <c r="B363" s="2" t="str">
        <f t="shared" si="30"/>
        <v>Mute Tp A</v>
      </c>
      <c r="C363" s="3">
        <v>362</v>
      </c>
      <c r="D363" s="17" t="s">
        <v>361</v>
      </c>
      <c r="E363" s="2" t="str">
        <f t="shared" si="31"/>
        <v>Slap Bass</v>
      </c>
      <c r="F363" s="12">
        <v>362</v>
      </c>
      <c r="G363" s="17">
        <f t="shared" si="32"/>
        <v>456</v>
      </c>
      <c r="H363" s="2">
        <f t="shared" si="33"/>
        <v>94</v>
      </c>
      <c r="I363" s="3" t="s">
        <v>3714</v>
      </c>
      <c r="J363" s="17">
        <f t="shared" si="34"/>
        <v>262</v>
      </c>
      <c r="K363" s="2">
        <f t="shared" si="35"/>
        <v>-100</v>
      </c>
      <c r="L363" s="12" t="s">
        <v>3714</v>
      </c>
    </row>
    <row r="364" spans="1:12" x14ac:dyDescent="0.25">
      <c r="A364" s="11" t="s">
        <v>1763</v>
      </c>
      <c r="B364" s="2" t="str">
        <f t="shared" si="30"/>
        <v>Mute Tp B</v>
      </c>
      <c r="C364" s="3">
        <v>363</v>
      </c>
      <c r="D364" s="17" t="s">
        <v>362</v>
      </c>
      <c r="E364" s="2" t="str">
        <f t="shared" si="31"/>
        <v>Slap +Pull 1</v>
      </c>
      <c r="F364" s="12">
        <v>363</v>
      </c>
      <c r="G364" s="17">
        <f t="shared" si="32"/>
        <v>457</v>
      </c>
      <c r="H364" s="2">
        <f t="shared" si="33"/>
        <v>94</v>
      </c>
      <c r="I364" s="3" t="s">
        <v>3714</v>
      </c>
      <c r="J364" s="17">
        <f t="shared" si="34"/>
        <v>263</v>
      </c>
      <c r="K364" s="2">
        <f t="shared" si="35"/>
        <v>-100</v>
      </c>
      <c r="L364" s="12" t="s">
        <v>3714</v>
      </c>
    </row>
    <row r="365" spans="1:12" x14ac:dyDescent="0.25">
      <c r="A365" s="11" t="s">
        <v>1764</v>
      </c>
      <c r="B365" s="2" t="str">
        <f t="shared" si="30"/>
        <v>Mute Tp C</v>
      </c>
      <c r="C365" s="3">
        <v>364</v>
      </c>
      <c r="D365" s="17" t="s">
        <v>363</v>
      </c>
      <c r="E365" s="2" t="str">
        <f t="shared" si="31"/>
        <v>Slap +Pull 2</v>
      </c>
      <c r="F365" s="12">
        <v>364</v>
      </c>
      <c r="G365" s="17">
        <f t="shared" si="32"/>
        <v>458</v>
      </c>
      <c r="H365" s="2">
        <f t="shared" si="33"/>
        <v>94</v>
      </c>
      <c r="I365" s="3" t="s">
        <v>3714</v>
      </c>
      <c r="J365" s="17">
        <f t="shared" si="34"/>
        <v>264</v>
      </c>
      <c r="K365" s="2">
        <f t="shared" si="35"/>
        <v>-100</v>
      </c>
      <c r="L365" s="12" t="s">
        <v>3714</v>
      </c>
    </row>
    <row r="366" spans="1:12" x14ac:dyDescent="0.25">
      <c r="A366" s="11" t="s">
        <v>1765</v>
      </c>
      <c r="B366" s="2" t="str">
        <f t="shared" si="30"/>
        <v>Trombone A</v>
      </c>
      <c r="C366" s="3">
        <v>365</v>
      </c>
      <c r="D366" s="17" t="s">
        <v>364</v>
      </c>
      <c r="E366" s="2" t="str">
        <f t="shared" si="31"/>
        <v>Slap +Pull 3</v>
      </c>
      <c r="F366" s="12">
        <v>365</v>
      </c>
      <c r="G366" s="17">
        <f t="shared" si="32"/>
        <v>459</v>
      </c>
      <c r="H366" s="2">
        <f t="shared" si="33"/>
        <v>94</v>
      </c>
      <c r="I366" s="3" t="s">
        <v>3714</v>
      </c>
      <c r="J366" s="17">
        <f t="shared" si="34"/>
        <v>265</v>
      </c>
      <c r="K366" s="2">
        <f t="shared" si="35"/>
        <v>-100</v>
      </c>
      <c r="L366" s="12" t="s">
        <v>3714</v>
      </c>
    </row>
    <row r="367" spans="1:12" x14ac:dyDescent="0.25">
      <c r="A367" s="11" t="s">
        <v>1766</v>
      </c>
      <c r="B367" s="2" t="str">
        <f t="shared" si="30"/>
        <v>Trombone B</v>
      </c>
      <c r="C367" s="3">
        <v>366</v>
      </c>
      <c r="D367" s="17" t="s">
        <v>365</v>
      </c>
      <c r="E367" s="2" t="str">
        <f t="shared" si="31"/>
        <v>Jz Slap Bass</v>
      </c>
      <c r="F367" s="12">
        <v>366</v>
      </c>
      <c r="G367" s="17">
        <f t="shared" si="32"/>
        <v>460</v>
      </c>
      <c r="H367" s="2">
        <f t="shared" si="33"/>
        <v>94</v>
      </c>
      <c r="I367" s="3" t="s">
        <v>3714</v>
      </c>
      <c r="J367" s="17">
        <f t="shared" si="34"/>
        <v>266</v>
      </c>
      <c r="K367" s="2">
        <f t="shared" si="35"/>
        <v>-100</v>
      </c>
      <c r="L367" s="12" t="s">
        <v>3714</v>
      </c>
    </row>
    <row r="368" spans="1:12" x14ac:dyDescent="0.25">
      <c r="A368" s="11" t="s">
        <v>1767</v>
      </c>
      <c r="B368" s="2" t="str">
        <f t="shared" si="30"/>
        <v>Trombone C</v>
      </c>
      <c r="C368" s="3">
        <v>367</v>
      </c>
      <c r="D368" s="17" t="s">
        <v>366</v>
      </c>
      <c r="E368" s="2" t="str">
        <f t="shared" si="31"/>
        <v>Jz Slp+Pull1</v>
      </c>
      <c r="F368" s="12">
        <v>367</v>
      </c>
      <c r="G368" s="17">
        <f t="shared" si="32"/>
        <v>461</v>
      </c>
      <c r="H368" s="2">
        <f t="shared" si="33"/>
        <v>94</v>
      </c>
      <c r="I368" s="3" t="s">
        <v>3714</v>
      </c>
      <c r="J368" s="17">
        <f t="shared" si="34"/>
        <v>267</v>
      </c>
      <c r="K368" s="2">
        <f t="shared" si="35"/>
        <v>-100</v>
      </c>
      <c r="L368" s="12" t="s">
        <v>3714</v>
      </c>
    </row>
    <row r="369" spans="1:12" x14ac:dyDescent="0.25">
      <c r="A369" s="11" t="s">
        <v>1768</v>
      </c>
      <c r="B369" s="2" t="str">
        <f t="shared" si="30"/>
        <v>Tbn mf A</v>
      </c>
      <c r="C369" s="3">
        <v>368</v>
      </c>
      <c r="D369" s="17" t="s">
        <v>367</v>
      </c>
      <c r="E369" s="2" t="str">
        <f t="shared" si="31"/>
        <v>Jz Slp+Pull2</v>
      </c>
      <c r="F369" s="12">
        <v>368</v>
      </c>
      <c r="G369" s="17">
        <f t="shared" si="32"/>
        <v>462</v>
      </c>
      <c r="H369" s="2">
        <f t="shared" si="33"/>
        <v>94</v>
      </c>
      <c r="I369" s="3" t="s">
        <v>3714</v>
      </c>
      <c r="J369" s="17">
        <f t="shared" si="34"/>
        <v>268</v>
      </c>
      <c r="K369" s="2">
        <f t="shared" si="35"/>
        <v>-100</v>
      </c>
      <c r="L369" s="12" t="s">
        <v>3714</v>
      </c>
    </row>
    <row r="370" spans="1:12" x14ac:dyDescent="0.25">
      <c r="A370" s="11" t="s">
        <v>1769</v>
      </c>
      <c r="B370" s="2" t="str">
        <f t="shared" si="30"/>
        <v>Tbn mf B</v>
      </c>
      <c r="C370" s="3">
        <v>369</v>
      </c>
      <c r="D370" s="17" t="s">
        <v>368</v>
      </c>
      <c r="E370" s="2" t="str">
        <f t="shared" si="31"/>
        <v>Jz Slp+Pull3</v>
      </c>
      <c r="F370" s="12">
        <v>369</v>
      </c>
      <c r="G370" s="17">
        <f t="shared" si="32"/>
        <v>463</v>
      </c>
      <c r="H370" s="2">
        <f t="shared" si="33"/>
        <v>94</v>
      </c>
      <c r="I370" s="3" t="s">
        <v>3714</v>
      </c>
      <c r="J370" s="17">
        <f t="shared" si="34"/>
        <v>269</v>
      </c>
      <c r="K370" s="2">
        <f t="shared" si="35"/>
        <v>-100</v>
      </c>
      <c r="L370" s="12" t="s">
        <v>3714</v>
      </c>
    </row>
    <row r="371" spans="1:12" x14ac:dyDescent="0.25">
      <c r="A371" s="11" t="s">
        <v>1770</v>
      </c>
      <c r="B371" s="2" t="str">
        <f t="shared" si="30"/>
        <v>Tbn mf C</v>
      </c>
      <c r="C371" s="3">
        <v>370</v>
      </c>
      <c r="D371" s="17" t="s">
        <v>369</v>
      </c>
      <c r="E371" s="2" t="str">
        <f t="shared" si="31"/>
        <v>Jungle Bass</v>
      </c>
      <c r="F371" s="12">
        <v>370</v>
      </c>
      <c r="G371" s="17">
        <f t="shared" si="32"/>
        <v>464</v>
      </c>
      <c r="H371" s="2">
        <f t="shared" si="33"/>
        <v>94</v>
      </c>
      <c r="I371" s="3" t="s">
        <v>3714</v>
      </c>
      <c r="J371" s="17">
        <f t="shared" si="34"/>
        <v>277</v>
      </c>
      <c r="K371" s="2">
        <f t="shared" si="35"/>
        <v>-93</v>
      </c>
      <c r="L371" s="12" t="s">
        <v>3714</v>
      </c>
    </row>
    <row r="372" spans="1:12" x14ac:dyDescent="0.25">
      <c r="A372" s="11" t="s">
        <v>1771</v>
      </c>
      <c r="B372" s="2" t="str">
        <f t="shared" si="30"/>
        <v>Tuba A</v>
      </c>
      <c r="C372" s="3">
        <v>371</v>
      </c>
      <c r="D372" s="17" t="s">
        <v>370</v>
      </c>
      <c r="E372" s="2" t="str">
        <f t="shared" si="31"/>
        <v>Garage Bass</v>
      </c>
      <c r="F372" s="12">
        <v>371</v>
      </c>
      <c r="G372" s="17">
        <f t="shared" si="32"/>
        <v>465</v>
      </c>
      <c r="H372" s="2">
        <f t="shared" si="33"/>
        <v>94</v>
      </c>
      <c r="I372" s="3" t="s">
        <v>3714</v>
      </c>
      <c r="J372" s="17">
        <f t="shared" si="34"/>
        <v>278</v>
      </c>
      <c r="K372" s="2">
        <f t="shared" si="35"/>
        <v>-93</v>
      </c>
      <c r="L372" s="12" t="s">
        <v>3714</v>
      </c>
    </row>
    <row r="373" spans="1:12" x14ac:dyDescent="0.25">
      <c r="A373" s="11" t="s">
        <v>1772</v>
      </c>
      <c r="B373" s="2" t="str">
        <f t="shared" si="30"/>
        <v>Tuba B</v>
      </c>
      <c r="C373" s="3">
        <v>372</v>
      </c>
      <c r="D373" s="17" t="s">
        <v>371</v>
      </c>
      <c r="E373" s="2" t="str">
        <f t="shared" si="31"/>
        <v>SH-101 Bs A</v>
      </c>
      <c r="F373" s="12">
        <v>372</v>
      </c>
      <c r="G373" s="17">
        <f t="shared" si="32"/>
        <v>466</v>
      </c>
      <c r="H373" s="2">
        <f t="shared" si="33"/>
        <v>94</v>
      </c>
      <c r="I373" s="3" t="s">
        <v>3714</v>
      </c>
      <c r="J373" s="17">
        <f t="shared" si="34"/>
        <v>279</v>
      </c>
      <c r="K373" s="2">
        <f t="shared" si="35"/>
        <v>-93</v>
      </c>
      <c r="L373" s="12" t="s">
        <v>3714</v>
      </c>
    </row>
    <row r="374" spans="1:12" x14ac:dyDescent="0.25">
      <c r="A374" s="11" t="s">
        <v>1773</v>
      </c>
      <c r="B374" s="2" t="str">
        <f t="shared" si="30"/>
        <v>Tuba C</v>
      </c>
      <c r="C374" s="3">
        <v>373</v>
      </c>
      <c r="D374" s="17" t="s">
        <v>372</v>
      </c>
      <c r="E374" s="2" t="str">
        <f t="shared" si="31"/>
        <v>SH-101 Bs B</v>
      </c>
      <c r="F374" s="12">
        <v>373</v>
      </c>
      <c r="G374" s="17">
        <f t="shared" si="32"/>
        <v>467</v>
      </c>
      <c r="H374" s="2">
        <f t="shared" si="33"/>
        <v>94</v>
      </c>
      <c r="I374" s="3" t="s">
        <v>3714</v>
      </c>
      <c r="J374" s="17">
        <f t="shared" si="34"/>
        <v>280</v>
      </c>
      <c r="K374" s="2">
        <f t="shared" si="35"/>
        <v>-93</v>
      </c>
      <c r="L374" s="12" t="s">
        <v>3714</v>
      </c>
    </row>
    <row r="375" spans="1:12" x14ac:dyDescent="0.25">
      <c r="A375" s="11" t="s">
        <v>1774</v>
      </c>
      <c r="B375" s="2" t="str">
        <f t="shared" si="30"/>
        <v>Sft F.Horn A</v>
      </c>
      <c r="C375" s="3">
        <v>374</v>
      </c>
      <c r="D375" s="17" t="s">
        <v>373</v>
      </c>
      <c r="E375" s="2" t="str">
        <f t="shared" si="31"/>
        <v>SH-101 Bs C</v>
      </c>
      <c r="F375" s="12">
        <v>374</v>
      </c>
      <c r="G375" s="17">
        <f t="shared" si="32"/>
        <v>468</v>
      </c>
      <c r="H375" s="2">
        <f t="shared" si="33"/>
        <v>94</v>
      </c>
      <c r="I375" s="3" t="s">
        <v>3714</v>
      </c>
      <c r="J375" s="17">
        <f t="shared" si="34"/>
        <v>281</v>
      </c>
      <c r="K375" s="2">
        <f t="shared" si="35"/>
        <v>-93</v>
      </c>
      <c r="L375" s="12" t="s">
        <v>3714</v>
      </c>
    </row>
    <row r="376" spans="1:12" x14ac:dyDescent="0.25">
      <c r="A376" s="11" t="s">
        <v>1775</v>
      </c>
      <c r="B376" s="2" t="str">
        <f t="shared" si="30"/>
        <v>Sft F.Horn B</v>
      </c>
      <c r="C376" s="3">
        <v>375</v>
      </c>
      <c r="D376" s="17" t="s">
        <v>374</v>
      </c>
      <c r="E376" s="2" t="str">
        <f t="shared" si="31"/>
        <v>Organ Bass</v>
      </c>
      <c r="F376" s="12">
        <v>375</v>
      </c>
      <c r="G376" s="17">
        <f t="shared" si="32"/>
        <v>469</v>
      </c>
      <c r="H376" s="2">
        <f t="shared" si="33"/>
        <v>94</v>
      </c>
      <c r="I376" s="3" t="s">
        <v>3714</v>
      </c>
      <c r="J376" s="17">
        <f t="shared" si="34"/>
        <v>284</v>
      </c>
      <c r="K376" s="2">
        <f t="shared" si="35"/>
        <v>-91</v>
      </c>
      <c r="L376" s="12" t="s">
        <v>3714</v>
      </c>
    </row>
    <row r="377" spans="1:12" x14ac:dyDescent="0.25">
      <c r="A377" s="11" t="s">
        <v>1776</v>
      </c>
      <c r="B377" s="2" t="str">
        <f t="shared" si="30"/>
        <v>Sft F.Horn C</v>
      </c>
      <c r="C377" s="3">
        <v>376</v>
      </c>
      <c r="D377" s="17" t="s">
        <v>375</v>
      </c>
      <c r="E377" s="2" t="str">
        <f t="shared" si="31"/>
        <v>MG Bass 1 A</v>
      </c>
      <c r="F377" s="12">
        <v>376</v>
      </c>
      <c r="G377" s="17">
        <f t="shared" si="32"/>
        <v>470</v>
      </c>
      <c r="H377" s="2">
        <f t="shared" si="33"/>
        <v>94</v>
      </c>
      <c r="I377" s="3" t="s">
        <v>3714</v>
      </c>
      <c r="J377" s="17">
        <f t="shared" si="34"/>
        <v>270</v>
      </c>
      <c r="K377" s="2">
        <f t="shared" si="35"/>
        <v>-106</v>
      </c>
      <c r="L377" s="12" t="s">
        <v>3714</v>
      </c>
    </row>
    <row r="378" spans="1:12" x14ac:dyDescent="0.25">
      <c r="A378" s="11" t="s">
        <v>1777</v>
      </c>
      <c r="B378" s="2" t="str">
        <f t="shared" si="30"/>
        <v>French Hrn A</v>
      </c>
      <c r="C378" s="3">
        <v>377</v>
      </c>
      <c r="D378" s="17" t="s">
        <v>376</v>
      </c>
      <c r="E378" s="2" t="str">
        <f t="shared" si="31"/>
        <v>MG Bass 1 B</v>
      </c>
      <c r="F378" s="12">
        <v>377</v>
      </c>
      <c r="G378" s="17">
        <f t="shared" si="32"/>
        <v>471</v>
      </c>
      <c r="H378" s="2">
        <f t="shared" si="33"/>
        <v>94</v>
      </c>
      <c r="I378" s="3" t="s">
        <v>3714</v>
      </c>
      <c r="J378" s="17">
        <f t="shared" si="34"/>
        <v>271</v>
      </c>
      <c r="K378" s="2">
        <f t="shared" si="35"/>
        <v>-106</v>
      </c>
      <c r="L378" s="12" t="s">
        <v>3714</v>
      </c>
    </row>
    <row r="379" spans="1:12" x14ac:dyDescent="0.25">
      <c r="A379" s="11" t="s">
        <v>1778</v>
      </c>
      <c r="B379" s="2" t="str">
        <f t="shared" si="30"/>
        <v>French Hrn C</v>
      </c>
      <c r="C379" s="3">
        <v>378</v>
      </c>
      <c r="D379" s="17" t="s">
        <v>377</v>
      </c>
      <c r="E379" s="2" t="str">
        <f t="shared" si="31"/>
        <v>MG Bass 1 C</v>
      </c>
      <c r="F379" s="12">
        <v>378</v>
      </c>
      <c r="G379" s="17">
        <f t="shared" si="32"/>
        <v>472</v>
      </c>
      <c r="H379" s="2">
        <f t="shared" si="33"/>
        <v>94</v>
      </c>
      <c r="I379" s="3" t="s">
        <v>3714</v>
      </c>
      <c r="J379" s="17">
        <f t="shared" si="34"/>
        <v>272</v>
      </c>
      <c r="K379" s="2">
        <f t="shared" si="35"/>
        <v>-106</v>
      </c>
      <c r="L379" s="12" t="s">
        <v>3714</v>
      </c>
    </row>
    <row r="380" spans="1:12" x14ac:dyDescent="0.25">
      <c r="A380" s="11" t="s">
        <v>1779</v>
      </c>
      <c r="B380" s="2" t="str">
        <f t="shared" si="30"/>
        <v>F.HornSect A</v>
      </c>
      <c r="C380" s="3">
        <v>379</v>
      </c>
      <c r="D380" s="17" t="s">
        <v>378</v>
      </c>
      <c r="E380" s="2" t="str">
        <f t="shared" si="31"/>
        <v>MG Bass 2</v>
      </c>
      <c r="F380" s="12">
        <v>379</v>
      </c>
      <c r="G380" s="17">
        <f t="shared" si="32"/>
        <v>475</v>
      </c>
      <c r="H380" s="2">
        <f t="shared" si="33"/>
        <v>96</v>
      </c>
      <c r="I380" s="3" t="s">
        <v>3714</v>
      </c>
      <c r="J380" s="17">
        <f t="shared" si="34"/>
        <v>0</v>
      </c>
      <c r="K380" s="2">
        <f t="shared" si="35"/>
        <v>0</v>
      </c>
      <c r="L380" s="12" t="s">
        <v>3714</v>
      </c>
    </row>
    <row r="381" spans="1:12" x14ac:dyDescent="0.25">
      <c r="A381" s="11" t="s">
        <v>1780</v>
      </c>
      <c r="B381" s="2" t="str">
        <f t="shared" si="30"/>
        <v>F.HornSect B</v>
      </c>
      <c r="C381" s="3">
        <v>380</v>
      </c>
      <c r="D381" s="17" t="s">
        <v>379</v>
      </c>
      <c r="E381" s="2" t="str">
        <f t="shared" si="31"/>
        <v>MG Bass 3</v>
      </c>
      <c r="F381" s="12">
        <v>380</v>
      </c>
      <c r="G381" s="17">
        <f t="shared" si="32"/>
        <v>476</v>
      </c>
      <c r="H381" s="2">
        <f t="shared" si="33"/>
        <v>96</v>
      </c>
      <c r="I381" s="3" t="s">
        <v>3714</v>
      </c>
      <c r="J381" s="17">
        <f t="shared" si="34"/>
        <v>289</v>
      </c>
      <c r="K381" s="2">
        <f t="shared" si="35"/>
        <v>-91</v>
      </c>
      <c r="L381" s="12" t="s">
        <v>3714</v>
      </c>
    </row>
    <row r="382" spans="1:12" x14ac:dyDescent="0.25">
      <c r="A382" s="11" t="s">
        <v>1781</v>
      </c>
      <c r="B382" s="2" t="str">
        <f t="shared" si="30"/>
        <v>F.HornSect C</v>
      </c>
      <c r="C382" s="3">
        <v>381</v>
      </c>
      <c r="D382" s="17" t="s">
        <v>380</v>
      </c>
      <c r="E382" s="2" t="str">
        <f t="shared" si="31"/>
        <v>MC Bass A</v>
      </c>
      <c r="F382" s="12">
        <v>381</v>
      </c>
      <c r="G382" s="17">
        <f t="shared" si="32"/>
        <v>477</v>
      </c>
      <c r="H382" s="2">
        <f t="shared" si="33"/>
        <v>96</v>
      </c>
      <c r="I382" s="3" t="s">
        <v>3714</v>
      </c>
      <c r="J382" s="17">
        <f t="shared" si="34"/>
        <v>291</v>
      </c>
      <c r="K382" s="2">
        <f t="shared" si="35"/>
        <v>-90</v>
      </c>
      <c r="L382" s="12" t="s">
        <v>3714</v>
      </c>
    </row>
    <row r="383" spans="1:12" x14ac:dyDescent="0.25">
      <c r="A383" s="11" t="s">
        <v>1782</v>
      </c>
      <c r="B383" s="2" t="str">
        <f t="shared" si="30"/>
        <v>Tp Section A</v>
      </c>
      <c r="C383" s="3">
        <v>382</v>
      </c>
      <c r="D383" s="17" t="s">
        <v>381</v>
      </c>
      <c r="E383" s="2" t="str">
        <f t="shared" si="31"/>
        <v>MC Bass B</v>
      </c>
      <c r="F383" s="12">
        <v>382</v>
      </c>
      <c r="G383" s="17">
        <f t="shared" si="32"/>
        <v>478</v>
      </c>
      <c r="H383" s="2">
        <f t="shared" si="33"/>
        <v>96</v>
      </c>
      <c r="I383" s="3" t="s">
        <v>3714</v>
      </c>
      <c r="J383" s="17">
        <f t="shared" si="34"/>
        <v>292</v>
      </c>
      <c r="K383" s="2">
        <f t="shared" si="35"/>
        <v>-90</v>
      </c>
      <c r="L383" s="12" t="s">
        <v>3714</v>
      </c>
    </row>
    <row r="384" spans="1:12" x14ac:dyDescent="0.25">
      <c r="A384" s="11" t="s">
        <v>1783</v>
      </c>
      <c r="B384" s="2" t="str">
        <f t="shared" si="30"/>
        <v>Tp Section B</v>
      </c>
      <c r="C384" s="3">
        <v>383</v>
      </c>
      <c r="D384" s="17" t="s">
        <v>382</v>
      </c>
      <c r="E384" s="2" t="str">
        <f t="shared" si="31"/>
        <v>MC Bass C</v>
      </c>
      <c r="F384" s="12">
        <v>383</v>
      </c>
      <c r="G384" s="17">
        <f t="shared" si="32"/>
        <v>479</v>
      </c>
      <c r="H384" s="2">
        <f t="shared" si="33"/>
        <v>96</v>
      </c>
      <c r="I384" s="3" t="s">
        <v>3714</v>
      </c>
      <c r="J384" s="17">
        <f t="shared" si="34"/>
        <v>293</v>
      </c>
      <c r="K384" s="2">
        <f t="shared" si="35"/>
        <v>-90</v>
      </c>
      <c r="L384" s="12" t="s">
        <v>3714</v>
      </c>
    </row>
    <row r="385" spans="1:12" x14ac:dyDescent="0.25">
      <c r="A385" s="11" t="s">
        <v>1784</v>
      </c>
      <c r="B385" s="2" t="str">
        <f t="shared" si="30"/>
        <v>Tp Section C</v>
      </c>
      <c r="C385" s="3">
        <v>384</v>
      </c>
      <c r="D385" s="17" t="s">
        <v>383</v>
      </c>
      <c r="E385" s="2" t="str">
        <f t="shared" si="31"/>
        <v>Atk Syn Bass</v>
      </c>
      <c r="F385" s="12">
        <v>384</v>
      </c>
      <c r="G385" s="17">
        <f t="shared" si="32"/>
        <v>480</v>
      </c>
      <c r="H385" s="2">
        <f t="shared" si="33"/>
        <v>96</v>
      </c>
      <c r="I385" s="3" t="s">
        <v>3714</v>
      </c>
      <c r="J385" s="17">
        <f t="shared" si="34"/>
        <v>294</v>
      </c>
      <c r="K385" s="2">
        <f t="shared" si="35"/>
        <v>-90</v>
      </c>
      <c r="L385" s="12" t="s">
        <v>3714</v>
      </c>
    </row>
    <row r="386" spans="1:12" x14ac:dyDescent="0.25">
      <c r="A386" s="11" t="s">
        <v>1785</v>
      </c>
      <c r="B386" s="2" t="str">
        <f t="shared" ref="B386:B449" si="36">_xlfn.TEXTAFTER(A386," ",1)</f>
        <v>OctBrs p A L</v>
      </c>
      <c r="C386" s="3">
        <v>385</v>
      </c>
      <c r="D386" s="17" t="s">
        <v>384</v>
      </c>
      <c r="E386" s="2" t="str">
        <f t="shared" ref="E386:E449" si="37">_xlfn.TEXTAFTER(D386," ",1)</f>
        <v>Flute A</v>
      </c>
      <c r="F386" s="12">
        <v>385</v>
      </c>
      <c r="G386" s="17">
        <f t="shared" si="32"/>
        <v>481</v>
      </c>
      <c r="H386" s="2">
        <f t="shared" si="33"/>
        <v>96</v>
      </c>
      <c r="I386" s="3" t="s">
        <v>3714</v>
      </c>
      <c r="J386" s="17">
        <f t="shared" si="34"/>
        <v>298</v>
      </c>
      <c r="K386" s="2">
        <f t="shared" si="35"/>
        <v>-87</v>
      </c>
      <c r="L386" s="12" t="s">
        <v>3714</v>
      </c>
    </row>
    <row r="387" spans="1:12" x14ac:dyDescent="0.25">
      <c r="A387" s="11" t="s">
        <v>1786</v>
      </c>
      <c r="B387" s="2" t="str">
        <f t="shared" si="36"/>
        <v>OctBrs p A R</v>
      </c>
      <c r="C387" s="3">
        <v>386</v>
      </c>
      <c r="D387" s="17" t="s">
        <v>385</v>
      </c>
      <c r="E387" s="2" t="str">
        <f t="shared" si="37"/>
        <v>Flute B</v>
      </c>
      <c r="F387" s="12">
        <v>386</v>
      </c>
      <c r="G387" s="17">
        <f t="shared" ref="G387:G450" si="38">_xlfn.IFNA(_xlfn.XMATCH(B387,E$2:E$1402,0,1),0)</f>
        <v>482</v>
      </c>
      <c r="H387" s="2">
        <f t="shared" ref="H387:H450" si="39">IF(G387=0,0,G387-C387)</f>
        <v>96</v>
      </c>
      <c r="I387" s="3" t="s">
        <v>3714</v>
      </c>
      <c r="J387" s="17">
        <f t="shared" ref="J387:J450" si="40">_xlfn.IFNA(_xlfn.XMATCH(E387,B$2:B$1229,0,1),0)</f>
        <v>299</v>
      </c>
      <c r="K387" s="2">
        <f t="shared" ref="K387:K450" si="41">IF(J387=0,0,J387-F387)</f>
        <v>-87</v>
      </c>
      <c r="L387" s="12" t="s">
        <v>3714</v>
      </c>
    </row>
    <row r="388" spans="1:12" x14ac:dyDescent="0.25">
      <c r="A388" s="11" t="s">
        <v>1787</v>
      </c>
      <c r="B388" s="2" t="str">
        <f t="shared" si="36"/>
        <v>OctBrs p B L</v>
      </c>
      <c r="C388" s="3">
        <v>387</v>
      </c>
      <c r="D388" s="17" t="s">
        <v>386</v>
      </c>
      <c r="E388" s="2" t="str">
        <f t="shared" si="37"/>
        <v>Flute C</v>
      </c>
      <c r="F388" s="12">
        <v>387</v>
      </c>
      <c r="G388" s="17">
        <f t="shared" si="38"/>
        <v>483</v>
      </c>
      <c r="H388" s="2">
        <f t="shared" si="39"/>
        <v>96</v>
      </c>
      <c r="I388" s="3" t="s">
        <v>3714</v>
      </c>
      <c r="J388" s="17">
        <f t="shared" si="40"/>
        <v>300</v>
      </c>
      <c r="K388" s="2">
        <f t="shared" si="41"/>
        <v>-87</v>
      </c>
      <c r="L388" s="12" t="s">
        <v>3714</v>
      </c>
    </row>
    <row r="389" spans="1:12" x14ac:dyDescent="0.25">
      <c r="A389" s="11" t="s">
        <v>1788</v>
      </c>
      <c r="B389" s="2" t="str">
        <f t="shared" si="36"/>
        <v>OctBrs p B R</v>
      </c>
      <c r="C389" s="3">
        <v>388</v>
      </c>
      <c r="D389" s="17" t="s">
        <v>387</v>
      </c>
      <c r="E389" s="2" t="str">
        <f t="shared" si="37"/>
        <v>Piccolo A</v>
      </c>
      <c r="F389" s="12">
        <v>388</v>
      </c>
      <c r="G389" s="17">
        <f t="shared" si="38"/>
        <v>484</v>
      </c>
      <c r="H389" s="2">
        <f t="shared" si="39"/>
        <v>96</v>
      </c>
      <c r="I389" s="3" t="s">
        <v>3714</v>
      </c>
      <c r="J389" s="17">
        <f t="shared" si="40"/>
        <v>301</v>
      </c>
      <c r="K389" s="2">
        <f t="shared" si="41"/>
        <v>-87</v>
      </c>
      <c r="L389" s="12" t="s">
        <v>3714</v>
      </c>
    </row>
    <row r="390" spans="1:12" x14ac:dyDescent="0.25">
      <c r="A390" s="11" t="s">
        <v>1789</v>
      </c>
      <c r="B390" s="2" t="str">
        <f t="shared" si="36"/>
        <v>OctBrs p C L</v>
      </c>
      <c r="C390" s="3">
        <v>389</v>
      </c>
      <c r="D390" s="17" t="s">
        <v>388</v>
      </c>
      <c r="E390" s="2" t="str">
        <f t="shared" si="37"/>
        <v>Piccolo B</v>
      </c>
      <c r="F390" s="12">
        <v>389</v>
      </c>
      <c r="G390" s="17">
        <f t="shared" si="38"/>
        <v>485</v>
      </c>
      <c r="H390" s="2">
        <f t="shared" si="39"/>
        <v>96</v>
      </c>
      <c r="I390" s="3" t="s">
        <v>3714</v>
      </c>
      <c r="J390" s="17">
        <f t="shared" si="40"/>
        <v>302</v>
      </c>
      <c r="K390" s="2">
        <f t="shared" si="41"/>
        <v>-87</v>
      </c>
      <c r="L390" s="12" t="s">
        <v>3714</v>
      </c>
    </row>
    <row r="391" spans="1:12" x14ac:dyDescent="0.25">
      <c r="A391" s="11" t="s">
        <v>1790</v>
      </c>
      <c r="B391" s="2" t="str">
        <f t="shared" si="36"/>
        <v>OctBrs p C R</v>
      </c>
      <c r="C391" s="3">
        <v>390</v>
      </c>
      <c r="D391" s="17" t="s">
        <v>389</v>
      </c>
      <c r="E391" s="2" t="str">
        <f t="shared" si="37"/>
        <v>Piccolo C</v>
      </c>
      <c r="F391" s="12">
        <v>390</v>
      </c>
      <c r="G391" s="17">
        <f t="shared" si="38"/>
        <v>486</v>
      </c>
      <c r="H391" s="2">
        <f t="shared" si="39"/>
        <v>96</v>
      </c>
      <c r="I391" s="3" t="s">
        <v>3714</v>
      </c>
      <c r="J391" s="17">
        <f t="shared" si="40"/>
        <v>303</v>
      </c>
      <c r="K391" s="2">
        <f t="shared" si="41"/>
        <v>-87</v>
      </c>
      <c r="L391" s="12" t="s">
        <v>3714</v>
      </c>
    </row>
    <row r="392" spans="1:12" x14ac:dyDescent="0.25">
      <c r="A392" s="11" t="s">
        <v>1791</v>
      </c>
      <c r="B392" s="2" t="str">
        <f t="shared" si="36"/>
        <v>OctBrs f A L</v>
      </c>
      <c r="C392" s="3">
        <v>391</v>
      </c>
      <c r="D392" s="17" t="s">
        <v>390</v>
      </c>
      <c r="E392" s="2" t="str">
        <f t="shared" si="37"/>
        <v>Pan Flute</v>
      </c>
      <c r="F392" s="12">
        <v>391</v>
      </c>
      <c r="G392" s="17">
        <f t="shared" si="38"/>
        <v>487</v>
      </c>
      <c r="H392" s="2">
        <f t="shared" si="39"/>
        <v>96</v>
      </c>
      <c r="I392" s="3" t="s">
        <v>3714</v>
      </c>
      <c r="J392" s="17">
        <f t="shared" si="40"/>
        <v>304</v>
      </c>
      <c r="K392" s="2">
        <f t="shared" si="41"/>
        <v>-87</v>
      </c>
      <c r="L392" s="12" t="s">
        <v>3714</v>
      </c>
    </row>
    <row r="393" spans="1:12" x14ac:dyDescent="0.25">
      <c r="A393" s="11" t="s">
        <v>1792</v>
      </c>
      <c r="B393" s="2" t="str">
        <f t="shared" si="36"/>
        <v>OctBrs f A R</v>
      </c>
      <c r="C393" s="3">
        <v>392</v>
      </c>
      <c r="D393" s="17" t="s">
        <v>391</v>
      </c>
      <c r="E393" s="2" t="str">
        <f t="shared" si="37"/>
        <v>Shakuhachi</v>
      </c>
      <c r="F393" s="12">
        <v>392</v>
      </c>
      <c r="G393" s="17">
        <f t="shared" si="38"/>
        <v>488</v>
      </c>
      <c r="H393" s="2">
        <f t="shared" si="39"/>
        <v>96</v>
      </c>
      <c r="I393" s="3" t="s">
        <v>3714</v>
      </c>
      <c r="J393" s="17">
        <f t="shared" si="40"/>
        <v>306</v>
      </c>
      <c r="K393" s="2">
        <f t="shared" si="41"/>
        <v>-86</v>
      </c>
      <c r="L393" s="12" t="s">
        <v>3714</v>
      </c>
    </row>
    <row r="394" spans="1:12" x14ac:dyDescent="0.25">
      <c r="A394" s="11" t="s">
        <v>1793</v>
      </c>
      <c r="B394" s="2" t="str">
        <f t="shared" si="36"/>
        <v>OctBrs f B L</v>
      </c>
      <c r="C394" s="3">
        <v>393</v>
      </c>
      <c r="D394" s="17" t="s">
        <v>392</v>
      </c>
      <c r="E394" s="2" t="str">
        <f t="shared" si="37"/>
        <v>JD Fl Push</v>
      </c>
      <c r="F394" s="12">
        <v>393</v>
      </c>
      <c r="G394" s="17">
        <f t="shared" si="38"/>
        <v>489</v>
      </c>
      <c r="H394" s="2">
        <f t="shared" si="39"/>
        <v>96</v>
      </c>
      <c r="I394" s="3" t="s">
        <v>3714</v>
      </c>
      <c r="J394" s="17">
        <f t="shared" si="40"/>
        <v>307</v>
      </c>
      <c r="K394" s="2">
        <f t="shared" si="41"/>
        <v>-86</v>
      </c>
      <c r="L394" s="12" t="s">
        <v>3714</v>
      </c>
    </row>
    <row r="395" spans="1:12" x14ac:dyDescent="0.25">
      <c r="A395" s="11" t="s">
        <v>1794</v>
      </c>
      <c r="B395" s="2" t="str">
        <f t="shared" si="36"/>
        <v>OctBrs f B R</v>
      </c>
      <c r="C395" s="3">
        <v>394</v>
      </c>
      <c r="D395" s="17" t="s">
        <v>393</v>
      </c>
      <c r="E395" s="2" t="str">
        <f t="shared" si="37"/>
        <v>Clarinet A</v>
      </c>
      <c r="F395" s="12">
        <v>394</v>
      </c>
      <c r="G395" s="17">
        <f t="shared" si="38"/>
        <v>490</v>
      </c>
      <c r="H395" s="2">
        <f t="shared" si="39"/>
        <v>96</v>
      </c>
      <c r="I395" s="3" t="s">
        <v>3714</v>
      </c>
      <c r="J395" s="17">
        <f t="shared" si="40"/>
        <v>308</v>
      </c>
      <c r="K395" s="2">
        <f t="shared" si="41"/>
        <v>-86</v>
      </c>
      <c r="L395" s="12" t="s">
        <v>3714</v>
      </c>
    </row>
    <row r="396" spans="1:12" x14ac:dyDescent="0.25">
      <c r="A396" s="11" t="s">
        <v>1795</v>
      </c>
      <c r="B396" s="2" t="str">
        <f t="shared" si="36"/>
        <v>OctBrs f C L</v>
      </c>
      <c r="C396" s="3">
        <v>395</v>
      </c>
      <c r="D396" s="17" t="s">
        <v>394</v>
      </c>
      <c r="E396" s="2" t="str">
        <f t="shared" si="37"/>
        <v>Clarinet B</v>
      </c>
      <c r="F396" s="12">
        <v>395</v>
      </c>
      <c r="G396" s="17">
        <f t="shared" si="38"/>
        <v>491</v>
      </c>
      <c r="H396" s="2">
        <f t="shared" si="39"/>
        <v>96</v>
      </c>
      <c r="I396" s="3" t="s">
        <v>3714</v>
      </c>
      <c r="J396" s="17">
        <f t="shared" si="40"/>
        <v>309</v>
      </c>
      <c r="K396" s="2">
        <f t="shared" si="41"/>
        <v>-86</v>
      </c>
      <c r="L396" s="12" t="s">
        <v>3714</v>
      </c>
    </row>
    <row r="397" spans="1:12" x14ac:dyDescent="0.25">
      <c r="A397" s="11" t="s">
        <v>1796</v>
      </c>
      <c r="B397" s="2" t="str">
        <f t="shared" si="36"/>
        <v>OctBrs f C R</v>
      </c>
      <c r="C397" s="3">
        <v>396</v>
      </c>
      <c r="D397" s="17" t="s">
        <v>395</v>
      </c>
      <c r="E397" s="2" t="str">
        <f t="shared" si="37"/>
        <v>Clarinet C</v>
      </c>
      <c r="F397" s="12">
        <v>396</v>
      </c>
      <c r="G397" s="17">
        <f t="shared" si="38"/>
        <v>492</v>
      </c>
      <c r="H397" s="2">
        <f t="shared" si="39"/>
        <v>96</v>
      </c>
      <c r="I397" s="3" t="s">
        <v>3714</v>
      </c>
      <c r="J397" s="17">
        <f t="shared" si="40"/>
        <v>310</v>
      </c>
      <c r="K397" s="2">
        <f t="shared" si="41"/>
        <v>-86</v>
      </c>
      <c r="L397" s="12" t="s">
        <v>3714</v>
      </c>
    </row>
    <row r="398" spans="1:12" x14ac:dyDescent="0.25">
      <c r="A398" s="11" t="s">
        <v>1797</v>
      </c>
      <c r="B398" s="2" t="str">
        <f t="shared" si="36"/>
        <v>Brs Fall 1 L</v>
      </c>
      <c r="C398" s="3">
        <v>397</v>
      </c>
      <c r="D398" s="17" t="s">
        <v>396</v>
      </c>
      <c r="E398" s="2" t="str">
        <f t="shared" si="37"/>
        <v>Oboe Mezzo A</v>
      </c>
      <c r="F398" s="12">
        <v>397</v>
      </c>
      <c r="G398" s="17">
        <f t="shared" si="38"/>
        <v>0</v>
      </c>
      <c r="H398" s="2">
        <f t="shared" si="39"/>
        <v>0</v>
      </c>
      <c r="I398" s="3" t="s">
        <v>3714</v>
      </c>
      <c r="J398" s="17">
        <f t="shared" si="40"/>
        <v>311</v>
      </c>
      <c r="K398" s="2">
        <f t="shared" si="41"/>
        <v>-86</v>
      </c>
      <c r="L398" s="12" t="s">
        <v>3714</v>
      </c>
    </row>
    <row r="399" spans="1:12" x14ac:dyDescent="0.25">
      <c r="A399" s="11" t="s">
        <v>1798</v>
      </c>
      <c r="B399" s="2" t="str">
        <f t="shared" si="36"/>
        <v>Brs Fall 1 R</v>
      </c>
      <c r="C399" s="3">
        <v>398</v>
      </c>
      <c r="D399" s="17" t="s">
        <v>397</v>
      </c>
      <c r="E399" s="2" t="str">
        <f t="shared" si="37"/>
        <v>Oboe Mezzo B</v>
      </c>
      <c r="F399" s="12">
        <v>398</v>
      </c>
      <c r="G399" s="17">
        <f t="shared" si="38"/>
        <v>0</v>
      </c>
      <c r="H399" s="2">
        <f t="shared" si="39"/>
        <v>0</v>
      </c>
      <c r="I399" s="3" t="s">
        <v>3714</v>
      </c>
      <c r="J399" s="17">
        <f t="shared" si="40"/>
        <v>312</v>
      </c>
      <c r="K399" s="2">
        <f t="shared" si="41"/>
        <v>-86</v>
      </c>
      <c r="L399" s="12" t="s">
        <v>3714</v>
      </c>
    </row>
    <row r="400" spans="1:12" x14ac:dyDescent="0.25">
      <c r="A400" s="11" t="s">
        <v>1799</v>
      </c>
      <c r="B400" s="2" t="str">
        <f t="shared" si="36"/>
        <v>Brs Fall 2 L</v>
      </c>
      <c r="C400" s="3">
        <v>399</v>
      </c>
      <c r="D400" s="17" t="s">
        <v>398</v>
      </c>
      <c r="E400" s="2" t="str">
        <f t="shared" si="37"/>
        <v>Oboe Mezzo C</v>
      </c>
      <c r="F400" s="12">
        <v>399</v>
      </c>
      <c r="G400" s="17">
        <f t="shared" si="38"/>
        <v>0</v>
      </c>
      <c r="H400" s="2">
        <f t="shared" si="39"/>
        <v>0</v>
      </c>
      <c r="I400" s="3" t="s">
        <v>3714</v>
      </c>
      <c r="J400" s="17">
        <f t="shared" si="40"/>
        <v>313</v>
      </c>
      <c r="K400" s="2">
        <f t="shared" si="41"/>
        <v>-86</v>
      </c>
      <c r="L400" s="12" t="s">
        <v>3714</v>
      </c>
    </row>
    <row r="401" spans="1:12" x14ac:dyDescent="0.25">
      <c r="A401" s="11" t="s">
        <v>1800</v>
      </c>
      <c r="B401" s="2" t="str">
        <f t="shared" si="36"/>
        <v>Brs Fall 2 R</v>
      </c>
      <c r="C401" s="3">
        <v>400</v>
      </c>
      <c r="D401" s="17" t="s">
        <v>399</v>
      </c>
      <c r="E401" s="2" t="str">
        <f t="shared" si="37"/>
        <v>Oboe Forte A</v>
      </c>
      <c r="F401" s="12">
        <v>400</v>
      </c>
      <c r="G401" s="17">
        <f t="shared" si="38"/>
        <v>0</v>
      </c>
      <c r="H401" s="2">
        <f t="shared" si="39"/>
        <v>0</v>
      </c>
      <c r="I401" s="3" t="s">
        <v>3714</v>
      </c>
      <c r="J401" s="17">
        <f t="shared" si="40"/>
        <v>314</v>
      </c>
      <c r="K401" s="2">
        <f t="shared" si="41"/>
        <v>-86</v>
      </c>
      <c r="L401" s="12" t="s">
        <v>3714</v>
      </c>
    </row>
    <row r="402" spans="1:12" x14ac:dyDescent="0.25">
      <c r="A402" s="11" t="s">
        <v>1801</v>
      </c>
      <c r="B402" s="2" t="str">
        <f t="shared" si="36"/>
        <v>OrchUnis A L</v>
      </c>
      <c r="C402" s="3">
        <v>401</v>
      </c>
      <c r="D402" s="17" t="s">
        <v>400</v>
      </c>
      <c r="E402" s="2" t="str">
        <f t="shared" si="37"/>
        <v>Oboe Forte B</v>
      </c>
      <c r="F402" s="12">
        <v>401</v>
      </c>
      <c r="G402" s="17">
        <f t="shared" si="38"/>
        <v>494</v>
      </c>
      <c r="H402" s="2">
        <f t="shared" si="39"/>
        <v>93</v>
      </c>
      <c r="I402" s="3" t="s">
        <v>3714</v>
      </c>
      <c r="J402" s="17">
        <f t="shared" si="40"/>
        <v>315</v>
      </c>
      <c r="K402" s="2">
        <f t="shared" si="41"/>
        <v>-86</v>
      </c>
      <c r="L402" s="12" t="s">
        <v>3714</v>
      </c>
    </row>
    <row r="403" spans="1:12" x14ac:dyDescent="0.25">
      <c r="A403" s="11" t="s">
        <v>1802</v>
      </c>
      <c r="B403" s="2" t="str">
        <f t="shared" si="36"/>
        <v>OrchUnis A R</v>
      </c>
      <c r="C403" s="3">
        <v>402</v>
      </c>
      <c r="D403" s="17" t="s">
        <v>401</v>
      </c>
      <c r="E403" s="2" t="str">
        <f t="shared" si="37"/>
        <v>Oboe Forte C</v>
      </c>
      <c r="F403" s="12">
        <v>402</v>
      </c>
      <c r="G403" s="17">
        <f t="shared" si="38"/>
        <v>495</v>
      </c>
      <c r="H403" s="2">
        <f t="shared" si="39"/>
        <v>93</v>
      </c>
      <c r="I403" s="3" t="s">
        <v>3714</v>
      </c>
      <c r="J403" s="17">
        <f t="shared" si="40"/>
        <v>316</v>
      </c>
      <c r="K403" s="2">
        <f t="shared" si="41"/>
        <v>-86</v>
      </c>
      <c r="L403" s="12" t="s">
        <v>3714</v>
      </c>
    </row>
    <row r="404" spans="1:12" x14ac:dyDescent="0.25">
      <c r="A404" s="11" t="s">
        <v>1803</v>
      </c>
      <c r="B404" s="2" t="str">
        <f t="shared" si="36"/>
        <v>OrchUnis B L</v>
      </c>
      <c r="C404" s="3">
        <v>403</v>
      </c>
      <c r="D404" s="17" t="s">
        <v>402</v>
      </c>
      <c r="E404" s="2" t="str">
        <f t="shared" si="37"/>
        <v>E.Horn A</v>
      </c>
      <c r="F404" s="12">
        <v>403</v>
      </c>
      <c r="G404" s="17">
        <f t="shared" si="38"/>
        <v>496</v>
      </c>
      <c r="H404" s="2">
        <f t="shared" si="39"/>
        <v>93</v>
      </c>
      <c r="I404" s="3" t="s">
        <v>3714</v>
      </c>
      <c r="J404" s="17">
        <f t="shared" si="40"/>
        <v>317</v>
      </c>
      <c r="K404" s="2">
        <f t="shared" si="41"/>
        <v>-86</v>
      </c>
      <c r="L404" s="12" t="s">
        <v>3714</v>
      </c>
    </row>
    <row r="405" spans="1:12" x14ac:dyDescent="0.25">
      <c r="A405" s="11" t="s">
        <v>1804</v>
      </c>
      <c r="B405" s="2" t="str">
        <f t="shared" si="36"/>
        <v>OrchUnis B R</v>
      </c>
      <c r="C405" s="3">
        <v>404</v>
      </c>
      <c r="D405" s="17" t="s">
        <v>403</v>
      </c>
      <c r="E405" s="2" t="str">
        <f t="shared" si="37"/>
        <v>E.Horn B</v>
      </c>
      <c r="F405" s="12">
        <v>404</v>
      </c>
      <c r="G405" s="17">
        <f t="shared" si="38"/>
        <v>497</v>
      </c>
      <c r="H405" s="2">
        <f t="shared" si="39"/>
        <v>93</v>
      </c>
      <c r="I405" s="3" t="s">
        <v>3714</v>
      </c>
      <c r="J405" s="17">
        <f t="shared" si="40"/>
        <v>318</v>
      </c>
      <c r="K405" s="2">
        <f t="shared" si="41"/>
        <v>-86</v>
      </c>
      <c r="L405" s="12" t="s">
        <v>3714</v>
      </c>
    </row>
    <row r="406" spans="1:12" x14ac:dyDescent="0.25">
      <c r="A406" s="11" t="s">
        <v>1805</v>
      </c>
      <c r="B406" s="2" t="str">
        <f t="shared" si="36"/>
        <v>OrchUnis C L</v>
      </c>
      <c r="C406" s="3">
        <v>405</v>
      </c>
      <c r="D406" s="17" t="s">
        <v>404</v>
      </c>
      <c r="E406" s="2" t="str">
        <f t="shared" si="37"/>
        <v>E.Horn C</v>
      </c>
      <c r="F406" s="12">
        <v>405</v>
      </c>
      <c r="G406" s="17">
        <f t="shared" si="38"/>
        <v>498</v>
      </c>
      <c r="H406" s="2">
        <f t="shared" si="39"/>
        <v>93</v>
      </c>
      <c r="I406" s="3" t="s">
        <v>3714</v>
      </c>
      <c r="J406" s="17">
        <f t="shared" si="40"/>
        <v>319</v>
      </c>
      <c r="K406" s="2">
        <f t="shared" si="41"/>
        <v>-86</v>
      </c>
      <c r="L406" s="12" t="s">
        <v>3714</v>
      </c>
    </row>
    <row r="407" spans="1:12" x14ac:dyDescent="0.25">
      <c r="A407" s="11" t="s">
        <v>1806</v>
      </c>
      <c r="B407" s="2" t="str">
        <f t="shared" si="36"/>
        <v>OrchUnis C R</v>
      </c>
      <c r="C407" s="3">
        <v>406</v>
      </c>
      <c r="D407" s="17" t="s">
        <v>405</v>
      </c>
      <c r="E407" s="2" t="str">
        <f t="shared" si="37"/>
        <v>Bassoon A</v>
      </c>
      <c r="F407" s="12">
        <v>406</v>
      </c>
      <c r="G407" s="17">
        <f t="shared" si="38"/>
        <v>499</v>
      </c>
      <c r="H407" s="2">
        <f t="shared" si="39"/>
        <v>93</v>
      </c>
      <c r="I407" s="3" t="s">
        <v>3714</v>
      </c>
      <c r="J407" s="17">
        <f t="shared" si="40"/>
        <v>320</v>
      </c>
      <c r="K407" s="2">
        <f t="shared" si="41"/>
        <v>-86</v>
      </c>
      <c r="L407" s="12" t="s">
        <v>3714</v>
      </c>
    </row>
    <row r="408" spans="1:12" x14ac:dyDescent="0.25">
      <c r="A408" s="11" t="s">
        <v>1807</v>
      </c>
      <c r="B408" s="2" t="str">
        <f t="shared" si="36"/>
        <v>Violin Vib A</v>
      </c>
      <c r="C408" s="3">
        <v>407</v>
      </c>
      <c r="D408" s="17" t="s">
        <v>406</v>
      </c>
      <c r="E408" s="2" t="str">
        <f t="shared" si="37"/>
        <v>Bassoon B</v>
      </c>
      <c r="F408" s="12">
        <v>407</v>
      </c>
      <c r="G408" s="17">
        <f t="shared" si="38"/>
        <v>503</v>
      </c>
      <c r="H408" s="2">
        <f t="shared" si="39"/>
        <v>96</v>
      </c>
      <c r="I408" s="3" t="s">
        <v>3714</v>
      </c>
      <c r="J408" s="17">
        <f t="shared" si="40"/>
        <v>321</v>
      </c>
      <c r="K408" s="2">
        <f t="shared" si="41"/>
        <v>-86</v>
      </c>
      <c r="L408" s="12" t="s">
        <v>3714</v>
      </c>
    </row>
    <row r="409" spans="1:12" x14ac:dyDescent="0.25">
      <c r="A409" s="11" t="s">
        <v>1808</v>
      </c>
      <c r="B409" s="2" t="str">
        <f t="shared" si="36"/>
        <v>Violin Vib B</v>
      </c>
      <c r="C409" s="3">
        <v>408</v>
      </c>
      <c r="D409" s="17" t="s">
        <v>407</v>
      </c>
      <c r="E409" s="2" t="str">
        <f t="shared" si="37"/>
        <v>Bassoon C</v>
      </c>
      <c r="F409" s="12">
        <v>408</v>
      </c>
      <c r="G409" s="17">
        <f t="shared" si="38"/>
        <v>504</v>
      </c>
      <c r="H409" s="2">
        <f t="shared" si="39"/>
        <v>96</v>
      </c>
      <c r="I409" s="3" t="s">
        <v>3714</v>
      </c>
      <c r="J409" s="17">
        <f t="shared" si="40"/>
        <v>322</v>
      </c>
      <c r="K409" s="2">
        <f t="shared" si="41"/>
        <v>-86</v>
      </c>
      <c r="L409" s="12" t="s">
        <v>3714</v>
      </c>
    </row>
    <row r="410" spans="1:12" x14ac:dyDescent="0.25">
      <c r="A410" s="11" t="s">
        <v>1809</v>
      </c>
      <c r="B410" s="2" t="str">
        <f t="shared" si="36"/>
        <v>Violin Vib C</v>
      </c>
      <c r="C410" s="3">
        <v>409</v>
      </c>
      <c r="D410" s="17" t="s">
        <v>408</v>
      </c>
      <c r="E410" s="2" t="str">
        <f t="shared" si="37"/>
        <v>Recorder A</v>
      </c>
      <c r="F410" s="12">
        <v>409</v>
      </c>
      <c r="G410" s="17">
        <f t="shared" si="38"/>
        <v>505</v>
      </c>
      <c r="H410" s="2">
        <f t="shared" si="39"/>
        <v>96</v>
      </c>
      <c r="I410" s="3" t="s">
        <v>3714</v>
      </c>
      <c r="J410" s="17">
        <f t="shared" si="40"/>
        <v>323</v>
      </c>
      <c r="K410" s="2">
        <f t="shared" si="41"/>
        <v>-86</v>
      </c>
      <c r="L410" s="12" t="s">
        <v>3714</v>
      </c>
    </row>
    <row r="411" spans="1:12" x14ac:dyDescent="0.25">
      <c r="A411" s="11" t="s">
        <v>1810</v>
      </c>
      <c r="B411" s="2" t="str">
        <f t="shared" si="36"/>
        <v>Violin A</v>
      </c>
      <c r="C411" s="3">
        <v>410</v>
      </c>
      <c r="D411" s="17" t="s">
        <v>409</v>
      </c>
      <c r="E411" s="2" t="str">
        <f t="shared" si="37"/>
        <v>Recorder B</v>
      </c>
      <c r="F411" s="12">
        <v>410</v>
      </c>
      <c r="G411" s="17">
        <f t="shared" si="38"/>
        <v>0</v>
      </c>
      <c r="H411" s="2">
        <f t="shared" si="39"/>
        <v>0</v>
      </c>
      <c r="I411" s="3" t="s">
        <v>3714</v>
      </c>
      <c r="J411" s="17">
        <f t="shared" si="40"/>
        <v>324</v>
      </c>
      <c r="K411" s="2">
        <f t="shared" si="41"/>
        <v>-86</v>
      </c>
      <c r="L411" s="12" t="s">
        <v>3714</v>
      </c>
    </row>
    <row r="412" spans="1:12" x14ac:dyDescent="0.25">
      <c r="A412" s="11" t="s">
        <v>1811</v>
      </c>
      <c r="B412" s="2" t="str">
        <f t="shared" si="36"/>
        <v>Violin B</v>
      </c>
      <c r="C412" s="3">
        <v>411</v>
      </c>
      <c r="D412" s="17" t="s">
        <v>410</v>
      </c>
      <c r="E412" s="2" t="str">
        <f t="shared" si="37"/>
        <v>Recorder C</v>
      </c>
      <c r="F412" s="12">
        <v>411</v>
      </c>
      <c r="G412" s="17">
        <f t="shared" si="38"/>
        <v>0</v>
      </c>
      <c r="H412" s="2">
        <f t="shared" si="39"/>
        <v>0</v>
      </c>
      <c r="I412" s="3" t="s">
        <v>3714</v>
      </c>
      <c r="J412" s="17">
        <f t="shared" si="40"/>
        <v>325</v>
      </c>
      <c r="K412" s="2">
        <f t="shared" si="41"/>
        <v>-86</v>
      </c>
      <c r="L412" s="12" t="s">
        <v>3714</v>
      </c>
    </row>
    <row r="413" spans="1:12" x14ac:dyDescent="0.25">
      <c r="A413" s="11" t="s">
        <v>1812</v>
      </c>
      <c r="B413" s="2" t="str">
        <f t="shared" si="36"/>
        <v>Violin C</v>
      </c>
      <c r="C413" s="3">
        <v>412</v>
      </c>
      <c r="D413" s="17" t="s">
        <v>411</v>
      </c>
      <c r="E413" s="2" t="str">
        <f t="shared" si="37"/>
        <v>SopranoSax A</v>
      </c>
      <c r="F413" s="12">
        <v>412</v>
      </c>
      <c r="G413" s="17">
        <f t="shared" si="38"/>
        <v>0</v>
      </c>
      <c r="H413" s="2">
        <f t="shared" si="39"/>
        <v>0</v>
      </c>
      <c r="I413" s="3" t="s">
        <v>3714</v>
      </c>
      <c r="J413" s="17">
        <f t="shared" si="40"/>
        <v>326</v>
      </c>
      <c r="K413" s="2">
        <f t="shared" si="41"/>
        <v>-86</v>
      </c>
      <c r="L413" s="12" t="s">
        <v>3714</v>
      </c>
    </row>
    <row r="414" spans="1:12" x14ac:dyDescent="0.25">
      <c r="A414" s="11" t="s">
        <v>1813</v>
      </c>
      <c r="B414" s="2" t="str">
        <f t="shared" si="36"/>
        <v>Cello Vib A</v>
      </c>
      <c r="C414" s="3">
        <v>413</v>
      </c>
      <c r="D414" s="17" t="s">
        <v>412</v>
      </c>
      <c r="E414" s="2" t="str">
        <f t="shared" si="37"/>
        <v>SopranoSax B</v>
      </c>
      <c r="F414" s="12">
        <v>413</v>
      </c>
      <c r="G414" s="17">
        <f t="shared" si="38"/>
        <v>509</v>
      </c>
      <c r="H414" s="2">
        <f t="shared" si="39"/>
        <v>96</v>
      </c>
      <c r="I414" s="3" t="s">
        <v>3714</v>
      </c>
      <c r="J414" s="17">
        <f t="shared" si="40"/>
        <v>327</v>
      </c>
      <c r="K414" s="2">
        <f t="shared" si="41"/>
        <v>-86</v>
      </c>
      <c r="L414" s="12" t="s">
        <v>3714</v>
      </c>
    </row>
    <row r="415" spans="1:12" x14ac:dyDescent="0.25">
      <c r="A415" s="11" t="s">
        <v>1814</v>
      </c>
      <c r="B415" s="2" t="str">
        <f t="shared" si="36"/>
        <v>Cello Vib B</v>
      </c>
      <c r="C415" s="3">
        <v>414</v>
      </c>
      <c r="D415" s="17" t="s">
        <v>413</v>
      </c>
      <c r="E415" s="2" t="str">
        <f t="shared" si="37"/>
        <v>SopranoSax C</v>
      </c>
      <c r="F415" s="12">
        <v>414</v>
      </c>
      <c r="G415" s="17">
        <f t="shared" si="38"/>
        <v>510</v>
      </c>
      <c r="H415" s="2">
        <f t="shared" si="39"/>
        <v>96</v>
      </c>
      <c r="I415" s="3" t="s">
        <v>3714</v>
      </c>
      <c r="J415" s="17">
        <f t="shared" si="40"/>
        <v>328</v>
      </c>
      <c r="K415" s="2">
        <f t="shared" si="41"/>
        <v>-86</v>
      </c>
      <c r="L415" s="12" t="s">
        <v>3714</v>
      </c>
    </row>
    <row r="416" spans="1:12" x14ac:dyDescent="0.25">
      <c r="A416" s="11" t="s">
        <v>1815</v>
      </c>
      <c r="B416" s="2" t="str">
        <f t="shared" si="36"/>
        <v>Cello Vib C</v>
      </c>
      <c r="C416" s="3">
        <v>415</v>
      </c>
      <c r="D416" s="17" t="s">
        <v>414</v>
      </c>
      <c r="E416" s="2" t="str">
        <f t="shared" si="37"/>
        <v>Alto Sax Vib</v>
      </c>
      <c r="F416" s="12">
        <v>415</v>
      </c>
      <c r="G416" s="17">
        <f t="shared" si="38"/>
        <v>511</v>
      </c>
      <c r="H416" s="2">
        <f t="shared" si="39"/>
        <v>96</v>
      </c>
      <c r="I416" s="3" t="s">
        <v>3714</v>
      </c>
      <c r="J416" s="17">
        <f t="shared" si="40"/>
        <v>329</v>
      </c>
      <c r="K416" s="2">
        <f t="shared" si="41"/>
        <v>-86</v>
      </c>
      <c r="L416" s="12" t="s">
        <v>3714</v>
      </c>
    </row>
    <row r="417" spans="1:12" x14ac:dyDescent="0.25">
      <c r="A417" s="11" t="s">
        <v>1816</v>
      </c>
      <c r="B417" s="2" t="str">
        <f t="shared" si="36"/>
        <v>Cello A</v>
      </c>
      <c r="C417" s="3">
        <v>416</v>
      </c>
      <c r="D417" s="17" t="s">
        <v>415</v>
      </c>
      <c r="E417" s="2" t="str">
        <f t="shared" si="37"/>
        <v>Soft Alto A</v>
      </c>
      <c r="F417" s="12">
        <v>416</v>
      </c>
      <c r="G417" s="17">
        <f t="shared" si="38"/>
        <v>0</v>
      </c>
      <c r="H417" s="2">
        <f t="shared" si="39"/>
        <v>0</v>
      </c>
      <c r="I417" s="3" t="s">
        <v>3714</v>
      </c>
      <c r="J417" s="17">
        <f t="shared" si="40"/>
        <v>330</v>
      </c>
      <c r="K417" s="2">
        <f t="shared" si="41"/>
        <v>-86</v>
      </c>
      <c r="L417" s="12" t="s">
        <v>3714</v>
      </c>
    </row>
    <row r="418" spans="1:12" x14ac:dyDescent="0.25">
      <c r="A418" s="11" t="s">
        <v>1817</v>
      </c>
      <c r="B418" s="2" t="str">
        <f t="shared" si="36"/>
        <v>Cello B</v>
      </c>
      <c r="C418" s="3">
        <v>417</v>
      </c>
      <c r="D418" s="17" t="s">
        <v>416</v>
      </c>
      <c r="E418" s="2" t="str">
        <f t="shared" si="37"/>
        <v>Soft Alto B</v>
      </c>
      <c r="F418" s="12">
        <v>417</v>
      </c>
      <c r="G418" s="17">
        <f t="shared" si="38"/>
        <v>0</v>
      </c>
      <c r="H418" s="2">
        <f t="shared" si="39"/>
        <v>0</v>
      </c>
      <c r="I418" s="3" t="s">
        <v>3714</v>
      </c>
      <c r="J418" s="17">
        <f t="shared" si="40"/>
        <v>331</v>
      </c>
      <c r="K418" s="2">
        <f t="shared" si="41"/>
        <v>-86</v>
      </c>
      <c r="L418" s="12" t="s">
        <v>3714</v>
      </c>
    </row>
    <row r="419" spans="1:12" x14ac:dyDescent="0.25">
      <c r="A419" s="11" t="s">
        <v>1818</v>
      </c>
      <c r="B419" s="2" t="str">
        <f t="shared" si="36"/>
        <v>Cello C</v>
      </c>
      <c r="C419" s="3">
        <v>418</v>
      </c>
      <c r="D419" s="17" t="s">
        <v>417</v>
      </c>
      <c r="E419" s="2" t="str">
        <f t="shared" si="37"/>
        <v>Soft Alto C</v>
      </c>
      <c r="F419" s="12">
        <v>418</v>
      </c>
      <c r="G419" s="17">
        <f t="shared" si="38"/>
        <v>0</v>
      </c>
      <c r="H419" s="2">
        <f t="shared" si="39"/>
        <v>0</v>
      </c>
      <c r="I419" s="3" t="s">
        <v>3714</v>
      </c>
      <c r="J419" s="17">
        <f t="shared" si="40"/>
        <v>332</v>
      </c>
      <c r="K419" s="2">
        <f t="shared" si="41"/>
        <v>-86</v>
      </c>
      <c r="L419" s="12" t="s">
        <v>3714</v>
      </c>
    </row>
    <row r="420" spans="1:12" x14ac:dyDescent="0.25">
      <c r="A420" s="11" t="s">
        <v>1819</v>
      </c>
      <c r="B420" s="2" t="str">
        <f t="shared" si="36"/>
        <v>Vl Sect. A L</v>
      </c>
      <c r="C420" s="3">
        <v>419</v>
      </c>
      <c r="D420" s="17" t="s">
        <v>418</v>
      </c>
      <c r="E420" s="2" t="str">
        <f t="shared" si="37"/>
        <v>Wide Sax A</v>
      </c>
      <c r="F420" s="12">
        <v>419</v>
      </c>
      <c r="G420" s="17">
        <f t="shared" si="38"/>
        <v>512</v>
      </c>
      <c r="H420" s="2">
        <f t="shared" si="39"/>
        <v>93</v>
      </c>
      <c r="I420" s="3" t="s">
        <v>3714</v>
      </c>
      <c r="J420" s="17">
        <f t="shared" si="40"/>
        <v>333</v>
      </c>
      <c r="K420" s="2">
        <f t="shared" si="41"/>
        <v>-86</v>
      </c>
      <c r="L420" s="12" t="s">
        <v>3714</v>
      </c>
    </row>
    <row r="421" spans="1:12" x14ac:dyDescent="0.25">
      <c r="A421" s="11" t="s">
        <v>1820</v>
      </c>
      <c r="B421" s="2" t="str">
        <f t="shared" si="36"/>
        <v>Vl Sect. A R</v>
      </c>
      <c r="C421" s="3">
        <v>420</v>
      </c>
      <c r="D421" s="17" t="s">
        <v>419</v>
      </c>
      <c r="E421" s="2" t="str">
        <f t="shared" si="37"/>
        <v>Wide Sax B</v>
      </c>
      <c r="F421" s="12">
        <v>420</v>
      </c>
      <c r="G421" s="17">
        <f t="shared" si="38"/>
        <v>513</v>
      </c>
      <c r="H421" s="2">
        <f t="shared" si="39"/>
        <v>93</v>
      </c>
      <c r="I421" s="3" t="s">
        <v>3714</v>
      </c>
      <c r="J421" s="17">
        <f t="shared" si="40"/>
        <v>334</v>
      </c>
      <c r="K421" s="2">
        <f t="shared" si="41"/>
        <v>-86</v>
      </c>
      <c r="L421" s="12" t="s">
        <v>3714</v>
      </c>
    </row>
    <row r="422" spans="1:12" x14ac:dyDescent="0.25">
      <c r="A422" s="11" t="s">
        <v>1821</v>
      </c>
      <c r="B422" s="2" t="str">
        <f t="shared" si="36"/>
        <v>Vl Sect. B L</v>
      </c>
      <c r="C422" s="3">
        <v>421</v>
      </c>
      <c r="D422" s="17" t="s">
        <v>420</v>
      </c>
      <c r="E422" s="2" t="str">
        <f t="shared" si="37"/>
        <v>Wide Sax C</v>
      </c>
      <c r="F422" s="12">
        <v>421</v>
      </c>
      <c r="G422" s="17">
        <f t="shared" si="38"/>
        <v>514</v>
      </c>
      <c r="H422" s="2">
        <f t="shared" si="39"/>
        <v>93</v>
      </c>
      <c r="I422" s="3" t="s">
        <v>3714</v>
      </c>
      <c r="J422" s="17">
        <f t="shared" si="40"/>
        <v>335</v>
      </c>
      <c r="K422" s="2">
        <f t="shared" si="41"/>
        <v>-86</v>
      </c>
      <c r="L422" s="12" t="s">
        <v>3714</v>
      </c>
    </row>
    <row r="423" spans="1:12" x14ac:dyDescent="0.25">
      <c r="A423" s="11" t="s">
        <v>1822</v>
      </c>
      <c r="B423" s="2" t="str">
        <f t="shared" si="36"/>
        <v>Vl Sect. B R</v>
      </c>
      <c r="C423" s="3">
        <v>422</v>
      </c>
      <c r="D423" s="17" t="s">
        <v>421</v>
      </c>
      <c r="E423" s="2" t="str">
        <f t="shared" si="37"/>
        <v>BreathySax A</v>
      </c>
      <c r="F423" s="12">
        <v>422</v>
      </c>
      <c r="G423" s="17">
        <f t="shared" si="38"/>
        <v>515</v>
      </c>
      <c r="H423" s="2">
        <f t="shared" si="39"/>
        <v>93</v>
      </c>
      <c r="I423" s="3" t="s">
        <v>3714</v>
      </c>
      <c r="J423" s="17">
        <f t="shared" si="40"/>
        <v>336</v>
      </c>
      <c r="K423" s="2">
        <f t="shared" si="41"/>
        <v>-86</v>
      </c>
      <c r="L423" s="12" t="s">
        <v>3714</v>
      </c>
    </row>
    <row r="424" spans="1:12" x14ac:dyDescent="0.25">
      <c r="A424" s="11" t="s">
        <v>1823</v>
      </c>
      <c r="B424" s="2" t="str">
        <f t="shared" si="36"/>
        <v>Vl Sect. C L</v>
      </c>
      <c r="C424" s="3">
        <v>423</v>
      </c>
      <c r="D424" s="17" t="s">
        <v>422</v>
      </c>
      <c r="E424" s="2" t="str">
        <f t="shared" si="37"/>
        <v>BreathySax B</v>
      </c>
      <c r="F424" s="12">
        <v>423</v>
      </c>
      <c r="G424" s="17">
        <f t="shared" si="38"/>
        <v>516</v>
      </c>
      <c r="H424" s="2">
        <f t="shared" si="39"/>
        <v>93</v>
      </c>
      <c r="I424" s="3" t="s">
        <v>3714</v>
      </c>
      <c r="J424" s="17">
        <f t="shared" si="40"/>
        <v>337</v>
      </c>
      <c r="K424" s="2">
        <f t="shared" si="41"/>
        <v>-86</v>
      </c>
      <c r="L424" s="12" t="s">
        <v>3714</v>
      </c>
    </row>
    <row r="425" spans="1:12" x14ac:dyDescent="0.25">
      <c r="A425" s="11" t="s">
        <v>1824</v>
      </c>
      <c r="B425" s="2" t="str">
        <f t="shared" si="36"/>
        <v>Vl Sect. C R</v>
      </c>
      <c r="C425" s="3">
        <v>424</v>
      </c>
      <c r="D425" s="17" t="s">
        <v>423</v>
      </c>
      <c r="E425" s="2" t="str">
        <f t="shared" si="37"/>
        <v>BreathySax C</v>
      </c>
      <c r="F425" s="12">
        <v>424</v>
      </c>
      <c r="G425" s="17">
        <f t="shared" si="38"/>
        <v>517</v>
      </c>
      <c r="H425" s="2">
        <f t="shared" si="39"/>
        <v>93</v>
      </c>
      <c r="I425" s="3" t="s">
        <v>3714</v>
      </c>
      <c r="J425" s="17">
        <f t="shared" si="40"/>
        <v>338</v>
      </c>
      <c r="K425" s="2">
        <f t="shared" si="41"/>
        <v>-86</v>
      </c>
      <c r="L425" s="12" t="s">
        <v>3714</v>
      </c>
    </row>
    <row r="426" spans="1:12" x14ac:dyDescent="0.25">
      <c r="A426" s="11" t="s">
        <v>1825</v>
      </c>
      <c r="B426" s="2" t="str">
        <f t="shared" si="36"/>
        <v>Vc Sect. A L</v>
      </c>
      <c r="C426" s="3">
        <v>425</v>
      </c>
      <c r="D426" s="17" t="s">
        <v>424</v>
      </c>
      <c r="E426" s="2" t="str">
        <f t="shared" si="37"/>
        <v>TenorBreathy</v>
      </c>
      <c r="F426" s="12">
        <v>425</v>
      </c>
      <c r="G426" s="17">
        <f t="shared" si="38"/>
        <v>518</v>
      </c>
      <c r="H426" s="2">
        <f t="shared" si="39"/>
        <v>93</v>
      </c>
      <c r="I426" s="3" t="s">
        <v>3714</v>
      </c>
      <c r="J426" s="17">
        <f t="shared" si="40"/>
        <v>0</v>
      </c>
      <c r="K426" s="2">
        <f t="shared" si="41"/>
        <v>0</v>
      </c>
      <c r="L426" s="12" t="s">
        <v>3714</v>
      </c>
    </row>
    <row r="427" spans="1:12" x14ac:dyDescent="0.25">
      <c r="A427" s="11" t="s">
        <v>1826</v>
      </c>
      <c r="B427" s="2" t="str">
        <f t="shared" si="36"/>
        <v>Vc Sect. A R</v>
      </c>
      <c r="C427" s="3">
        <v>426</v>
      </c>
      <c r="D427" s="17" t="s">
        <v>425</v>
      </c>
      <c r="E427" s="2" t="str">
        <f t="shared" si="37"/>
        <v>Tenor Sax A</v>
      </c>
      <c r="F427" s="12">
        <v>426</v>
      </c>
      <c r="G427" s="17">
        <f t="shared" si="38"/>
        <v>519</v>
      </c>
      <c r="H427" s="2">
        <f t="shared" si="39"/>
        <v>93</v>
      </c>
      <c r="I427" s="3" t="s">
        <v>3714</v>
      </c>
      <c r="J427" s="17">
        <f t="shared" si="40"/>
        <v>339</v>
      </c>
      <c r="K427" s="2">
        <f t="shared" si="41"/>
        <v>-87</v>
      </c>
      <c r="L427" s="12" t="s">
        <v>3714</v>
      </c>
    </row>
    <row r="428" spans="1:12" x14ac:dyDescent="0.25">
      <c r="A428" s="11" t="s">
        <v>1827</v>
      </c>
      <c r="B428" s="2" t="str">
        <f t="shared" si="36"/>
        <v>Vc Sect. B L</v>
      </c>
      <c r="C428" s="3">
        <v>427</v>
      </c>
      <c r="D428" s="17" t="s">
        <v>426</v>
      </c>
      <c r="E428" s="2" t="str">
        <f t="shared" si="37"/>
        <v>Tenor Sax B</v>
      </c>
      <c r="F428" s="12">
        <v>427</v>
      </c>
      <c r="G428" s="17">
        <f t="shared" si="38"/>
        <v>520</v>
      </c>
      <c r="H428" s="2">
        <f t="shared" si="39"/>
        <v>93</v>
      </c>
      <c r="I428" s="3" t="s">
        <v>3714</v>
      </c>
      <c r="J428" s="17">
        <f t="shared" si="40"/>
        <v>340</v>
      </c>
      <c r="K428" s="2">
        <f t="shared" si="41"/>
        <v>-87</v>
      </c>
      <c r="L428" s="12" t="s">
        <v>3714</v>
      </c>
    </row>
    <row r="429" spans="1:12" x14ac:dyDescent="0.25">
      <c r="A429" s="11" t="s">
        <v>1828</v>
      </c>
      <c r="B429" s="2" t="str">
        <f t="shared" si="36"/>
        <v>Vc Sect. B R</v>
      </c>
      <c r="C429" s="3">
        <v>428</v>
      </c>
      <c r="D429" s="17" t="s">
        <v>427</v>
      </c>
      <c r="E429" s="2" t="str">
        <f t="shared" si="37"/>
        <v>Tenor Sax C</v>
      </c>
      <c r="F429" s="12">
        <v>428</v>
      </c>
      <c r="G429" s="17">
        <f t="shared" si="38"/>
        <v>521</v>
      </c>
      <c r="H429" s="2">
        <f t="shared" si="39"/>
        <v>93</v>
      </c>
      <c r="I429" s="3" t="s">
        <v>3714</v>
      </c>
      <c r="J429" s="17">
        <f t="shared" si="40"/>
        <v>341</v>
      </c>
      <c r="K429" s="2">
        <f t="shared" si="41"/>
        <v>-87</v>
      </c>
      <c r="L429" s="12" t="s">
        <v>3714</v>
      </c>
    </row>
    <row r="430" spans="1:12" x14ac:dyDescent="0.25">
      <c r="A430" s="11" t="s">
        <v>1829</v>
      </c>
      <c r="B430" s="2" t="str">
        <f t="shared" si="36"/>
        <v>Vc Sect. C L</v>
      </c>
      <c r="C430" s="3">
        <v>429</v>
      </c>
      <c r="D430" s="17" t="s">
        <v>428</v>
      </c>
      <c r="E430" s="2" t="str">
        <f t="shared" si="37"/>
        <v>Bari.Sax 1 A</v>
      </c>
      <c r="F430" s="12">
        <v>429</v>
      </c>
      <c r="G430" s="17">
        <f t="shared" si="38"/>
        <v>522</v>
      </c>
      <c r="H430" s="2">
        <f t="shared" si="39"/>
        <v>93</v>
      </c>
      <c r="I430" s="3" t="s">
        <v>3714</v>
      </c>
      <c r="J430" s="17">
        <f t="shared" si="40"/>
        <v>342</v>
      </c>
      <c r="K430" s="2">
        <f t="shared" si="41"/>
        <v>-87</v>
      </c>
      <c r="L430" s="12" t="s">
        <v>3714</v>
      </c>
    </row>
    <row r="431" spans="1:12" x14ac:dyDescent="0.25">
      <c r="A431" s="11" t="s">
        <v>1830</v>
      </c>
      <c r="B431" s="2" t="str">
        <f t="shared" si="36"/>
        <v>Vc Sect. C R</v>
      </c>
      <c r="C431" s="3">
        <v>430</v>
      </c>
      <c r="D431" s="17" t="s">
        <v>429</v>
      </c>
      <c r="E431" s="2" t="str">
        <f t="shared" si="37"/>
        <v>Bari.Sax 1 B</v>
      </c>
      <c r="F431" s="12">
        <v>430</v>
      </c>
      <c r="G431" s="17">
        <f t="shared" si="38"/>
        <v>523</v>
      </c>
      <c r="H431" s="2">
        <f t="shared" si="39"/>
        <v>93</v>
      </c>
      <c r="I431" s="3" t="s">
        <v>3714</v>
      </c>
      <c r="J431" s="17">
        <f t="shared" si="40"/>
        <v>343</v>
      </c>
      <c r="K431" s="2">
        <f t="shared" si="41"/>
        <v>-87</v>
      </c>
      <c r="L431" s="12" t="s">
        <v>3714</v>
      </c>
    </row>
    <row r="432" spans="1:12" x14ac:dyDescent="0.25">
      <c r="A432" s="11" t="s">
        <v>1831</v>
      </c>
      <c r="B432" s="2" t="str">
        <f t="shared" si="36"/>
        <v>Full Str A L</v>
      </c>
      <c r="C432" s="3">
        <v>431</v>
      </c>
      <c r="D432" s="17" t="s">
        <v>430</v>
      </c>
      <c r="E432" s="2" t="str">
        <f t="shared" si="37"/>
        <v>Bari.Sax 1 C</v>
      </c>
      <c r="F432" s="12">
        <v>431</v>
      </c>
      <c r="G432" s="17">
        <f t="shared" si="38"/>
        <v>524</v>
      </c>
      <c r="H432" s="2">
        <f t="shared" si="39"/>
        <v>93</v>
      </c>
      <c r="I432" s="3" t="s">
        <v>3714</v>
      </c>
      <c r="J432" s="17">
        <f t="shared" si="40"/>
        <v>344</v>
      </c>
      <c r="K432" s="2">
        <f t="shared" si="41"/>
        <v>-87</v>
      </c>
      <c r="L432" s="12" t="s">
        <v>3714</v>
      </c>
    </row>
    <row r="433" spans="1:12" x14ac:dyDescent="0.25">
      <c r="A433" s="11" t="s">
        <v>1832</v>
      </c>
      <c r="B433" s="2" t="str">
        <f t="shared" si="36"/>
        <v>Full Str A R</v>
      </c>
      <c r="C433" s="3">
        <v>432</v>
      </c>
      <c r="D433" s="17" t="s">
        <v>431</v>
      </c>
      <c r="E433" s="2" t="str">
        <f t="shared" si="37"/>
        <v>Bari.Sax 2 A</v>
      </c>
      <c r="F433" s="12">
        <v>432</v>
      </c>
      <c r="G433" s="17">
        <f t="shared" si="38"/>
        <v>525</v>
      </c>
      <c r="H433" s="2">
        <f t="shared" si="39"/>
        <v>93</v>
      </c>
      <c r="I433" s="3" t="s">
        <v>3714</v>
      </c>
      <c r="J433" s="17">
        <f t="shared" si="40"/>
        <v>345</v>
      </c>
      <c r="K433" s="2">
        <f t="shared" si="41"/>
        <v>-87</v>
      </c>
      <c r="L433" s="12" t="s">
        <v>3714</v>
      </c>
    </row>
    <row r="434" spans="1:12" x14ac:dyDescent="0.25">
      <c r="A434" s="11" t="s">
        <v>1833</v>
      </c>
      <c r="B434" s="2" t="str">
        <f t="shared" si="36"/>
        <v>Full Str B L</v>
      </c>
      <c r="C434" s="3">
        <v>433</v>
      </c>
      <c r="D434" s="17" t="s">
        <v>432</v>
      </c>
      <c r="E434" s="2" t="str">
        <f t="shared" si="37"/>
        <v>Bari.Sax 2 B</v>
      </c>
      <c r="F434" s="12">
        <v>433</v>
      </c>
      <c r="G434" s="17">
        <f t="shared" si="38"/>
        <v>526</v>
      </c>
      <c r="H434" s="2">
        <f t="shared" si="39"/>
        <v>93</v>
      </c>
      <c r="I434" s="3" t="s">
        <v>3714</v>
      </c>
      <c r="J434" s="17">
        <f t="shared" si="40"/>
        <v>346</v>
      </c>
      <c r="K434" s="2">
        <f t="shared" si="41"/>
        <v>-87</v>
      </c>
      <c r="L434" s="12" t="s">
        <v>3714</v>
      </c>
    </row>
    <row r="435" spans="1:12" x14ac:dyDescent="0.25">
      <c r="A435" s="11" t="s">
        <v>1834</v>
      </c>
      <c r="B435" s="2" t="str">
        <f t="shared" si="36"/>
        <v>Full Str B R</v>
      </c>
      <c r="C435" s="3">
        <v>434</v>
      </c>
      <c r="D435" s="17" t="s">
        <v>433</v>
      </c>
      <c r="E435" s="2" t="str">
        <f t="shared" si="37"/>
        <v>Bari.Sax 2 C</v>
      </c>
      <c r="F435" s="12">
        <v>434</v>
      </c>
      <c r="G435" s="17">
        <f t="shared" si="38"/>
        <v>527</v>
      </c>
      <c r="H435" s="2">
        <f t="shared" si="39"/>
        <v>93</v>
      </c>
      <c r="I435" s="3" t="s">
        <v>3714</v>
      </c>
      <c r="J435" s="17">
        <f t="shared" si="40"/>
        <v>347</v>
      </c>
      <c r="K435" s="2">
        <f t="shared" si="41"/>
        <v>-87</v>
      </c>
      <c r="L435" s="12" t="s">
        <v>3714</v>
      </c>
    </row>
    <row r="436" spans="1:12" x14ac:dyDescent="0.25">
      <c r="A436" s="11" t="s">
        <v>1835</v>
      </c>
      <c r="B436" s="2" t="str">
        <f t="shared" si="36"/>
        <v>Full Str C L</v>
      </c>
      <c r="C436" s="3">
        <v>435</v>
      </c>
      <c r="D436" s="17" t="s">
        <v>434</v>
      </c>
      <c r="E436" s="2" t="str">
        <f t="shared" si="37"/>
        <v>Musette</v>
      </c>
      <c r="F436" s="12">
        <v>435</v>
      </c>
      <c r="G436" s="17">
        <f t="shared" si="38"/>
        <v>528</v>
      </c>
      <c r="H436" s="2">
        <f t="shared" si="39"/>
        <v>93</v>
      </c>
      <c r="I436" s="3" t="s">
        <v>3714</v>
      </c>
      <c r="J436" s="17">
        <f t="shared" si="40"/>
        <v>348</v>
      </c>
      <c r="K436" s="2">
        <f t="shared" si="41"/>
        <v>-87</v>
      </c>
      <c r="L436" s="12" t="s">
        <v>3714</v>
      </c>
    </row>
    <row r="437" spans="1:12" x14ac:dyDescent="0.25">
      <c r="A437" s="11" t="s">
        <v>1836</v>
      </c>
      <c r="B437" s="2" t="str">
        <f t="shared" si="36"/>
        <v>Full Str C R</v>
      </c>
      <c r="C437" s="3">
        <v>436</v>
      </c>
      <c r="D437" s="17" t="s">
        <v>435</v>
      </c>
      <c r="E437" s="2" t="str">
        <f t="shared" si="37"/>
        <v>Accord 4' A</v>
      </c>
      <c r="F437" s="12">
        <v>436</v>
      </c>
      <c r="G437" s="17">
        <f t="shared" si="38"/>
        <v>529</v>
      </c>
      <c r="H437" s="2">
        <f t="shared" si="39"/>
        <v>93</v>
      </c>
      <c r="I437" s="3" t="s">
        <v>3714</v>
      </c>
      <c r="J437" s="17">
        <f t="shared" si="40"/>
        <v>0</v>
      </c>
      <c r="K437" s="2">
        <f t="shared" si="41"/>
        <v>0</v>
      </c>
      <c r="L437" s="12" t="s">
        <v>3714</v>
      </c>
    </row>
    <row r="438" spans="1:12" x14ac:dyDescent="0.25">
      <c r="A438" s="11" t="s">
        <v>1837</v>
      </c>
      <c r="B438" s="2" t="str">
        <f t="shared" si="36"/>
        <v>ChmbrStrAtkA</v>
      </c>
      <c r="C438" s="3">
        <v>437</v>
      </c>
      <c r="D438" s="17" t="s">
        <v>436</v>
      </c>
      <c r="E438" s="2" t="str">
        <f t="shared" si="37"/>
        <v>Accord 4' B</v>
      </c>
      <c r="F438" s="12">
        <v>437</v>
      </c>
      <c r="G438" s="17">
        <f t="shared" si="38"/>
        <v>556</v>
      </c>
      <c r="H438" s="2">
        <f t="shared" si="39"/>
        <v>119</v>
      </c>
      <c r="I438" s="3" t="s">
        <v>3714</v>
      </c>
      <c r="J438" s="17">
        <f t="shared" si="40"/>
        <v>0</v>
      </c>
      <c r="K438" s="2">
        <f t="shared" si="41"/>
        <v>0</v>
      </c>
      <c r="L438" s="12" t="s">
        <v>3714</v>
      </c>
    </row>
    <row r="439" spans="1:12" x14ac:dyDescent="0.25">
      <c r="A439" s="11" t="s">
        <v>1838</v>
      </c>
      <c r="B439" s="2" t="str">
        <f t="shared" si="36"/>
        <v>ChmbrStrAtkB</v>
      </c>
      <c r="C439" s="3">
        <v>438</v>
      </c>
      <c r="D439" s="17" t="s">
        <v>437</v>
      </c>
      <c r="E439" s="2" t="str">
        <f t="shared" si="37"/>
        <v>Accord 4' C</v>
      </c>
      <c r="F439" s="12">
        <v>438</v>
      </c>
      <c r="G439" s="17">
        <f t="shared" si="38"/>
        <v>557</v>
      </c>
      <c r="H439" s="2">
        <f t="shared" si="39"/>
        <v>119</v>
      </c>
      <c r="I439" s="3" t="s">
        <v>3714</v>
      </c>
      <c r="J439" s="17">
        <f t="shared" si="40"/>
        <v>0</v>
      </c>
      <c r="K439" s="2">
        <f t="shared" si="41"/>
        <v>0</v>
      </c>
      <c r="L439" s="12" t="s">
        <v>3714</v>
      </c>
    </row>
    <row r="440" spans="1:12" x14ac:dyDescent="0.25">
      <c r="A440" s="11" t="s">
        <v>1839</v>
      </c>
      <c r="B440" s="2" t="str">
        <f t="shared" si="36"/>
        <v>ChmbrStrAtkC</v>
      </c>
      <c r="C440" s="3">
        <v>439</v>
      </c>
      <c r="D440" s="17" t="s">
        <v>438</v>
      </c>
      <c r="E440" s="2" t="str">
        <f t="shared" si="37"/>
        <v>Accord 8' A</v>
      </c>
      <c r="F440" s="12">
        <v>439</v>
      </c>
      <c r="G440" s="17">
        <f t="shared" si="38"/>
        <v>558</v>
      </c>
      <c r="H440" s="2">
        <f t="shared" si="39"/>
        <v>119</v>
      </c>
      <c r="I440" s="3" t="s">
        <v>3714</v>
      </c>
      <c r="J440" s="17">
        <f t="shared" si="40"/>
        <v>0</v>
      </c>
      <c r="K440" s="2">
        <f t="shared" si="41"/>
        <v>0</v>
      </c>
      <c r="L440" s="12" t="s">
        <v>3714</v>
      </c>
    </row>
    <row r="441" spans="1:12" x14ac:dyDescent="0.25">
      <c r="A441" s="11" t="s">
        <v>1840</v>
      </c>
      <c r="B441" s="2" t="str">
        <f t="shared" si="36"/>
        <v>ChmbrStrRevA</v>
      </c>
      <c r="C441" s="3">
        <v>440</v>
      </c>
      <c r="D441" s="17" t="s">
        <v>439</v>
      </c>
      <c r="E441" s="2" t="str">
        <f t="shared" si="37"/>
        <v>Accord 8' B</v>
      </c>
      <c r="F441" s="12">
        <v>440</v>
      </c>
      <c r="G441" s="17">
        <f t="shared" si="38"/>
        <v>559</v>
      </c>
      <c r="H441" s="2">
        <f t="shared" si="39"/>
        <v>119</v>
      </c>
      <c r="I441" s="3" t="s">
        <v>3714</v>
      </c>
      <c r="J441" s="17">
        <f t="shared" si="40"/>
        <v>0</v>
      </c>
      <c r="K441" s="2">
        <f t="shared" si="41"/>
        <v>0</v>
      </c>
      <c r="L441" s="12" t="s">
        <v>3714</v>
      </c>
    </row>
    <row r="442" spans="1:12" x14ac:dyDescent="0.25">
      <c r="A442" s="11" t="s">
        <v>1841</v>
      </c>
      <c r="B442" s="2" t="str">
        <f t="shared" si="36"/>
        <v>ChmbrStrRevB</v>
      </c>
      <c r="C442" s="3">
        <v>441</v>
      </c>
      <c r="D442" s="17" t="s">
        <v>440</v>
      </c>
      <c r="E442" s="2" t="str">
        <f t="shared" si="37"/>
        <v>Accord 8' C</v>
      </c>
      <c r="F442" s="12">
        <v>441</v>
      </c>
      <c r="G442" s="17">
        <f t="shared" si="38"/>
        <v>560</v>
      </c>
      <c r="H442" s="2">
        <f t="shared" si="39"/>
        <v>119</v>
      </c>
      <c r="I442" s="3" t="s">
        <v>3714</v>
      </c>
      <c r="J442" s="17">
        <f t="shared" si="40"/>
        <v>0</v>
      </c>
      <c r="K442" s="2">
        <f t="shared" si="41"/>
        <v>0</v>
      </c>
      <c r="L442" s="12" t="s">
        <v>3714</v>
      </c>
    </row>
    <row r="443" spans="1:12" x14ac:dyDescent="0.25">
      <c r="A443" s="11" t="s">
        <v>1842</v>
      </c>
      <c r="B443" s="2" t="str">
        <f t="shared" si="36"/>
        <v>ChmbrStrRevC</v>
      </c>
      <c r="C443" s="3">
        <v>442</v>
      </c>
      <c r="D443" s="17" t="s">
        <v>441</v>
      </c>
      <c r="E443" s="2" t="str">
        <f t="shared" si="37"/>
        <v>Accord PadNz</v>
      </c>
      <c r="F443" s="12">
        <v>442</v>
      </c>
      <c r="G443" s="17">
        <f t="shared" si="38"/>
        <v>561</v>
      </c>
      <c r="H443" s="2">
        <f t="shared" si="39"/>
        <v>119</v>
      </c>
      <c r="I443" s="3" t="s">
        <v>3714</v>
      </c>
      <c r="J443" s="17">
        <f t="shared" si="40"/>
        <v>0</v>
      </c>
      <c r="K443" s="2">
        <f t="shared" si="41"/>
        <v>0</v>
      </c>
      <c r="L443" s="12" t="s">
        <v>3714</v>
      </c>
    </row>
    <row r="444" spans="1:12" x14ac:dyDescent="0.25">
      <c r="A444" s="11" t="s">
        <v>1843</v>
      </c>
      <c r="B444" s="2" t="str">
        <f t="shared" si="36"/>
        <v>Vls Pizz A</v>
      </c>
      <c r="C444" s="3">
        <v>443</v>
      </c>
      <c r="D444" s="17" t="s">
        <v>442</v>
      </c>
      <c r="E444" s="2" t="str">
        <f t="shared" si="37"/>
        <v>Harmonica A</v>
      </c>
      <c r="F444" s="12">
        <v>443</v>
      </c>
      <c r="G444" s="17">
        <f t="shared" si="38"/>
        <v>562</v>
      </c>
      <c r="H444" s="2">
        <f t="shared" si="39"/>
        <v>119</v>
      </c>
      <c r="I444" s="3" t="s">
        <v>3714</v>
      </c>
      <c r="J444" s="17">
        <f t="shared" si="40"/>
        <v>349</v>
      </c>
      <c r="K444" s="2">
        <f t="shared" si="41"/>
        <v>-94</v>
      </c>
      <c r="L444" s="12" t="s">
        <v>3714</v>
      </c>
    </row>
    <row r="445" spans="1:12" x14ac:dyDescent="0.25">
      <c r="A445" s="11" t="s">
        <v>1844</v>
      </c>
      <c r="B445" s="2" t="str">
        <f t="shared" si="36"/>
        <v>Vls Pizz B</v>
      </c>
      <c r="C445" s="3">
        <v>444</v>
      </c>
      <c r="D445" s="17" t="s">
        <v>443</v>
      </c>
      <c r="E445" s="2" t="str">
        <f t="shared" si="37"/>
        <v>Harmonica B</v>
      </c>
      <c r="F445" s="12">
        <v>444</v>
      </c>
      <c r="G445" s="17">
        <f t="shared" si="38"/>
        <v>563</v>
      </c>
      <c r="H445" s="2">
        <f t="shared" si="39"/>
        <v>119</v>
      </c>
      <c r="I445" s="3" t="s">
        <v>3714</v>
      </c>
      <c r="J445" s="17">
        <f t="shared" si="40"/>
        <v>350</v>
      </c>
      <c r="K445" s="2">
        <f t="shared" si="41"/>
        <v>-94</v>
      </c>
      <c r="L445" s="12" t="s">
        <v>3714</v>
      </c>
    </row>
    <row r="446" spans="1:12" x14ac:dyDescent="0.25">
      <c r="A446" s="11" t="s">
        <v>1845</v>
      </c>
      <c r="B446" s="2" t="str">
        <f t="shared" si="36"/>
        <v>Vls Pizz C</v>
      </c>
      <c r="C446" s="3">
        <v>445</v>
      </c>
      <c r="D446" s="17" t="s">
        <v>444</v>
      </c>
      <c r="E446" s="2" t="str">
        <f t="shared" si="37"/>
        <v>Harmonica C</v>
      </c>
      <c r="F446" s="12">
        <v>445</v>
      </c>
      <c r="G446" s="17">
        <f t="shared" si="38"/>
        <v>564</v>
      </c>
      <c r="H446" s="2">
        <f t="shared" si="39"/>
        <v>119</v>
      </c>
      <c r="I446" s="3" t="s">
        <v>3714</v>
      </c>
      <c r="J446" s="17">
        <f t="shared" si="40"/>
        <v>351</v>
      </c>
      <c r="K446" s="2">
        <f t="shared" si="41"/>
        <v>-94</v>
      </c>
      <c r="L446" s="12" t="s">
        <v>3714</v>
      </c>
    </row>
    <row r="447" spans="1:12" x14ac:dyDescent="0.25">
      <c r="A447" s="11" t="s">
        <v>1846</v>
      </c>
      <c r="B447" s="2" t="str">
        <f t="shared" si="36"/>
        <v>VlsPizzRev A</v>
      </c>
      <c r="C447" s="3">
        <v>446</v>
      </c>
      <c r="D447" s="17" t="s">
        <v>445</v>
      </c>
      <c r="E447" s="2" t="str">
        <f t="shared" si="37"/>
        <v>Blues G-harp</v>
      </c>
      <c r="F447" s="12">
        <v>446</v>
      </c>
      <c r="G447" s="17">
        <f t="shared" si="38"/>
        <v>565</v>
      </c>
      <c r="H447" s="2">
        <f t="shared" si="39"/>
        <v>119</v>
      </c>
      <c r="I447" s="3" t="s">
        <v>3714</v>
      </c>
      <c r="J447" s="17">
        <f t="shared" si="40"/>
        <v>352</v>
      </c>
      <c r="K447" s="2">
        <f t="shared" si="41"/>
        <v>-94</v>
      </c>
      <c r="L447" s="12" t="s">
        <v>3714</v>
      </c>
    </row>
    <row r="448" spans="1:12" x14ac:dyDescent="0.25">
      <c r="A448" s="11" t="s">
        <v>1847</v>
      </c>
      <c r="B448" s="2" t="str">
        <f t="shared" si="36"/>
        <v>VlsPizzRev B</v>
      </c>
      <c r="C448" s="3">
        <v>447</v>
      </c>
      <c r="D448" s="17" t="s">
        <v>446</v>
      </c>
      <c r="E448" s="2" t="str">
        <f t="shared" si="37"/>
        <v>Flugel A</v>
      </c>
      <c r="F448" s="12">
        <v>447</v>
      </c>
      <c r="G448" s="17">
        <f t="shared" si="38"/>
        <v>566</v>
      </c>
      <c r="H448" s="2">
        <f t="shared" si="39"/>
        <v>119</v>
      </c>
      <c r="I448" s="3" t="s">
        <v>3714</v>
      </c>
      <c r="J448" s="17">
        <f t="shared" si="40"/>
        <v>353</v>
      </c>
      <c r="K448" s="2">
        <f t="shared" si="41"/>
        <v>-94</v>
      </c>
      <c r="L448" s="12" t="s">
        <v>3714</v>
      </c>
    </row>
    <row r="449" spans="1:12" x14ac:dyDescent="0.25">
      <c r="A449" s="11" t="s">
        <v>1848</v>
      </c>
      <c r="B449" s="2" t="str">
        <f t="shared" si="36"/>
        <v>VlsPizzRev C</v>
      </c>
      <c r="C449" s="3">
        <v>448</v>
      </c>
      <c r="D449" s="17" t="s">
        <v>447</v>
      </c>
      <c r="E449" s="2" t="str">
        <f t="shared" si="37"/>
        <v>Flugel B</v>
      </c>
      <c r="F449" s="12">
        <v>448</v>
      </c>
      <c r="G449" s="17">
        <f t="shared" si="38"/>
        <v>567</v>
      </c>
      <c r="H449" s="2">
        <f t="shared" si="39"/>
        <v>119</v>
      </c>
      <c r="I449" s="3" t="s">
        <v>3714</v>
      </c>
      <c r="J449" s="17">
        <f t="shared" si="40"/>
        <v>354</v>
      </c>
      <c r="K449" s="2">
        <f t="shared" si="41"/>
        <v>-94</v>
      </c>
      <c r="L449" s="12" t="s">
        <v>3714</v>
      </c>
    </row>
    <row r="450" spans="1:12" x14ac:dyDescent="0.25">
      <c r="A450" s="11" t="s">
        <v>1849</v>
      </c>
      <c r="B450" s="2" t="str">
        <f t="shared" ref="B450:B513" si="42">_xlfn.TEXTAFTER(A450," ",1)</f>
        <v>Vcs Pizz A</v>
      </c>
      <c r="C450" s="3">
        <v>449</v>
      </c>
      <c r="D450" s="17" t="s">
        <v>448</v>
      </c>
      <c r="E450" s="2" t="str">
        <f t="shared" ref="E450:E513" si="43">_xlfn.TEXTAFTER(D450," ",1)</f>
        <v>Flugel C</v>
      </c>
      <c r="F450" s="12">
        <v>449</v>
      </c>
      <c r="G450" s="17">
        <f t="shared" si="38"/>
        <v>568</v>
      </c>
      <c r="H450" s="2">
        <f t="shared" si="39"/>
        <v>119</v>
      </c>
      <c r="I450" s="3" t="s">
        <v>3714</v>
      </c>
      <c r="J450" s="17">
        <f t="shared" si="40"/>
        <v>355</v>
      </c>
      <c r="K450" s="2">
        <f t="shared" si="41"/>
        <v>-94</v>
      </c>
      <c r="L450" s="12" t="s">
        <v>3714</v>
      </c>
    </row>
    <row r="451" spans="1:12" x14ac:dyDescent="0.25">
      <c r="A451" s="11" t="s">
        <v>1850</v>
      </c>
      <c r="B451" s="2" t="str">
        <f t="shared" si="42"/>
        <v>Vcs Pizz B</v>
      </c>
      <c r="C451" s="3">
        <v>450</v>
      </c>
      <c r="D451" s="17" t="s">
        <v>449</v>
      </c>
      <c r="E451" s="2" t="str">
        <f t="shared" si="43"/>
        <v>Trumpet A</v>
      </c>
      <c r="F451" s="12">
        <v>450</v>
      </c>
      <c r="G451" s="17">
        <f t="shared" ref="G451:G514" si="44">_xlfn.IFNA(_xlfn.XMATCH(B451,E$2:E$1402,0,1),0)</f>
        <v>569</v>
      </c>
      <c r="H451" s="2">
        <f t="shared" ref="H451:H514" si="45">IF(G451=0,0,G451-C451)</f>
        <v>119</v>
      </c>
      <c r="I451" s="3" t="s">
        <v>3714</v>
      </c>
      <c r="J451" s="17">
        <f t="shared" ref="J451:J514" si="46">_xlfn.IFNA(_xlfn.XMATCH(E451,B$2:B$1229,0,1),0)</f>
        <v>356</v>
      </c>
      <c r="K451" s="2">
        <f t="shared" ref="K451:K514" si="47">IF(J451=0,0,J451-F451)</f>
        <v>-94</v>
      </c>
      <c r="L451" s="12" t="s">
        <v>3714</v>
      </c>
    </row>
    <row r="452" spans="1:12" x14ac:dyDescent="0.25">
      <c r="A452" s="11" t="s">
        <v>1851</v>
      </c>
      <c r="B452" s="2" t="str">
        <f t="shared" si="42"/>
        <v>Vcs Pizz C</v>
      </c>
      <c r="C452" s="3">
        <v>451</v>
      </c>
      <c r="D452" s="17" t="s">
        <v>450</v>
      </c>
      <c r="E452" s="2" t="str">
        <f t="shared" si="43"/>
        <v>Trumpet B</v>
      </c>
      <c r="F452" s="12">
        <v>451</v>
      </c>
      <c r="G452" s="17">
        <f t="shared" si="44"/>
        <v>570</v>
      </c>
      <c r="H452" s="2">
        <f t="shared" si="45"/>
        <v>119</v>
      </c>
      <c r="I452" s="3" t="s">
        <v>3714</v>
      </c>
      <c r="J452" s="17">
        <f t="shared" si="46"/>
        <v>357</v>
      </c>
      <c r="K452" s="2">
        <f t="shared" si="47"/>
        <v>-94</v>
      </c>
      <c r="L452" s="12" t="s">
        <v>3714</v>
      </c>
    </row>
    <row r="453" spans="1:12" x14ac:dyDescent="0.25">
      <c r="A453" s="11" t="s">
        <v>1852</v>
      </c>
      <c r="B453" s="2" t="str">
        <f t="shared" si="42"/>
        <v>VcsPizzRev A</v>
      </c>
      <c r="C453" s="3">
        <v>452</v>
      </c>
      <c r="D453" s="17" t="s">
        <v>451</v>
      </c>
      <c r="E453" s="2" t="str">
        <f t="shared" si="43"/>
        <v>Trumpet C</v>
      </c>
      <c r="F453" s="12">
        <v>452</v>
      </c>
      <c r="G453" s="17">
        <f t="shared" si="44"/>
        <v>0</v>
      </c>
      <c r="H453" s="2">
        <f t="shared" si="45"/>
        <v>0</v>
      </c>
      <c r="I453" s="3" t="s">
        <v>3714</v>
      </c>
      <c r="J453" s="17">
        <f t="shared" si="46"/>
        <v>358</v>
      </c>
      <c r="K453" s="2">
        <f t="shared" si="47"/>
        <v>-94</v>
      </c>
      <c r="L453" s="12" t="s">
        <v>3714</v>
      </c>
    </row>
    <row r="454" spans="1:12" x14ac:dyDescent="0.25">
      <c r="A454" s="11" t="s">
        <v>1853</v>
      </c>
      <c r="B454" s="2" t="str">
        <f t="shared" si="42"/>
        <v>VcsPizzRev B</v>
      </c>
      <c r="C454" s="3">
        <v>453</v>
      </c>
      <c r="D454" s="17" t="s">
        <v>452</v>
      </c>
      <c r="E454" s="2" t="str">
        <f t="shared" si="43"/>
        <v>Wide Tp A</v>
      </c>
      <c r="F454" s="12">
        <v>453</v>
      </c>
      <c r="G454" s="17">
        <f t="shared" si="44"/>
        <v>0</v>
      </c>
      <c r="H454" s="2">
        <f t="shared" si="45"/>
        <v>0</v>
      </c>
      <c r="I454" s="3" t="s">
        <v>3714</v>
      </c>
      <c r="J454" s="17">
        <f t="shared" si="46"/>
        <v>359</v>
      </c>
      <c r="K454" s="2">
        <f t="shared" si="47"/>
        <v>-94</v>
      </c>
      <c r="L454" s="12" t="s">
        <v>3714</v>
      </c>
    </row>
    <row r="455" spans="1:12" x14ac:dyDescent="0.25">
      <c r="A455" s="11" t="s">
        <v>1854</v>
      </c>
      <c r="B455" s="2" t="str">
        <f t="shared" si="42"/>
        <v>VcsPizzRev C</v>
      </c>
      <c r="C455" s="3">
        <v>454</v>
      </c>
      <c r="D455" s="17" t="s">
        <v>453</v>
      </c>
      <c r="E455" s="2" t="str">
        <f t="shared" si="43"/>
        <v>Wide Tp B</v>
      </c>
      <c r="F455" s="12">
        <v>454</v>
      </c>
      <c r="G455" s="17">
        <f t="shared" si="44"/>
        <v>0</v>
      </c>
      <c r="H455" s="2">
        <f t="shared" si="45"/>
        <v>0</v>
      </c>
      <c r="I455" s="3" t="s">
        <v>3714</v>
      </c>
      <c r="J455" s="17">
        <f t="shared" si="46"/>
        <v>360</v>
      </c>
      <c r="K455" s="2">
        <f t="shared" si="47"/>
        <v>-94</v>
      </c>
      <c r="L455" s="12" t="s">
        <v>3714</v>
      </c>
    </row>
    <row r="456" spans="1:12" x14ac:dyDescent="0.25">
      <c r="A456" s="11" t="s">
        <v>1855</v>
      </c>
      <c r="B456" s="2" t="str">
        <f t="shared" si="42"/>
        <v>Unison Saw A</v>
      </c>
      <c r="C456" s="3">
        <v>455</v>
      </c>
      <c r="D456" s="17" t="s">
        <v>454</v>
      </c>
      <c r="E456" s="2" t="str">
        <f t="shared" si="43"/>
        <v>Wide Tp C</v>
      </c>
      <c r="F456" s="12">
        <v>455</v>
      </c>
      <c r="G456" s="17">
        <f t="shared" si="44"/>
        <v>571</v>
      </c>
      <c r="H456" s="2">
        <f t="shared" si="45"/>
        <v>116</v>
      </c>
      <c r="I456" s="3" t="s">
        <v>3714</v>
      </c>
      <c r="J456" s="17">
        <f t="shared" si="46"/>
        <v>361</v>
      </c>
      <c r="K456" s="2">
        <f t="shared" si="47"/>
        <v>-94</v>
      </c>
      <c r="L456" s="12" t="s">
        <v>3714</v>
      </c>
    </row>
    <row r="457" spans="1:12" x14ac:dyDescent="0.25">
      <c r="A457" s="11" t="s">
        <v>1856</v>
      </c>
      <c r="B457" s="2" t="str">
        <f t="shared" si="42"/>
        <v>Unison Saw B</v>
      </c>
      <c r="C457" s="3">
        <v>456</v>
      </c>
      <c r="D457" s="17" t="s">
        <v>455</v>
      </c>
      <c r="E457" s="2" t="str">
        <f t="shared" si="43"/>
        <v>Mute Tp A</v>
      </c>
      <c r="F457" s="12">
        <v>456</v>
      </c>
      <c r="G457" s="17">
        <f t="shared" si="44"/>
        <v>572</v>
      </c>
      <c r="H457" s="2">
        <f t="shared" si="45"/>
        <v>116</v>
      </c>
      <c r="I457" s="3" t="s">
        <v>3714</v>
      </c>
      <c r="J457" s="17">
        <f t="shared" si="46"/>
        <v>362</v>
      </c>
      <c r="K457" s="2">
        <f t="shared" si="47"/>
        <v>-94</v>
      </c>
      <c r="L457" s="12" t="s">
        <v>3714</v>
      </c>
    </row>
    <row r="458" spans="1:12" x14ac:dyDescent="0.25">
      <c r="A458" s="11" t="s">
        <v>1857</v>
      </c>
      <c r="B458" s="2" t="str">
        <f t="shared" si="42"/>
        <v>Unison Saw C</v>
      </c>
      <c r="C458" s="3">
        <v>457</v>
      </c>
      <c r="D458" s="17" t="s">
        <v>456</v>
      </c>
      <c r="E458" s="2" t="str">
        <f t="shared" si="43"/>
        <v>Mute Tp B</v>
      </c>
      <c r="F458" s="12">
        <v>457</v>
      </c>
      <c r="G458" s="17">
        <f t="shared" si="44"/>
        <v>573</v>
      </c>
      <c r="H458" s="2">
        <f t="shared" si="45"/>
        <v>116</v>
      </c>
      <c r="I458" s="3" t="s">
        <v>3714</v>
      </c>
      <c r="J458" s="17">
        <f t="shared" si="46"/>
        <v>363</v>
      </c>
      <c r="K458" s="2">
        <f t="shared" si="47"/>
        <v>-94</v>
      </c>
      <c r="L458" s="12" t="s">
        <v>3714</v>
      </c>
    </row>
    <row r="459" spans="1:12" x14ac:dyDescent="0.25">
      <c r="A459" s="11" t="s">
        <v>1858</v>
      </c>
      <c r="B459" s="2" t="str">
        <f t="shared" si="42"/>
        <v>Super Saw A</v>
      </c>
      <c r="C459" s="3">
        <v>458</v>
      </c>
      <c r="D459" s="17" t="s">
        <v>457</v>
      </c>
      <c r="E459" s="2" t="str">
        <f t="shared" si="43"/>
        <v>Mute Tp C</v>
      </c>
      <c r="F459" s="12">
        <v>458</v>
      </c>
      <c r="G459" s="17">
        <f t="shared" si="44"/>
        <v>574</v>
      </c>
      <c r="H459" s="2">
        <f t="shared" si="45"/>
        <v>116</v>
      </c>
      <c r="I459" s="3" t="s">
        <v>3714</v>
      </c>
      <c r="J459" s="17">
        <f t="shared" si="46"/>
        <v>364</v>
      </c>
      <c r="K459" s="2">
        <f t="shared" si="47"/>
        <v>-94</v>
      </c>
      <c r="L459" s="12" t="s">
        <v>3714</v>
      </c>
    </row>
    <row r="460" spans="1:12" x14ac:dyDescent="0.25">
      <c r="A460" s="11" t="s">
        <v>1859</v>
      </c>
      <c r="B460" s="2" t="str">
        <f t="shared" si="42"/>
        <v>Super Saw B</v>
      </c>
      <c r="C460" s="3">
        <v>459</v>
      </c>
      <c r="D460" s="17" t="s">
        <v>458</v>
      </c>
      <c r="E460" s="2" t="str">
        <f t="shared" si="43"/>
        <v>Trombone A</v>
      </c>
      <c r="F460" s="12">
        <v>459</v>
      </c>
      <c r="G460" s="17">
        <f t="shared" si="44"/>
        <v>575</v>
      </c>
      <c r="H460" s="2">
        <f t="shared" si="45"/>
        <v>116</v>
      </c>
      <c r="I460" s="3" t="s">
        <v>3714</v>
      </c>
      <c r="J460" s="17">
        <f t="shared" si="46"/>
        <v>365</v>
      </c>
      <c r="K460" s="2">
        <f t="shared" si="47"/>
        <v>-94</v>
      </c>
      <c r="L460" s="12" t="s">
        <v>3714</v>
      </c>
    </row>
    <row r="461" spans="1:12" x14ac:dyDescent="0.25">
      <c r="A461" s="11" t="s">
        <v>1860</v>
      </c>
      <c r="B461" s="2" t="str">
        <f t="shared" si="42"/>
        <v>Super Saw C</v>
      </c>
      <c r="C461" s="3">
        <v>460</v>
      </c>
      <c r="D461" s="17" t="s">
        <v>459</v>
      </c>
      <c r="E461" s="2" t="str">
        <f t="shared" si="43"/>
        <v>Trombone B</v>
      </c>
      <c r="F461" s="12">
        <v>460</v>
      </c>
      <c r="G461" s="17">
        <f t="shared" si="44"/>
        <v>576</v>
      </c>
      <c r="H461" s="2">
        <f t="shared" si="45"/>
        <v>116</v>
      </c>
      <c r="I461" s="3" t="s">
        <v>3714</v>
      </c>
      <c r="J461" s="17">
        <f t="shared" si="46"/>
        <v>366</v>
      </c>
      <c r="K461" s="2">
        <f t="shared" si="47"/>
        <v>-94</v>
      </c>
      <c r="L461" s="12" t="s">
        <v>3714</v>
      </c>
    </row>
    <row r="462" spans="1:12" x14ac:dyDescent="0.25">
      <c r="A462" s="11" t="s">
        <v>1861</v>
      </c>
      <c r="B462" s="2" t="str">
        <f t="shared" si="42"/>
        <v>Trance Saw A</v>
      </c>
      <c r="C462" s="3">
        <v>461</v>
      </c>
      <c r="D462" s="17" t="s">
        <v>460</v>
      </c>
      <c r="E462" s="2" t="str">
        <f t="shared" si="43"/>
        <v>Trombone C</v>
      </c>
      <c r="F462" s="12">
        <v>461</v>
      </c>
      <c r="G462" s="17">
        <f t="shared" si="44"/>
        <v>577</v>
      </c>
      <c r="H462" s="2">
        <f t="shared" si="45"/>
        <v>116</v>
      </c>
      <c r="I462" s="3" t="s">
        <v>3714</v>
      </c>
      <c r="J462" s="17">
        <f t="shared" si="46"/>
        <v>367</v>
      </c>
      <c r="K462" s="2">
        <f t="shared" si="47"/>
        <v>-94</v>
      </c>
      <c r="L462" s="12" t="s">
        <v>3714</v>
      </c>
    </row>
    <row r="463" spans="1:12" x14ac:dyDescent="0.25">
      <c r="A463" s="11" t="s">
        <v>1862</v>
      </c>
      <c r="B463" s="2" t="str">
        <f t="shared" si="42"/>
        <v>Trance Saw B</v>
      </c>
      <c r="C463" s="3">
        <v>462</v>
      </c>
      <c r="D463" s="17" t="s">
        <v>461</v>
      </c>
      <c r="E463" s="2" t="str">
        <f t="shared" si="43"/>
        <v>Tbn mf A</v>
      </c>
      <c r="F463" s="12">
        <v>462</v>
      </c>
      <c r="G463" s="17">
        <f t="shared" si="44"/>
        <v>578</v>
      </c>
      <c r="H463" s="2">
        <f t="shared" si="45"/>
        <v>116</v>
      </c>
      <c r="I463" s="3" t="s">
        <v>3714</v>
      </c>
      <c r="J463" s="17">
        <f t="shared" si="46"/>
        <v>368</v>
      </c>
      <c r="K463" s="2">
        <f t="shared" si="47"/>
        <v>-94</v>
      </c>
      <c r="L463" s="12" t="s">
        <v>3714</v>
      </c>
    </row>
    <row r="464" spans="1:12" x14ac:dyDescent="0.25">
      <c r="A464" s="11" t="s">
        <v>1863</v>
      </c>
      <c r="B464" s="2" t="str">
        <f t="shared" si="42"/>
        <v>Trance Saw C</v>
      </c>
      <c r="C464" s="3">
        <v>463</v>
      </c>
      <c r="D464" s="17" t="s">
        <v>462</v>
      </c>
      <c r="E464" s="2" t="str">
        <f t="shared" si="43"/>
        <v>Tbn mf B</v>
      </c>
      <c r="F464" s="12">
        <v>463</v>
      </c>
      <c r="G464" s="17">
        <f t="shared" si="44"/>
        <v>579</v>
      </c>
      <c r="H464" s="2">
        <f t="shared" si="45"/>
        <v>116</v>
      </c>
      <c r="I464" s="3" t="s">
        <v>3714</v>
      </c>
      <c r="J464" s="17">
        <f t="shared" si="46"/>
        <v>369</v>
      </c>
      <c r="K464" s="2">
        <f t="shared" si="47"/>
        <v>-94</v>
      </c>
      <c r="L464" s="12" t="s">
        <v>3714</v>
      </c>
    </row>
    <row r="465" spans="1:12" x14ac:dyDescent="0.25">
      <c r="A465" s="11" t="s">
        <v>1864</v>
      </c>
      <c r="B465" s="2" t="str">
        <f t="shared" si="42"/>
        <v>Alpha Rave</v>
      </c>
      <c r="C465" s="3">
        <v>464</v>
      </c>
      <c r="D465" s="17" t="s">
        <v>463</v>
      </c>
      <c r="E465" s="2" t="str">
        <f t="shared" si="43"/>
        <v>Tbn mf C</v>
      </c>
      <c r="F465" s="12">
        <v>464</v>
      </c>
      <c r="G465" s="17">
        <f t="shared" si="44"/>
        <v>0</v>
      </c>
      <c r="H465" s="2">
        <f t="shared" si="45"/>
        <v>0</v>
      </c>
      <c r="I465" s="3" t="s">
        <v>3714</v>
      </c>
      <c r="J465" s="17">
        <f t="shared" si="46"/>
        <v>370</v>
      </c>
      <c r="K465" s="2">
        <f t="shared" si="47"/>
        <v>-94</v>
      </c>
      <c r="L465" s="12" t="s">
        <v>3714</v>
      </c>
    </row>
    <row r="466" spans="1:12" x14ac:dyDescent="0.25">
      <c r="A466" s="11" t="s">
        <v>1865</v>
      </c>
      <c r="B466" s="2" t="str">
        <f t="shared" si="42"/>
        <v>Saw Sync A</v>
      </c>
      <c r="C466" s="3">
        <v>465</v>
      </c>
      <c r="D466" s="17" t="s">
        <v>464</v>
      </c>
      <c r="E466" s="2" t="str">
        <f t="shared" si="43"/>
        <v>Tuba A</v>
      </c>
      <c r="F466" s="12">
        <v>465</v>
      </c>
      <c r="G466" s="17">
        <f t="shared" si="44"/>
        <v>0</v>
      </c>
      <c r="H466" s="2">
        <f t="shared" si="45"/>
        <v>0</v>
      </c>
      <c r="I466" s="3" t="s">
        <v>3714</v>
      </c>
      <c r="J466" s="17">
        <f t="shared" si="46"/>
        <v>371</v>
      </c>
      <c r="K466" s="2">
        <f t="shared" si="47"/>
        <v>-94</v>
      </c>
      <c r="L466" s="12" t="s">
        <v>3714</v>
      </c>
    </row>
    <row r="467" spans="1:12" x14ac:dyDescent="0.25">
      <c r="A467" s="11" t="s">
        <v>1866</v>
      </c>
      <c r="B467" s="2" t="str">
        <f t="shared" si="42"/>
        <v>Saw Sync B</v>
      </c>
      <c r="C467" s="3">
        <v>466</v>
      </c>
      <c r="D467" s="17" t="s">
        <v>465</v>
      </c>
      <c r="E467" s="2" t="str">
        <f t="shared" si="43"/>
        <v>Tuba B</v>
      </c>
      <c r="F467" s="12">
        <v>466</v>
      </c>
      <c r="G467" s="17">
        <f t="shared" si="44"/>
        <v>0</v>
      </c>
      <c r="H467" s="2">
        <f t="shared" si="45"/>
        <v>0</v>
      </c>
      <c r="I467" s="3" t="s">
        <v>3714</v>
      </c>
      <c r="J467" s="17">
        <f t="shared" si="46"/>
        <v>372</v>
      </c>
      <c r="K467" s="2">
        <f t="shared" si="47"/>
        <v>-94</v>
      </c>
      <c r="L467" s="12" t="s">
        <v>3714</v>
      </c>
    </row>
    <row r="468" spans="1:12" x14ac:dyDescent="0.25">
      <c r="A468" s="11" t="s">
        <v>1867</v>
      </c>
      <c r="B468" s="2" t="str">
        <f t="shared" si="42"/>
        <v>Saw Sync C</v>
      </c>
      <c r="C468" s="3">
        <v>467</v>
      </c>
      <c r="D468" s="17" t="s">
        <v>466</v>
      </c>
      <c r="E468" s="2" t="str">
        <f t="shared" si="43"/>
        <v>Tuba C</v>
      </c>
      <c r="F468" s="12">
        <v>467</v>
      </c>
      <c r="G468" s="17">
        <f t="shared" si="44"/>
        <v>0</v>
      </c>
      <c r="H468" s="2">
        <f t="shared" si="45"/>
        <v>0</v>
      </c>
      <c r="I468" s="3" t="s">
        <v>3714</v>
      </c>
      <c r="J468" s="17">
        <f t="shared" si="46"/>
        <v>373</v>
      </c>
      <c r="K468" s="2">
        <f t="shared" si="47"/>
        <v>-94</v>
      </c>
      <c r="L468" s="12" t="s">
        <v>3714</v>
      </c>
    </row>
    <row r="469" spans="1:12" x14ac:dyDescent="0.25">
      <c r="A469" s="11" t="s">
        <v>1868</v>
      </c>
      <c r="B469" s="2" t="str">
        <f t="shared" si="42"/>
        <v>Warm Pad A</v>
      </c>
      <c r="C469" s="3">
        <v>468</v>
      </c>
      <c r="D469" s="17" t="s">
        <v>467</v>
      </c>
      <c r="E469" s="2" t="str">
        <f t="shared" si="43"/>
        <v>Sft F.Horn A</v>
      </c>
      <c r="F469" s="12">
        <v>468</v>
      </c>
      <c r="G469" s="17">
        <f t="shared" si="44"/>
        <v>580</v>
      </c>
      <c r="H469" s="2">
        <f t="shared" si="45"/>
        <v>112</v>
      </c>
      <c r="I469" s="3" t="s">
        <v>3714</v>
      </c>
      <c r="J469" s="17">
        <f t="shared" si="46"/>
        <v>374</v>
      </c>
      <c r="K469" s="2">
        <f t="shared" si="47"/>
        <v>-94</v>
      </c>
      <c r="L469" s="12" t="s">
        <v>3714</v>
      </c>
    </row>
    <row r="470" spans="1:12" x14ac:dyDescent="0.25">
      <c r="A470" s="11" t="s">
        <v>1869</v>
      </c>
      <c r="B470" s="2" t="str">
        <f t="shared" si="42"/>
        <v>Warm Pad B</v>
      </c>
      <c r="C470" s="3">
        <v>469</v>
      </c>
      <c r="D470" s="17" t="s">
        <v>468</v>
      </c>
      <c r="E470" s="2" t="str">
        <f t="shared" si="43"/>
        <v>Sft F.Horn B</v>
      </c>
      <c r="F470" s="12">
        <v>469</v>
      </c>
      <c r="G470" s="17">
        <f t="shared" si="44"/>
        <v>581</v>
      </c>
      <c r="H470" s="2">
        <f t="shared" si="45"/>
        <v>112</v>
      </c>
      <c r="I470" s="3" t="s">
        <v>3714</v>
      </c>
      <c r="J470" s="17">
        <f t="shared" si="46"/>
        <v>375</v>
      </c>
      <c r="K470" s="2">
        <f t="shared" si="47"/>
        <v>-94</v>
      </c>
      <c r="L470" s="12" t="s">
        <v>3714</v>
      </c>
    </row>
    <row r="471" spans="1:12" x14ac:dyDescent="0.25">
      <c r="A471" s="11" t="s">
        <v>1870</v>
      </c>
      <c r="B471" s="2" t="str">
        <f t="shared" si="42"/>
        <v>Warm Pad C</v>
      </c>
      <c r="C471" s="3">
        <v>470</v>
      </c>
      <c r="D471" s="17" t="s">
        <v>469</v>
      </c>
      <c r="E471" s="2" t="str">
        <f t="shared" si="43"/>
        <v>Sft F.Horn C</v>
      </c>
      <c r="F471" s="12">
        <v>470</v>
      </c>
      <c r="G471" s="17">
        <f t="shared" si="44"/>
        <v>582</v>
      </c>
      <c r="H471" s="2">
        <f t="shared" si="45"/>
        <v>112</v>
      </c>
      <c r="I471" s="3" t="s">
        <v>3714</v>
      </c>
      <c r="J471" s="17">
        <f t="shared" si="46"/>
        <v>376</v>
      </c>
      <c r="K471" s="2">
        <f t="shared" si="47"/>
        <v>-94</v>
      </c>
      <c r="L471" s="12" t="s">
        <v>3714</v>
      </c>
    </row>
    <row r="472" spans="1:12" x14ac:dyDescent="0.25">
      <c r="A472" s="11" t="s">
        <v>1871</v>
      </c>
      <c r="B472" s="2" t="str">
        <f t="shared" si="42"/>
        <v>OB2 Pad 1 A</v>
      </c>
      <c r="C472" s="3">
        <v>471</v>
      </c>
      <c r="D472" s="17" t="s">
        <v>470</v>
      </c>
      <c r="E472" s="2" t="str">
        <f t="shared" si="43"/>
        <v>French Hrn A</v>
      </c>
      <c r="F472" s="12">
        <v>471</v>
      </c>
      <c r="G472" s="17">
        <f t="shared" si="44"/>
        <v>583</v>
      </c>
      <c r="H472" s="2">
        <f t="shared" si="45"/>
        <v>112</v>
      </c>
      <c r="I472" s="3" t="s">
        <v>3714</v>
      </c>
      <c r="J472" s="17">
        <f t="shared" si="46"/>
        <v>377</v>
      </c>
      <c r="K472" s="2">
        <f t="shared" si="47"/>
        <v>-94</v>
      </c>
      <c r="L472" s="12" t="s">
        <v>3714</v>
      </c>
    </row>
    <row r="473" spans="1:12" x14ac:dyDescent="0.25">
      <c r="A473" s="11" t="s">
        <v>1872</v>
      </c>
      <c r="B473" s="2" t="str">
        <f t="shared" si="42"/>
        <v>OB2 Pad 1 B</v>
      </c>
      <c r="C473" s="3">
        <v>472</v>
      </c>
      <c r="D473" s="17" t="s">
        <v>471</v>
      </c>
      <c r="E473" s="2" t="str">
        <f t="shared" si="43"/>
        <v>French Hrn C</v>
      </c>
      <c r="F473" s="12">
        <v>472</v>
      </c>
      <c r="G473" s="17">
        <f t="shared" si="44"/>
        <v>584</v>
      </c>
      <c r="H473" s="2">
        <f t="shared" si="45"/>
        <v>112</v>
      </c>
      <c r="I473" s="3" t="s">
        <v>3714</v>
      </c>
      <c r="J473" s="17">
        <f t="shared" si="46"/>
        <v>378</v>
      </c>
      <c r="K473" s="2">
        <f t="shared" si="47"/>
        <v>-94</v>
      </c>
      <c r="L473" s="12" t="s">
        <v>3714</v>
      </c>
    </row>
    <row r="474" spans="1:12" x14ac:dyDescent="0.25">
      <c r="A474" s="11" t="s">
        <v>1873</v>
      </c>
      <c r="B474" s="2" t="str">
        <f t="shared" si="42"/>
        <v>OB2 Pad 1 C</v>
      </c>
      <c r="C474" s="3">
        <v>473</v>
      </c>
      <c r="D474" s="17" t="s">
        <v>472</v>
      </c>
      <c r="E474" s="2" t="str">
        <f t="shared" si="43"/>
        <v>XP Horn A</v>
      </c>
      <c r="F474" s="12">
        <v>473</v>
      </c>
      <c r="G474" s="17">
        <f t="shared" si="44"/>
        <v>585</v>
      </c>
      <c r="H474" s="2">
        <f t="shared" si="45"/>
        <v>112</v>
      </c>
      <c r="I474" s="3" t="s">
        <v>3714</v>
      </c>
      <c r="J474" s="17">
        <f t="shared" si="46"/>
        <v>0</v>
      </c>
      <c r="K474" s="2">
        <f t="shared" si="47"/>
        <v>0</v>
      </c>
      <c r="L474" s="12" t="s">
        <v>3714</v>
      </c>
    </row>
    <row r="475" spans="1:12" x14ac:dyDescent="0.25">
      <c r="A475" s="11" t="s">
        <v>1874</v>
      </c>
      <c r="B475" s="2" t="str">
        <f t="shared" si="42"/>
        <v>OB2 Pad 2 A</v>
      </c>
      <c r="C475" s="3">
        <v>474</v>
      </c>
      <c r="D475" s="17" t="s">
        <v>473</v>
      </c>
      <c r="E475" s="2" t="str">
        <f t="shared" si="43"/>
        <v>XP Horn B</v>
      </c>
      <c r="F475" s="12">
        <v>474</v>
      </c>
      <c r="G475" s="17">
        <f t="shared" si="44"/>
        <v>586</v>
      </c>
      <c r="H475" s="2">
        <f t="shared" si="45"/>
        <v>112</v>
      </c>
      <c r="I475" s="3" t="s">
        <v>3714</v>
      </c>
      <c r="J475" s="17">
        <f t="shared" si="46"/>
        <v>0</v>
      </c>
      <c r="K475" s="2">
        <f t="shared" si="47"/>
        <v>0</v>
      </c>
      <c r="L475" s="12" t="s">
        <v>3714</v>
      </c>
    </row>
    <row r="476" spans="1:12" x14ac:dyDescent="0.25">
      <c r="A476" s="11" t="s">
        <v>1875</v>
      </c>
      <c r="B476" s="2" t="str">
        <f t="shared" si="42"/>
        <v>OB2 Pad 2 B</v>
      </c>
      <c r="C476" s="3">
        <v>475</v>
      </c>
      <c r="D476" s="17" t="s">
        <v>474</v>
      </c>
      <c r="E476" s="2" t="str">
        <f t="shared" si="43"/>
        <v>F.HornSect A</v>
      </c>
      <c r="F476" s="12">
        <v>475</v>
      </c>
      <c r="G476" s="17">
        <f t="shared" si="44"/>
        <v>587</v>
      </c>
      <c r="H476" s="2">
        <f t="shared" si="45"/>
        <v>112</v>
      </c>
      <c r="I476" s="3" t="s">
        <v>3714</v>
      </c>
      <c r="J476" s="17">
        <f t="shared" si="46"/>
        <v>379</v>
      </c>
      <c r="K476" s="2">
        <f t="shared" si="47"/>
        <v>-96</v>
      </c>
      <c r="L476" s="12" t="s">
        <v>3714</v>
      </c>
    </row>
    <row r="477" spans="1:12" x14ac:dyDescent="0.25">
      <c r="A477" s="11" t="s">
        <v>1876</v>
      </c>
      <c r="B477" s="2" t="str">
        <f t="shared" si="42"/>
        <v>OB2 Pad 2 C</v>
      </c>
      <c r="C477" s="3">
        <v>476</v>
      </c>
      <c r="D477" s="17" t="s">
        <v>475</v>
      </c>
      <c r="E477" s="2" t="str">
        <f t="shared" si="43"/>
        <v>F.HornSect B</v>
      </c>
      <c r="F477" s="12">
        <v>476</v>
      </c>
      <c r="G477" s="17">
        <f t="shared" si="44"/>
        <v>588</v>
      </c>
      <c r="H477" s="2">
        <f t="shared" si="45"/>
        <v>112</v>
      </c>
      <c r="I477" s="3" t="s">
        <v>3714</v>
      </c>
      <c r="J477" s="17">
        <f t="shared" si="46"/>
        <v>380</v>
      </c>
      <c r="K477" s="2">
        <f t="shared" si="47"/>
        <v>-96</v>
      </c>
      <c r="L477" s="12" t="s">
        <v>3714</v>
      </c>
    </row>
    <row r="478" spans="1:12" x14ac:dyDescent="0.25">
      <c r="A478" s="11" t="s">
        <v>1877</v>
      </c>
      <c r="B478" s="2" t="str">
        <f t="shared" si="42"/>
        <v>SBF Vox A</v>
      </c>
      <c r="C478" s="3">
        <v>477</v>
      </c>
      <c r="D478" s="17" t="s">
        <v>476</v>
      </c>
      <c r="E478" s="2" t="str">
        <f t="shared" si="43"/>
        <v>F.HornSect C</v>
      </c>
      <c r="F478" s="12">
        <v>477</v>
      </c>
      <c r="G478" s="17">
        <f t="shared" si="44"/>
        <v>592</v>
      </c>
      <c r="H478" s="2">
        <f t="shared" si="45"/>
        <v>115</v>
      </c>
      <c r="I478" s="3" t="s">
        <v>3714</v>
      </c>
      <c r="J478" s="17">
        <f t="shared" si="46"/>
        <v>381</v>
      </c>
      <c r="K478" s="2">
        <f t="shared" si="47"/>
        <v>-96</v>
      </c>
      <c r="L478" s="12" t="s">
        <v>3714</v>
      </c>
    </row>
    <row r="479" spans="1:12" x14ac:dyDescent="0.25">
      <c r="A479" s="11" t="s">
        <v>1878</v>
      </c>
      <c r="B479" s="2" t="str">
        <f t="shared" si="42"/>
        <v>SBF Vox B</v>
      </c>
      <c r="C479" s="3">
        <v>478</v>
      </c>
      <c r="D479" s="17" t="s">
        <v>477</v>
      </c>
      <c r="E479" s="2" t="str">
        <f t="shared" si="43"/>
        <v>Tp Section A</v>
      </c>
      <c r="F479" s="12">
        <v>478</v>
      </c>
      <c r="G479" s="17">
        <f t="shared" si="44"/>
        <v>593</v>
      </c>
      <c r="H479" s="2">
        <f t="shared" si="45"/>
        <v>115</v>
      </c>
      <c r="I479" s="3" t="s">
        <v>3714</v>
      </c>
      <c r="J479" s="17">
        <f t="shared" si="46"/>
        <v>382</v>
      </c>
      <c r="K479" s="2">
        <f t="shared" si="47"/>
        <v>-96</v>
      </c>
      <c r="L479" s="12" t="s">
        <v>3714</v>
      </c>
    </row>
    <row r="480" spans="1:12" x14ac:dyDescent="0.25">
      <c r="A480" s="11" t="s">
        <v>1879</v>
      </c>
      <c r="B480" s="2" t="str">
        <f t="shared" si="42"/>
        <v>SBF Vox C</v>
      </c>
      <c r="C480" s="3">
        <v>479</v>
      </c>
      <c r="D480" s="17" t="s">
        <v>478</v>
      </c>
      <c r="E480" s="2" t="str">
        <f t="shared" si="43"/>
        <v>Tp Section B</v>
      </c>
      <c r="F480" s="12">
        <v>479</v>
      </c>
      <c r="G480" s="17">
        <f t="shared" si="44"/>
        <v>594</v>
      </c>
      <c r="H480" s="2">
        <f t="shared" si="45"/>
        <v>115</v>
      </c>
      <c r="I480" s="3" t="s">
        <v>3714</v>
      </c>
      <c r="J480" s="17">
        <f t="shared" si="46"/>
        <v>383</v>
      </c>
      <c r="K480" s="2">
        <f t="shared" si="47"/>
        <v>-96</v>
      </c>
      <c r="L480" s="12" t="s">
        <v>3714</v>
      </c>
    </row>
    <row r="481" spans="1:12" x14ac:dyDescent="0.25">
      <c r="A481" s="11" t="s">
        <v>1880</v>
      </c>
      <c r="B481" s="2" t="str">
        <f t="shared" si="42"/>
        <v>Female Ahs A</v>
      </c>
      <c r="C481" s="3">
        <v>480</v>
      </c>
      <c r="D481" s="17" t="s">
        <v>479</v>
      </c>
      <c r="E481" s="2" t="str">
        <f t="shared" si="43"/>
        <v>Tp Section C</v>
      </c>
      <c r="F481" s="12">
        <v>480</v>
      </c>
      <c r="G481" s="17">
        <f t="shared" si="44"/>
        <v>601</v>
      </c>
      <c r="H481" s="2">
        <f t="shared" si="45"/>
        <v>121</v>
      </c>
      <c r="I481" s="3" t="s">
        <v>3714</v>
      </c>
      <c r="J481" s="17">
        <f t="shared" si="46"/>
        <v>384</v>
      </c>
      <c r="K481" s="2">
        <f t="shared" si="47"/>
        <v>-96</v>
      </c>
      <c r="L481" s="12" t="s">
        <v>3714</v>
      </c>
    </row>
    <row r="482" spans="1:12" x14ac:dyDescent="0.25">
      <c r="A482" s="11" t="s">
        <v>1881</v>
      </c>
      <c r="B482" s="2" t="str">
        <f t="shared" si="42"/>
        <v>Female Ahs B</v>
      </c>
      <c r="C482" s="3">
        <v>481</v>
      </c>
      <c r="D482" s="17" t="s">
        <v>480</v>
      </c>
      <c r="E482" s="2" t="str">
        <f t="shared" si="43"/>
        <v>OctBrs p A L</v>
      </c>
      <c r="F482" s="12">
        <v>481</v>
      </c>
      <c r="G482" s="17">
        <f t="shared" si="44"/>
        <v>602</v>
      </c>
      <c r="H482" s="2">
        <f t="shared" si="45"/>
        <v>121</v>
      </c>
      <c r="I482" s="3" t="s">
        <v>3714</v>
      </c>
      <c r="J482" s="17">
        <f t="shared" si="46"/>
        <v>385</v>
      </c>
      <c r="K482" s="2">
        <f t="shared" si="47"/>
        <v>-96</v>
      </c>
      <c r="L482" s="12" t="s">
        <v>3714</v>
      </c>
    </row>
    <row r="483" spans="1:12" x14ac:dyDescent="0.25">
      <c r="A483" s="11" t="s">
        <v>1882</v>
      </c>
      <c r="B483" s="2" t="str">
        <f t="shared" si="42"/>
        <v>Female Ahs C</v>
      </c>
      <c r="C483" s="3">
        <v>482</v>
      </c>
      <c r="D483" s="17" t="s">
        <v>481</v>
      </c>
      <c r="E483" s="2" t="str">
        <f t="shared" si="43"/>
        <v>OctBrs p A R</v>
      </c>
      <c r="F483" s="12">
        <v>482</v>
      </c>
      <c r="G483" s="17">
        <f t="shared" si="44"/>
        <v>603</v>
      </c>
      <c r="H483" s="2">
        <f t="shared" si="45"/>
        <v>121</v>
      </c>
      <c r="I483" s="3" t="s">
        <v>3714</v>
      </c>
      <c r="J483" s="17">
        <f t="shared" si="46"/>
        <v>386</v>
      </c>
      <c r="K483" s="2">
        <f t="shared" si="47"/>
        <v>-96</v>
      </c>
      <c r="L483" s="12" t="s">
        <v>3714</v>
      </c>
    </row>
    <row r="484" spans="1:12" x14ac:dyDescent="0.25">
      <c r="A484" s="11" t="s">
        <v>1883</v>
      </c>
      <c r="B484" s="2" t="str">
        <f t="shared" si="42"/>
        <v>Female Oos A</v>
      </c>
      <c r="C484" s="3">
        <v>483</v>
      </c>
      <c r="D484" s="17" t="s">
        <v>482</v>
      </c>
      <c r="E484" s="2" t="str">
        <f t="shared" si="43"/>
        <v>OctBrs p B L</v>
      </c>
      <c r="F484" s="12">
        <v>483</v>
      </c>
      <c r="G484" s="17">
        <f t="shared" si="44"/>
        <v>604</v>
      </c>
      <c r="H484" s="2">
        <f t="shared" si="45"/>
        <v>121</v>
      </c>
      <c r="I484" s="3" t="s">
        <v>3714</v>
      </c>
      <c r="J484" s="17">
        <f t="shared" si="46"/>
        <v>387</v>
      </c>
      <c r="K484" s="2">
        <f t="shared" si="47"/>
        <v>-96</v>
      </c>
      <c r="L484" s="12" t="s">
        <v>3714</v>
      </c>
    </row>
    <row r="485" spans="1:12" x14ac:dyDescent="0.25">
      <c r="A485" s="11" t="s">
        <v>1884</v>
      </c>
      <c r="B485" s="2" t="str">
        <f t="shared" si="42"/>
        <v>Female Oos B</v>
      </c>
      <c r="C485" s="3">
        <v>484</v>
      </c>
      <c r="D485" s="17" t="s">
        <v>483</v>
      </c>
      <c r="E485" s="2" t="str">
        <f t="shared" si="43"/>
        <v>OctBrs p B R</v>
      </c>
      <c r="F485" s="12">
        <v>484</v>
      </c>
      <c r="G485" s="17">
        <f t="shared" si="44"/>
        <v>605</v>
      </c>
      <c r="H485" s="2">
        <f t="shared" si="45"/>
        <v>121</v>
      </c>
      <c r="I485" s="3" t="s">
        <v>3714</v>
      </c>
      <c r="J485" s="17">
        <f t="shared" si="46"/>
        <v>388</v>
      </c>
      <c r="K485" s="2">
        <f t="shared" si="47"/>
        <v>-96</v>
      </c>
      <c r="L485" s="12" t="s">
        <v>3714</v>
      </c>
    </row>
    <row r="486" spans="1:12" x14ac:dyDescent="0.25">
      <c r="A486" s="11" t="s">
        <v>1885</v>
      </c>
      <c r="B486" s="2" t="str">
        <f t="shared" si="42"/>
        <v>Female Oos C</v>
      </c>
      <c r="C486" s="3">
        <v>485</v>
      </c>
      <c r="D486" s="17" t="s">
        <v>484</v>
      </c>
      <c r="E486" s="2" t="str">
        <f t="shared" si="43"/>
        <v>OctBrs p C L</v>
      </c>
      <c r="F486" s="12">
        <v>485</v>
      </c>
      <c r="G486" s="17">
        <f t="shared" si="44"/>
        <v>606</v>
      </c>
      <c r="H486" s="2">
        <f t="shared" si="45"/>
        <v>121</v>
      </c>
      <c r="I486" s="3" t="s">
        <v>3714</v>
      </c>
      <c r="J486" s="17">
        <f t="shared" si="46"/>
        <v>389</v>
      </c>
      <c r="K486" s="2">
        <f t="shared" si="47"/>
        <v>-96</v>
      </c>
      <c r="L486" s="12" t="s">
        <v>3714</v>
      </c>
    </row>
    <row r="487" spans="1:12" x14ac:dyDescent="0.25">
      <c r="A487" s="11" t="s">
        <v>1886</v>
      </c>
      <c r="B487" s="2" t="str">
        <f t="shared" si="42"/>
        <v>Male Aahs A</v>
      </c>
      <c r="C487" s="3">
        <v>486</v>
      </c>
      <c r="D487" s="17" t="s">
        <v>485</v>
      </c>
      <c r="E487" s="2" t="str">
        <f t="shared" si="43"/>
        <v>OctBrs p C R</v>
      </c>
      <c r="F487" s="12">
        <v>486</v>
      </c>
      <c r="G487" s="17">
        <f t="shared" si="44"/>
        <v>607</v>
      </c>
      <c r="H487" s="2">
        <f t="shared" si="45"/>
        <v>121</v>
      </c>
      <c r="I487" s="3" t="s">
        <v>3714</v>
      </c>
      <c r="J487" s="17">
        <f t="shared" si="46"/>
        <v>390</v>
      </c>
      <c r="K487" s="2">
        <f t="shared" si="47"/>
        <v>-96</v>
      </c>
      <c r="L487" s="12" t="s">
        <v>3714</v>
      </c>
    </row>
    <row r="488" spans="1:12" x14ac:dyDescent="0.25">
      <c r="A488" s="11" t="s">
        <v>1887</v>
      </c>
      <c r="B488" s="2" t="str">
        <f t="shared" si="42"/>
        <v>Male Aahs B</v>
      </c>
      <c r="C488" s="3">
        <v>487</v>
      </c>
      <c r="D488" s="17" t="s">
        <v>486</v>
      </c>
      <c r="E488" s="2" t="str">
        <f t="shared" si="43"/>
        <v>OctBrs f A L</v>
      </c>
      <c r="F488" s="12">
        <v>487</v>
      </c>
      <c r="G488" s="17">
        <f t="shared" si="44"/>
        <v>608</v>
      </c>
      <c r="H488" s="2">
        <f t="shared" si="45"/>
        <v>121</v>
      </c>
      <c r="I488" s="3" t="s">
        <v>3714</v>
      </c>
      <c r="J488" s="17">
        <f t="shared" si="46"/>
        <v>391</v>
      </c>
      <c r="K488" s="2">
        <f t="shared" si="47"/>
        <v>-96</v>
      </c>
      <c r="L488" s="12" t="s">
        <v>3714</v>
      </c>
    </row>
    <row r="489" spans="1:12" x14ac:dyDescent="0.25">
      <c r="A489" s="11" t="s">
        <v>1888</v>
      </c>
      <c r="B489" s="2" t="str">
        <f t="shared" si="42"/>
        <v>Male Aahs C</v>
      </c>
      <c r="C489" s="3">
        <v>488</v>
      </c>
      <c r="D489" s="17" t="s">
        <v>487</v>
      </c>
      <c r="E489" s="2" t="str">
        <f t="shared" si="43"/>
        <v>OctBrs f A R</v>
      </c>
      <c r="F489" s="12">
        <v>488</v>
      </c>
      <c r="G489" s="17">
        <f t="shared" si="44"/>
        <v>609</v>
      </c>
      <c r="H489" s="2">
        <f t="shared" si="45"/>
        <v>121</v>
      </c>
      <c r="I489" s="3" t="s">
        <v>3714</v>
      </c>
      <c r="J489" s="17">
        <f t="shared" si="46"/>
        <v>392</v>
      </c>
      <c r="K489" s="2">
        <f t="shared" si="47"/>
        <v>-96</v>
      </c>
      <c r="L489" s="12" t="s">
        <v>3714</v>
      </c>
    </row>
    <row r="490" spans="1:12" x14ac:dyDescent="0.25">
      <c r="A490" s="11" t="s">
        <v>1889</v>
      </c>
      <c r="B490" s="2" t="str">
        <f t="shared" si="42"/>
        <v>Jazz Doos A</v>
      </c>
      <c r="C490" s="3">
        <v>489</v>
      </c>
      <c r="D490" s="17" t="s">
        <v>488</v>
      </c>
      <c r="E490" s="2" t="str">
        <f t="shared" si="43"/>
        <v>OctBrs f B L</v>
      </c>
      <c r="F490" s="12">
        <v>489</v>
      </c>
      <c r="G490" s="17">
        <f t="shared" si="44"/>
        <v>610</v>
      </c>
      <c r="H490" s="2">
        <f t="shared" si="45"/>
        <v>121</v>
      </c>
      <c r="I490" s="3" t="s">
        <v>3714</v>
      </c>
      <c r="J490" s="17">
        <f t="shared" si="46"/>
        <v>393</v>
      </c>
      <c r="K490" s="2">
        <f t="shared" si="47"/>
        <v>-96</v>
      </c>
      <c r="L490" s="12" t="s">
        <v>3714</v>
      </c>
    </row>
    <row r="491" spans="1:12" x14ac:dyDescent="0.25">
      <c r="A491" s="11" t="s">
        <v>1890</v>
      </c>
      <c r="B491" s="2" t="str">
        <f t="shared" si="42"/>
        <v>Jazz Doos B</v>
      </c>
      <c r="C491" s="3">
        <v>490</v>
      </c>
      <c r="D491" s="17" t="s">
        <v>489</v>
      </c>
      <c r="E491" s="2" t="str">
        <f t="shared" si="43"/>
        <v>OctBrs f B R</v>
      </c>
      <c r="F491" s="12">
        <v>490</v>
      </c>
      <c r="G491" s="17">
        <f t="shared" si="44"/>
        <v>611</v>
      </c>
      <c r="H491" s="2">
        <f t="shared" si="45"/>
        <v>121</v>
      </c>
      <c r="I491" s="3" t="s">
        <v>3714</v>
      </c>
      <c r="J491" s="17">
        <f t="shared" si="46"/>
        <v>394</v>
      </c>
      <c r="K491" s="2">
        <f t="shared" si="47"/>
        <v>-96</v>
      </c>
      <c r="L491" s="12" t="s">
        <v>3714</v>
      </c>
    </row>
    <row r="492" spans="1:12" x14ac:dyDescent="0.25">
      <c r="A492" s="11" t="s">
        <v>1891</v>
      </c>
      <c r="B492" s="2" t="str">
        <f t="shared" si="42"/>
        <v>Jazz Doos C</v>
      </c>
      <c r="C492" s="3">
        <v>491</v>
      </c>
      <c r="D492" s="17" t="s">
        <v>490</v>
      </c>
      <c r="E492" s="2" t="str">
        <f t="shared" si="43"/>
        <v>OctBrs f C L</v>
      </c>
      <c r="F492" s="12">
        <v>491</v>
      </c>
      <c r="G492" s="17">
        <f t="shared" si="44"/>
        <v>612</v>
      </c>
      <c r="H492" s="2">
        <f t="shared" si="45"/>
        <v>121</v>
      </c>
      <c r="I492" s="3" t="s">
        <v>3714</v>
      </c>
      <c r="J492" s="17">
        <f t="shared" si="46"/>
        <v>395</v>
      </c>
      <c r="K492" s="2">
        <f t="shared" si="47"/>
        <v>-96</v>
      </c>
      <c r="L492" s="12" t="s">
        <v>3714</v>
      </c>
    </row>
    <row r="493" spans="1:12" x14ac:dyDescent="0.25">
      <c r="A493" s="11" t="s">
        <v>1892</v>
      </c>
      <c r="B493" s="2" t="str">
        <f t="shared" si="42"/>
        <v>Jz Doos Lp A</v>
      </c>
      <c r="C493" s="3">
        <v>492</v>
      </c>
      <c r="D493" s="17" t="s">
        <v>491</v>
      </c>
      <c r="E493" s="2" t="str">
        <f t="shared" si="43"/>
        <v>OctBrs f C R</v>
      </c>
      <c r="F493" s="12">
        <v>492</v>
      </c>
      <c r="G493" s="17">
        <f t="shared" si="44"/>
        <v>613</v>
      </c>
      <c r="H493" s="2">
        <f t="shared" si="45"/>
        <v>121</v>
      </c>
      <c r="I493" s="3" t="s">
        <v>3714</v>
      </c>
      <c r="J493" s="17">
        <f t="shared" si="46"/>
        <v>396</v>
      </c>
      <c r="K493" s="2">
        <f t="shared" si="47"/>
        <v>-96</v>
      </c>
      <c r="L493" s="12" t="s">
        <v>3714</v>
      </c>
    </row>
    <row r="494" spans="1:12" x14ac:dyDescent="0.25">
      <c r="A494" s="11" t="s">
        <v>1893</v>
      </c>
      <c r="B494" s="2" t="str">
        <f t="shared" si="42"/>
        <v>Jz Doos Lp B</v>
      </c>
      <c r="C494" s="3">
        <v>493</v>
      </c>
      <c r="D494" s="17" t="s">
        <v>492</v>
      </c>
      <c r="E494" s="2" t="str">
        <f t="shared" si="43"/>
        <v>XP Brass</v>
      </c>
      <c r="F494" s="12">
        <v>493</v>
      </c>
      <c r="G494" s="17">
        <f t="shared" si="44"/>
        <v>614</v>
      </c>
      <c r="H494" s="2">
        <f t="shared" si="45"/>
        <v>121</v>
      </c>
      <c r="I494" s="3" t="s">
        <v>3714</v>
      </c>
      <c r="J494" s="17">
        <f t="shared" si="46"/>
        <v>0</v>
      </c>
      <c r="K494" s="2">
        <f t="shared" si="47"/>
        <v>0</v>
      </c>
      <c r="L494" s="12" t="s">
        <v>3714</v>
      </c>
    </row>
    <row r="495" spans="1:12" x14ac:dyDescent="0.25">
      <c r="A495" s="11" t="s">
        <v>1894</v>
      </c>
      <c r="B495" s="2" t="str">
        <f t="shared" si="42"/>
        <v>Jz Doos Lp C</v>
      </c>
      <c r="C495" s="3">
        <v>494</v>
      </c>
      <c r="D495" s="17" t="s">
        <v>493</v>
      </c>
      <c r="E495" s="2" t="str">
        <f t="shared" si="43"/>
        <v>OrchUnis A L</v>
      </c>
      <c r="F495" s="12">
        <v>494</v>
      </c>
      <c r="G495" s="17">
        <f t="shared" si="44"/>
        <v>615</v>
      </c>
      <c r="H495" s="2">
        <f t="shared" si="45"/>
        <v>121</v>
      </c>
      <c r="I495" s="3" t="s">
        <v>3714</v>
      </c>
      <c r="J495" s="17">
        <f t="shared" si="46"/>
        <v>401</v>
      </c>
      <c r="K495" s="2">
        <f t="shared" si="47"/>
        <v>-93</v>
      </c>
      <c r="L495" s="12" t="s">
        <v>3714</v>
      </c>
    </row>
    <row r="496" spans="1:12" x14ac:dyDescent="0.25">
      <c r="A496" s="11" t="s">
        <v>1895</v>
      </c>
      <c r="B496" s="2" t="str">
        <f t="shared" si="42"/>
        <v>Gospel Hum A</v>
      </c>
      <c r="C496" s="3">
        <v>495</v>
      </c>
      <c r="D496" s="17" t="s">
        <v>494</v>
      </c>
      <c r="E496" s="2" t="str">
        <f t="shared" si="43"/>
        <v>OrchUnis A R</v>
      </c>
      <c r="F496" s="12">
        <v>495</v>
      </c>
      <c r="G496" s="17">
        <f t="shared" si="44"/>
        <v>616</v>
      </c>
      <c r="H496" s="2">
        <f t="shared" si="45"/>
        <v>121</v>
      </c>
      <c r="I496" s="3" t="s">
        <v>3714</v>
      </c>
      <c r="J496" s="17">
        <f t="shared" si="46"/>
        <v>402</v>
      </c>
      <c r="K496" s="2">
        <f t="shared" si="47"/>
        <v>-93</v>
      </c>
      <c r="L496" s="12" t="s">
        <v>3714</v>
      </c>
    </row>
    <row r="497" spans="1:12" x14ac:dyDescent="0.25">
      <c r="A497" s="11" t="s">
        <v>1896</v>
      </c>
      <c r="B497" s="2" t="str">
        <f t="shared" si="42"/>
        <v>Gospel Hum B</v>
      </c>
      <c r="C497" s="3">
        <v>496</v>
      </c>
      <c r="D497" s="17" t="s">
        <v>495</v>
      </c>
      <c r="E497" s="2" t="str">
        <f t="shared" si="43"/>
        <v>OrchUnis B L</v>
      </c>
      <c r="F497" s="12">
        <v>496</v>
      </c>
      <c r="G497" s="17">
        <f t="shared" si="44"/>
        <v>617</v>
      </c>
      <c r="H497" s="2">
        <f t="shared" si="45"/>
        <v>121</v>
      </c>
      <c r="I497" s="3" t="s">
        <v>3714</v>
      </c>
      <c r="J497" s="17">
        <f t="shared" si="46"/>
        <v>403</v>
      </c>
      <c r="K497" s="2">
        <f t="shared" si="47"/>
        <v>-93</v>
      </c>
      <c r="L497" s="12" t="s">
        <v>3714</v>
      </c>
    </row>
    <row r="498" spans="1:12" x14ac:dyDescent="0.25">
      <c r="A498" s="11" t="s">
        <v>1897</v>
      </c>
      <c r="B498" s="2" t="str">
        <f t="shared" si="42"/>
        <v>Gospel Hum C</v>
      </c>
      <c r="C498" s="3">
        <v>497</v>
      </c>
      <c r="D498" s="17" t="s">
        <v>496</v>
      </c>
      <c r="E498" s="2" t="str">
        <f t="shared" si="43"/>
        <v>OrchUnis B R</v>
      </c>
      <c r="F498" s="12">
        <v>497</v>
      </c>
      <c r="G498" s="17">
        <f t="shared" si="44"/>
        <v>618</v>
      </c>
      <c r="H498" s="2">
        <f t="shared" si="45"/>
        <v>121</v>
      </c>
      <c r="I498" s="3" t="s">
        <v>3714</v>
      </c>
      <c r="J498" s="17">
        <f t="shared" si="46"/>
        <v>404</v>
      </c>
      <c r="K498" s="2">
        <f t="shared" si="47"/>
        <v>-93</v>
      </c>
      <c r="L498" s="12" t="s">
        <v>3714</v>
      </c>
    </row>
    <row r="499" spans="1:12" x14ac:dyDescent="0.25">
      <c r="A499" s="11" t="s">
        <v>1898</v>
      </c>
      <c r="B499" s="2" t="str">
        <f t="shared" si="42"/>
        <v>Soprano Vox</v>
      </c>
      <c r="C499" s="3">
        <v>498</v>
      </c>
      <c r="D499" s="17" t="s">
        <v>497</v>
      </c>
      <c r="E499" s="2" t="str">
        <f t="shared" si="43"/>
        <v>OrchUnis C L</v>
      </c>
      <c r="F499" s="12">
        <v>498</v>
      </c>
      <c r="G499" s="17">
        <f t="shared" si="44"/>
        <v>619</v>
      </c>
      <c r="H499" s="2">
        <f t="shared" si="45"/>
        <v>121</v>
      </c>
      <c r="I499" s="3" t="s">
        <v>3714</v>
      </c>
      <c r="J499" s="17">
        <f t="shared" si="46"/>
        <v>405</v>
      </c>
      <c r="K499" s="2">
        <f t="shared" si="47"/>
        <v>-93</v>
      </c>
      <c r="L499" s="12" t="s">
        <v>3714</v>
      </c>
    </row>
    <row r="500" spans="1:12" x14ac:dyDescent="0.25">
      <c r="A500" s="11" t="s">
        <v>1899</v>
      </c>
      <c r="B500" s="2" t="str">
        <f t="shared" si="42"/>
        <v>Kalimba</v>
      </c>
      <c r="C500" s="3">
        <v>499</v>
      </c>
      <c r="D500" s="17" t="s">
        <v>498</v>
      </c>
      <c r="E500" s="2" t="str">
        <f t="shared" si="43"/>
        <v>OrchUnis C R</v>
      </c>
      <c r="F500" s="12">
        <v>499</v>
      </c>
      <c r="G500" s="17">
        <f t="shared" si="44"/>
        <v>620</v>
      </c>
      <c r="H500" s="2">
        <f t="shared" si="45"/>
        <v>121</v>
      </c>
      <c r="I500" s="3" t="s">
        <v>3714</v>
      </c>
      <c r="J500" s="17">
        <f t="shared" si="46"/>
        <v>406</v>
      </c>
      <c r="K500" s="2">
        <f t="shared" si="47"/>
        <v>-93</v>
      </c>
      <c r="L500" s="12" t="s">
        <v>3714</v>
      </c>
    </row>
    <row r="501" spans="1:12" x14ac:dyDescent="0.25">
      <c r="A501" s="11" t="s">
        <v>1900</v>
      </c>
      <c r="B501" s="2" t="str">
        <f t="shared" si="42"/>
        <v>JD Klmba Atk</v>
      </c>
      <c r="C501" s="3">
        <v>500</v>
      </c>
      <c r="D501" s="17" t="s">
        <v>499</v>
      </c>
      <c r="E501" s="2" t="str">
        <f t="shared" si="43"/>
        <v>Violin f A</v>
      </c>
      <c r="F501" s="12">
        <v>500</v>
      </c>
      <c r="G501" s="17">
        <f t="shared" si="44"/>
        <v>621</v>
      </c>
      <c r="H501" s="2">
        <f t="shared" si="45"/>
        <v>121</v>
      </c>
      <c r="I501" s="3" t="s">
        <v>3714</v>
      </c>
      <c r="J501" s="17">
        <f t="shared" si="46"/>
        <v>0</v>
      </c>
      <c r="K501" s="2">
        <f t="shared" si="47"/>
        <v>0</v>
      </c>
      <c r="L501" s="12" t="s">
        <v>3714</v>
      </c>
    </row>
    <row r="502" spans="1:12" x14ac:dyDescent="0.25">
      <c r="A502" s="11" t="s">
        <v>1901</v>
      </c>
      <c r="B502" s="2" t="str">
        <f t="shared" si="42"/>
        <v>JD Wood Crak</v>
      </c>
      <c r="C502" s="3">
        <v>501</v>
      </c>
      <c r="D502" s="17" t="s">
        <v>500</v>
      </c>
      <c r="E502" s="2" t="str">
        <f t="shared" si="43"/>
        <v>Violin f B</v>
      </c>
      <c r="F502" s="12">
        <v>501</v>
      </c>
      <c r="G502" s="17">
        <f t="shared" si="44"/>
        <v>622</v>
      </c>
      <c r="H502" s="2">
        <f t="shared" si="45"/>
        <v>121</v>
      </c>
      <c r="I502" s="3" t="s">
        <v>3714</v>
      </c>
      <c r="J502" s="17">
        <f t="shared" si="46"/>
        <v>0</v>
      </c>
      <c r="K502" s="2">
        <f t="shared" si="47"/>
        <v>0</v>
      </c>
      <c r="L502" s="12" t="s">
        <v>3714</v>
      </c>
    </row>
    <row r="503" spans="1:12" x14ac:dyDescent="0.25">
      <c r="A503" s="11" t="s">
        <v>1902</v>
      </c>
      <c r="B503" s="2" t="str">
        <f t="shared" si="42"/>
        <v>JD Gamelan 1</v>
      </c>
      <c r="C503" s="3">
        <v>502</v>
      </c>
      <c r="D503" s="17" t="s">
        <v>501</v>
      </c>
      <c r="E503" s="2" t="str">
        <f t="shared" si="43"/>
        <v>Violin f C</v>
      </c>
      <c r="F503" s="12">
        <v>502</v>
      </c>
      <c r="G503" s="17">
        <f t="shared" si="44"/>
        <v>623</v>
      </c>
      <c r="H503" s="2">
        <f t="shared" si="45"/>
        <v>121</v>
      </c>
      <c r="I503" s="3" t="s">
        <v>3714</v>
      </c>
      <c r="J503" s="17">
        <f t="shared" si="46"/>
        <v>0</v>
      </c>
      <c r="K503" s="2">
        <f t="shared" si="47"/>
        <v>0</v>
      </c>
      <c r="L503" s="12" t="s">
        <v>3714</v>
      </c>
    </row>
    <row r="504" spans="1:12" x14ac:dyDescent="0.25">
      <c r="A504" s="11" t="s">
        <v>1903</v>
      </c>
      <c r="B504" s="2" t="str">
        <f t="shared" si="42"/>
        <v>JD Gamelan 2</v>
      </c>
      <c r="C504" s="3">
        <v>503</v>
      </c>
      <c r="D504" s="17" t="s">
        <v>502</v>
      </c>
      <c r="E504" s="2" t="str">
        <f t="shared" si="43"/>
        <v>Violin Vib A</v>
      </c>
      <c r="F504" s="12">
        <v>503</v>
      </c>
      <c r="G504" s="17">
        <f t="shared" si="44"/>
        <v>624</v>
      </c>
      <c r="H504" s="2">
        <f t="shared" si="45"/>
        <v>121</v>
      </c>
      <c r="I504" s="3" t="s">
        <v>3714</v>
      </c>
      <c r="J504" s="17">
        <f t="shared" si="46"/>
        <v>407</v>
      </c>
      <c r="K504" s="2">
        <f t="shared" si="47"/>
        <v>-96</v>
      </c>
      <c r="L504" s="12" t="s">
        <v>3714</v>
      </c>
    </row>
    <row r="505" spans="1:12" x14ac:dyDescent="0.25">
      <c r="A505" s="11" t="s">
        <v>1904</v>
      </c>
      <c r="B505" s="2" t="str">
        <f t="shared" si="42"/>
        <v>JD Gamelan 3</v>
      </c>
      <c r="C505" s="3">
        <v>504</v>
      </c>
      <c r="D505" s="17" t="s">
        <v>503</v>
      </c>
      <c r="E505" s="2" t="str">
        <f t="shared" si="43"/>
        <v>Violin Vib B</v>
      </c>
      <c r="F505" s="12">
        <v>504</v>
      </c>
      <c r="G505" s="17">
        <f t="shared" si="44"/>
        <v>0</v>
      </c>
      <c r="H505" s="2">
        <f t="shared" si="45"/>
        <v>0</v>
      </c>
      <c r="I505" s="3" t="s">
        <v>3714</v>
      </c>
      <c r="J505" s="17">
        <f t="shared" si="46"/>
        <v>408</v>
      </c>
      <c r="K505" s="2">
        <f t="shared" si="47"/>
        <v>-96</v>
      </c>
      <c r="L505" s="12" t="s">
        <v>3714</v>
      </c>
    </row>
    <row r="506" spans="1:12" x14ac:dyDescent="0.25">
      <c r="A506" s="11" t="s">
        <v>1905</v>
      </c>
      <c r="B506" s="2" t="str">
        <f t="shared" si="42"/>
        <v>JD Log Drum</v>
      </c>
      <c r="C506" s="3">
        <v>505</v>
      </c>
      <c r="D506" s="17" t="s">
        <v>504</v>
      </c>
      <c r="E506" s="2" t="str">
        <f t="shared" si="43"/>
        <v>Violin Vib C</v>
      </c>
      <c r="F506" s="12">
        <v>505</v>
      </c>
      <c r="G506" s="17">
        <f t="shared" si="44"/>
        <v>625</v>
      </c>
      <c r="H506" s="2">
        <f t="shared" si="45"/>
        <v>120</v>
      </c>
      <c r="I506" s="3" t="s">
        <v>3714</v>
      </c>
      <c r="J506" s="17">
        <f t="shared" si="46"/>
        <v>409</v>
      </c>
      <c r="K506" s="2">
        <f t="shared" si="47"/>
        <v>-96</v>
      </c>
      <c r="L506" s="12" t="s">
        <v>3714</v>
      </c>
    </row>
    <row r="507" spans="1:12" x14ac:dyDescent="0.25">
      <c r="A507" s="11" t="s">
        <v>1906</v>
      </c>
      <c r="B507" s="2" t="str">
        <f t="shared" si="42"/>
        <v>JD Hooky</v>
      </c>
      <c r="C507" s="3">
        <v>506</v>
      </c>
      <c r="D507" s="17" t="s">
        <v>505</v>
      </c>
      <c r="E507" s="2" t="str">
        <f t="shared" si="43"/>
        <v>Cello f A</v>
      </c>
      <c r="F507" s="12">
        <v>506</v>
      </c>
      <c r="G507" s="17">
        <f t="shared" si="44"/>
        <v>0</v>
      </c>
      <c r="H507" s="2">
        <f t="shared" si="45"/>
        <v>0</v>
      </c>
      <c r="I507" s="3" t="s">
        <v>3714</v>
      </c>
      <c r="J507" s="17">
        <f t="shared" si="46"/>
        <v>0</v>
      </c>
      <c r="K507" s="2">
        <f t="shared" si="47"/>
        <v>0</v>
      </c>
      <c r="L507" s="12" t="s">
        <v>3714</v>
      </c>
    </row>
    <row r="508" spans="1:12" x14ac:dyDescent="0.25">
      <c r="A508" s="11" t="s">
        <v>1907</v>
      </c>
      <c r="B508" s="2" t="str">
        <f t="shared" si="42"/>
        <v>JD Tabla</v>
      </c>
      <c r="C508" s="3">
        <v>507</v>
      </c>
      <c r="D508" s="17" t="s">
        <v>506</v>
      </c>
      <c r="E508" s="2" t="str">
        <f t="shared" si="43"/>
        <v>Cello f B</v>
      </c>
      <c r="F508" s="12">
        <v>507</v>
      </c>
      <c r="G508" s="17">
        <f t="shared" si="44"/>
        <v>0</v>
      </c>
      <c r="H508" s="2">
        <f t="shared" si="45"/>
        <v>0</v>
      </c>
      <c r="I508" s="3" t="s">
        <v>3714</v>
      </c>
      <c r="J508" s="17">
        <f t="shared" si="46"/>
        <v>0</v>
      </c>
      <c r="K508" s="2">
        <f t="shared" si="47"/>
        <v>0</v>
      </c>
      <c r="L508" s="12" t="s">
        <v>3714</v>
      </c>
    </row>
    <row r="509" spans="1:12" x14ac:dyDescent="0.25">
      <c r="A509" s="11" t="s">
        <v>1908</v>
      </c>
      <c r="B509" s="2" t="str">
        <f t="shared" si="42"/>
        <v>JD Xylo</v>
      </c>
      <c r="C509" s="3">
        <v>508</v>
      </c>
      <c r="D509" s="17" t="s">
        <v>507</v>
      </c>
      <c r="E509" s="2" t="str">
        <f t="shared" si="43"/>
        <v>Cello f C</v>
      </c>
      <c r="F509" s="12">
        <v>508</v>
      </c>
      <c r="G509" s="17">
        <f t="shared" si="44"/>
        <v>626</v>
      </c>
      <c r="H509" s="2">
        <f t="shared" si="45"/>
        <v>118</v>
      </c>
      <c r="I509" s="3" t="s">
        <v>3714</v>
      </c>
      <c r="J509" s="17">
        <f t="shared" si="46"/>
        <v>0</v>
      </c>
      <c r="K509" s="2">
        <f t="shared" si="47"/>
        <v>0</v>
      </c>
      <c r="L509" s="12" t="s">
        <v>3714</v>
      </c>
    </row>
    <row r="510" spans="1:12" x14ac:dyDescent="0.25">
      <c r="A510" s="11" t="s">
        <v>1909</v>
      </c>
      <c r="B510" s="2" t="str">
        <f t="shared" si="42"/>
        <v>Marimba</v>
      </c>
      <c r="C510" s="3">
        <v>509</v>
      </c>
      <c r="D510" s="17" t="s">
        <v>508</v>
      </c>
      <c r="E510" s="2" t="str">
        <f t="shared" si="43"/>
        <v>Cello Vib A</v>
      </c>
      <c r="F510" s="12">
        <v>509</v>
      </c>
      <c r="G510" s="17">
        <f t="shared" si="44"/>
        <v>627</v>
      </c>
      <c r="H510" s="2">
        <f t="shared" si="45"/>
        <v>118</v>
      </c>
      <c r="I510" s="3" t="s">
        <v>3714</v>
      </c>
      <c r="J510" s="17">
        <f t="shared" si="46"/>
        <v>413</v>
      </c>
      <c r="K510" s="2">
        <f t="shared" si="47"/>
        <v>-96</v>
      </c>
      <c r="L510" s="12" t="s">
        <v>3714</v>
      </c>
    </row>
    <row r="511" spans="1:12" x14ac:dyDescent="0.25">
      <c r="A511" s="11" t="s">
        <v>1910</v>
      </c>
      <c r="B511" s="2" t="str">
        <f t="shared" si="42"/>
        <v>Vibraphone</v>
      </c>
      <c r="C511" s="3">
        <v>510</v>
      </c>
      <c r="D511" s="17" t="s">
        <v>509</v>
      </c>
      <c r="E511" s="2" t="str">
        <f t="shared" si="43"/>
        <v>Cello Vib B</v>
      </c>
      <c r="F511" s="12">
        <v>510</v>
      </c>
      <c r="G511" s="17">
        <f t="shared" si="44"/>
        <v>628</v>
      </c>
      <c r="H511" s="2">
        <f t="shared" si="45"/>
        <v>118</v>
      </c>
      <c r="I511" s="3" t="s">
        <v>3714</v>
      </c>
      <c r="J511" s="17">
        <f t="shared" si="46"/>
        <v>414</v>
      </c>
      <c r="K511" s="2">
        <f t="shared" si="47"/>
        <v>-96</v>
      </c>
      <c r="L511" s="12" t="s">
        <v>3714</v>
      </c>
    </row>
    <row r="512" spans="1:12" x14ac:dyDescent="0.25">
      <c r="A512" s="11" t="s">
        <v>1911</v>
      </c>
      <c r="B512" s="2" t="str">
        <f t="shared" si="42"/>
        <v>Glocken</v>
      </c>
      <c r="C512" s="3">
        <v>511</v>
      </c>
      <c r="D512" s="17" t="s">
        <v>510</v>
      </c>
      <c r="E512" s="2" t="str">
        <f t="shared" si="43"/>
        <v>Cello Vib C</v>
      </c>
      <c r="F512" s="12">
        <v>511</v>
      </c>
      <c r="G512" s="17">
        <f t="shared" si="44"/>
        <v>629</v>
      </c>
      <c r="H512" s="2">
        <f t="shared" si="45"/>
        <v>118</v>
      </c>
      <c r="I512" s="3" t="s">
        <v>3714</v>
      </c>
      <c r="J512" s="17">
        <f t="shared" si="46"/>
        <v>415</v>
      </c>
      <c r="K512" s="2">
        <f t="shared" si="47"/>
        <v>-96</v>
      </c>
      <c r="L512" s="12" t="s">
        <v>3714</v>
      </c>
    </row>
    <row r="513" spans="1:12" x14ac:dyDescent="0.25">
      <c r="A513" s="11" t="s">
        <v>1912</v>
      </c>
      <c r="B513" s="2" t="str">
        <f t="shared" si="42"/>
        <v>Steel Drums</v>
      </c>
      <c r="C513" s="3">
        <v>512</v>
      </c>
      <c r="D513" s="17" t="s">
        <v>511</v>
      </c>
      <c r="E513" s="2" t="str">
        <f t="shared" si="43"/>
        <v>Vl Sect. A L</v>
      </c>
      <c r="F513" s="12">
        <v>512</v>
      </c>
      <c r="G513" s="17">
        <f t="shared" si="44"/>
        <v>630</v>
      </c>
      <c r="H513" s="2">
        <f t="shared" si="45"/>
        <v>118</v>
      </c>
      <c r="I513" s="3" t="s">
        <v>3714</v>
      </c>
      <c r="J513" s="17">
        <f t="shared" si="46"/>
        <v>419</v>
      </c>
      <c r="K513" s="2">
        <f t="shared" si="47"/>
        <v>-93</v>
      </c>
      <c r="L513" s="12" t="s">
        <v>3714</v>
      </c>
    </row>
    <row r="514" spans="1:12" x14ac:dyDescent="0.25">
      <c r="A514" s="11" t="s">
        <v>1913</v>
      </c>
      <c r="B514" s="2" t="str">
        <f t="shared" ref="B514:B577" si="48">_xlfn.TEXTAFTER(A514," ",1)</f>
        <v>JD Pole Lp</v>
      </c>
      <c r="C514" s="3">
        <v>513</v>
      </c>
      <c r="D514" s="17" t="s">
        <v>512</v>
      </c>
      <c r="E514" s="2" t="str">
        <f t="shared" ref="E514:E577" si="49">_xlfn.TEXTAFTER(D514," ",1)</f>
        <v>Vl Sect. A R</v>
      </c>
      <c r="F514" s="12">
        <v>513</v>
      </c>
      <c r="G514" s="17">
        <f t="shared" si="44"/>
        <v>0</v>
      </c>
      <c r="H514" s="2">
        <f t="shared" si="45"/>
        <v>0</v>
      </c>
      <c r="I514" s="3" t="s">
        <v>3714</v>
      </c>
      <c r="J514" s="17">
        <f t="shared" si="46"/>
        <v>420</v>
      </c>
      <c r="K514" s="2">
        <f t="shared" si="47"/>
        <v>-93</v>
      </c>
      <c r="L514" s="12" t="s">
        <v>3714</v>
      </c>
    </row>
    <row r="515" spans="1:12" x14ac:dyDescent="0.25">
      <c r="A515" s="11" t="s">
        <v>1914</v>
      </c>
      <c r="B515" s="2" t="str">
        <f t="shared" si="48"/>
        <v>JD BottleHit</v>
      </c>
      <c r="C515" s="3">
        <v>514</v>
      </c>
      <c r="D515" s="17" t="s">
        <v>513</v>
      </c>
      <c r="E515" s="2" t="str">
        <f t="shared" si="49"/>
        <v>Vl Sect. B L</v>
      </c>
      <c r="F515" s="12">
        <v>514</v>
      </c>
      <c r="G515" s="17">
        <f t="shared" ref="G515:G578" si="50">_xlfn.IFNA(_xlfn.XMATCH(B515,E$2:E$1402,0,1),0)</f>
        <v>0</v>
      </c>
      <c r="H515" s="2">
        <f t="shared" ref="H515:H578" si="51">IF(G515=0,0,G515-C515)</f>
        <v>0</v>
      </c>
      <c r="I515" s="3" t="s">
        <v>3714</v>
      </c>
      <c r="J515" s="17">
        <f t="shared" ref="J515:J578" si="52">_xlfn.IFNA(_xlfn.XMATCH(E515,B$2:B$1229,0,1),0)</f>
        <v>421</v>
      </c>
      <c r="K515" s="2">
        <f t="shared" ref="K515:K578" si="53">IF(J515=0,0,J515-F515)</f>
        <v>-93</v>
      </c>
      <c r="L515" s="12" t="s">
        <v>3714</v>
      </c>
    </row>
    <row r="516" spans="1:12" x14ac:dyDescent="0.25">
      <c r="A516" s="11" t="s">
        <v>1915</v>
      </c>
      <c r="B516" s="2" t="str">
        <f t="shared" si="48"/>
        <v>D-50 Bell A</v>
      </c>
      <c r="C516" s="3">
        <v>515</v>
      </c>
      <c r="D516" s="17" t="s">
        <v>514</v>
      </c>
      <c r="E516" s="2" t="str">
        <f t="shared" si="49"/>
        <v>Vl Sect. B R</v>
      </c>
      <c r="F516" s="12">
        <v>515</v>
      </c>
      <c r="G516" s="17">
        <f t="shared" si="50"/>
        <v>631</v>
      </c>
      <c r="H516" s="2">
        <f t="shared" si="51"/>
        <v>116</v>
      </c>
      <c r="I516" s="3" t="s">
        <v>3714</v>
      </c>
      <c r="J516" s="17">
        <f t="shared" si="52"/>
        <v>422</v>
      </c>
      <c r="K516" s="2">
        <f t="shared" si="53"/>
        <v>-93</v>
      </c>
      <c r="L516" s="12" t="s">
        <v>3714</v>
      </c>
    </row>
    <row r="517" spans="1:12" x14ac:dyDescent="0.25">
      <c r="A517" s="11" t="s">
        <v>1916</v>
      </c>
      <c r="B517" s="2" t="str">
        <f t="shared" si="48"/>
        <v>D-50 Bell B</v>
      </c>
      <c r="C517" s="3">
        <v>516</v>
      </c>
      <c r="D517" s="17" t="s">
        <v>515</v>
      </c>
      <c r="E517" s="2" t="str">
        <f t="shared" si="49"/>
        <v>Vl Sect. C L</v>
      </c>
      <c r="F517" s="12">
        <v>516</v>
      </c>
      <c r="G517" s="17">
        <f t="shared" si="50"/>
        <v>632</v>
      </c>
      <c r="H517" s="2">
        <f t="shared" si="51"/>
        <v>116</v>
      </c>
      <c r="I517" s="3" t="s">
        <v>3714</v>
      </c>
      <c r="J517" s="17">
        <f t="shared" si="52"/>
        <v>423</v>
      </c>
      <c r="K517" s="2">
        <f t="shared" si="53"/>
        <v>-93</v>
      </c>
      <c r="L517" s="12" t="s">
        <v>3714</v>
      </c>
    </row>
    <row r="518" spans="1:12" x14ac:dyDescent="0.25">
      <c r="A518" s="11" t="s">
        <v>1917</v>
      </c>
      <c r="B518" s="2" t="str">
        <f t="shared" si="48"/>
        <v>D-50 Bell C</v>
      </c>
      <c r="C518" s="3">
        <v>517</v>
      </c>
      <c r="D518" s="17" t="s">
        <v>516</v>
      </c>
      <c r="E518" s="2" t="str">
        <f t="shared" si="49"/>
        <v>Vl Sect. C R</v>
      </c>
      <c r="F518" s="12">
        <v>517</v>
      </c>
      <c r="G518" s="17">
        <f t="shared" si="50"/>
        <v>633</v>
      </c>
      <c r="H518" s="2">
        <f t="shared" si="51"/>
        <v>116</v>
      </c>
      <c r="I518" s="3" t="s">
        <v>3714</v>
      </c>
      <c r="J518" s="17">
        <f t="shared" si="52"/>
        <v>424</v>
      </c>
      <c r="K518" s="2">
        <f t="shared" si="53"/>
        <v>-93</v>
      </c>
      <c r="L518" s="12" t="s">
        <v>3714</v>
      </c>
    </row>
    <row r="519" spans="1:12" x14ac:dyDescent="0.25">
      <c r="A519" s="11" t="s">
        <v>1918</v>
      </c>
      <c r="B519" s="2" t="str">
        <f t="shared" si="48"/>
        <v>D-50 Bell Lp</v>
      </c>
      <c r="C519" s="3">
        <v>518</v>
      </c>
      <c r="D519" s="17" t="s">
        <v>517</v>
      </c>
      <c r="E519" s="2" t="str">
        <f t="shared" si="49"/>
        <v>Vc Sect. A L</v>
      </c>
      <c r="F519" s="12">
        <v>518</v>
      </c>
      <c r="G519" s="17">
        <f t="shared" si="50"/>
        <v>634</v>
      </c>
      <c r="H519" s="2">
        <f t="shared" si="51"/>
        <v>116</v>
      </c>
      <c r="I519" s="3" t="s">
        <v>3714</v>
      </c>
      <c r="J519" s="17">
        <f t="shared" si="52"/>
        <v>425</v>
      </c>
      <c r="K519" s="2">
        <f t="shared" si="53"/>
        <v>-93</v>
      </c>
      <c r="L519" s="12" t="s">
        <v>3714</v>
      </c>
    </row>
    <row r="520" spans="1:12" x14ac:dyDescent="0.25">
      <c r="A520" s="11" t="s">
        <v>1919</v>
      </c>
      <c r="B520" s="2" t="str">
        <f t="shared" si="48"/>
        <v>Agogo Bell</v>
      </c>
      <c r="C520" s="3">
        <v>519</v>
      </c>
      <c r="D520" s="17" t="s">
        <v>518</v>
      </c>
      <c r="E520" s="2" t="str">
        <f t="shared" si="49"/>
        <v>Vc Sect. A R</v>
      </c>
      <c r="F520" s="12">
        <v>519</v>
      </c>
      <c r="G520" s="17">
        <f t="shared" si="50"/>
        <v>635</v>
      </c>
      <c r="H520" s="2">
        <f t="shared" si="51"/>
        <v>116</v>
      </c>
      <c r="I520" s="3" t="s">
        <v>3714</v>
      </c>
      <c r="J520" s="17">
        <f t="shared" si="52"/>
        <v>426</v>
      </c>
      <c r="K520" s="2">
        <f t="shared" si="53"/>
        <v>-93</v>
      </c>
      <c r="L520" s="12" t="s">
        <v>3714</v>
      </c>
    </row>
    <row r="521" spans="1:12" x14ac:dyDescent="0.25">
      <c r="A521" s="11" t="s">
        <v>1920</v>
      </c>
      <c r="B521" s="2" t="str">
        <f t="shared" si="48"/>
        <v>Finger Bell</v>
      </c>
      <c r="C521" s="3">
        <v>520</v>
      </c>
      <c r="D521" s="17" t="s">
        <v>519</v>
      </c>
      <c r="E521" s="2" t="str">
        <f t="shared" si="49"/>
        <v>Vc Sect. B L</v>
      </c>
      <c r="F521" s="12">
        <v>520</v>
      </c>
      <c r="G521" s="17">
        <f t="shared" si="50"/>
        <v>638</v>
      </c>
      <c r="H521" s="2">
        <f t="shared" si="51"/>
        <v>118</v>
      </c>
      <c r="I521" s="3" t="s">
        <v>3714</v>
      </c>
      <c r="J521" s="17">
        <f t="shared" si="52"/>
        <v>427</v>
      </c>
      <c r="K521" s="2">
        <f t="shared" si="53"/>
        <v>-93</v>
      </c>
      <c r="L521" s="12" t="s">
        <v>3714</v>
      </c>
    </row>
    <row r="522" spans="1:12" x14ac:dyDescent="0.25">
      <c r="A522" s="11" t="s">
        <v>1921</v>
      </c>
      <c r="B522" s="2" t="str">
        <f t="shared" si="48"/>
        <v>JD Cowbell</v>
      </c>
      <c r="C522" s="3">
        <v>521</v>
      </c>
      <c r="D522" s="17" t="s">
        <v>520</v>
      </c>
      <c r="E522" s="2" t="str">
        <f t="shared" si="49"/>
        <v>Vc Sect. B R</v>
      </c>
      <c r="F522" s="12">
        <v>521</v>
      </c>
      <c r="G522" s="17">
        <f t="shared" si="50"/>
        <v>639</v>
      </c>
      <c r="H522" s="2">
        <f t="shared" si="51"/>
        <v>118</v>
      </c>
      <c r="I522" s="3" t="s">
        <v>3714</v>
      </c>
      <c r="J522" s="17">
        <f t="shared" si="52"/>
        <v>428</v>
      </c>
      <c r="K522" s="2">
        <f t="shared" si="53"/>
        <v>-93</v>
      </c>
      <c r="L522" s="12" t="s">
        <v>3714</v>
      </c>
    </row>
    <row r="523" spans="1:12" x14ac:dyDescent="0.25">
      <c r="A523" s="11" t="s">
        <v>1922</v>
      </c>
      <c r="B523" s="2" t="str">
        <f t="shared" si="48"/>
        <v>Tubular Bell</v>
      </c>
      <c r="C523" s="3">
        <v>522</v>
      </c>
      <c r="D523" s="17" t="s">
        <v>521</v>
      </c>
      <c r="E523" s="2" t="str">
        <f t="shared" si="49"/>
        <v>Vc Sect. C L</v>
      </c>
      <c r="F523" s="12">
        <v>522</v>
      </c>
      <c r="G523" s="17">
        <f t="shared" si="50"/>
        <v>640</v>
      </c>
      <c r="H523" s="2">
        <f t="shared" si="51"/>
        <v>118</v>
      </c>
      <c r="I523" s="3" t="s">
        <v>3714</v>
      </c>
      <c r="J523" s="17">
        <f t="shared" si="52"/>
        <v>429</v>
      </c>
      <c r="K523" s="2">
        <f t="shared" si="53"/>
        <v>-93</v>
      </c>
      <c r="L523" s="12" t="s">
        <v>3714</v>
      </c>
    </row>
    <row r="524" spans="1:12" x14ac:dyDescent="0.25">
      <c r="A524" s="11" t="s">
        <v>1923</v>
      </c>
      <c r="B524" s="2" t="str">
        <f t="shared" si="48"/>
        <v>Church Bell</v>
      </c>
      <c r="C524" s="3">
        <v>523</v>
      </c>
      <c r="D524" s="17" t="s">
        <v>522</v>
      </c>
      <c r="E524" s="2" t="str">
        <f t="shared" si="49"/>
        <v>Vc Sect. C R</v>
      </c>
      <c r="F524" s="12">
        <v>523</v>
      </c>
      <c r="G524" s="17">
        <f t="shared" si="50"/>
        <v>641</v>
      </c>
      <c r="H524" s="2">
        <f t="shared" si="51"/>
        <v>118</v>
      </c>
      <c r="I524" s="3" t="s">
        <v>3714</v>
      </c>
      <c r="J524" s="17">
        <f t="shared" si="52"/>
        <v>430</v>
      </c>
      <c r="K524" s="2">
        <f t="shared" si="53"/>
        <v>-93</v>
      </c>
      <c r="L524" s="12" t="s">
        <v>3714</v>
      </c>
    </row>
    <row r="525" spans="1:12" x14ac:dyDescent="0.25">
      <c r="A525" s="11" t="s">
        <v>1924</v>
      </c>
      <c r="B525" s="2" t="str">
        <f t="shared" si="48"/>
        <v>Mild CanWave</v>
      </c>
      <c r="C525" s="3">
        <v>524</v>
      </c>
      <c r="D525" s="17" t="s">
        <v>523</v>
      </c>
      <c r="E525" s="2" t="str">
        <f t="shared" si="49"/>
        <v>Full Str A L</v>
      </c>
      <c r="F525" s="12">
        <v>524</v>
      </c>
      <c r="G525" s="17">
        <f t="shared" si="50"/>
        <v>642</v>
      </c>
      <c r="H525" s="2">
        <f t="shared" si="51"/>
        <v>118</v>
      </c>
      <c r="I525" s="3" t="s">
        <v>3714</v>
      </c>
      <c r="J525" s="17">
        <f t="shared" si="52"/>
        <v>431</v>
      </c>
      <c r="K525" s="2">
        <f t="shared" si="53"/>
        <v>-93</v>
      </c>
      <c r="L525" s="12" t="s">
        <v>3714</v>
      </c>
    </row>
    <row r="526" spans="1:12" x14ac:dyDescent="0.25">
      <c r="A526" s="11" t="s">
        <v>1925</v>
      </c>
      <c r="B526" s="2" t="str">
        <f t="shared" si="48"/>
        <v>JD Crystal</v>
      </c>
      <c r="C526" s="3">
        <v>525</v>
      </c>
      <c r="D526" s="17" t="s">
        <v>524</v>
      </c>
      <c r="E526" s="2" t="str">
        <f t="shared" si="49"/>
        <v>Full Str A R</v>
      </c>
      <c r="F526" s="12">
        <v>525</v>
      </c>
      <c r="G526" s="17">
        <f t="shared" si="50"/>
        <v>643</v>
      </c>
      <c r="H526" s="2">
        <f t="shared" si="51"/>
        <v>118</v>
      </c>
      <c r="I526" s="3" t="s">
        <v>3714</v>
      </c>
      <c r="J526" s="17">
        <f t="shared" si="52"/>
        <v>432</v>
      </c>
      <c r="K526" s="2">
        <f t="shared" si="53"/>
        <v>-93</v>
      </c>
      <c r="L526" s="12" t="s">
        <v>3714</v>
      </c>
    </row>
    <row r="527" spans="1:12" x14ac:dyDescent="0.25">
      <c r="A527" s="11" t="s">
        <v>1926</v>
      </c>
      <c r="B527" s="2" t="str">
        <f t="shared" si="48"/>
        <v>Bell Organ</v>
      </c>
      <c r="C527" s="3">
        <v>526</v>
      </c>
      <c r="D527" s="17" t="s">
        <v>525</v>
      </c>
      <c r="E527" s="2" t="str">
        <f t="shared" si="49"/>
        <v>Full Str B L</v>
      </c>
      <c r="F527" s="12">
        <v>526</v>
      </c>
      <c r="G527" s="17">
        <f t="shared" si="50"/>
        <v>644</v>
      </c>
      <c r="H527" s="2">
        <f t="shared" si="51"/>
        <v>118</v>
      </c>
      <c r="I527" s="3" t="s">
        <v>3714</v>
      </c>
      <c r="J527" s="17">
        <f t="shared" si="52"/>
        <v>433</v>
      </c>
      <c r="K527" s="2">
        <f t="shared" si="53"/>
        <v>-93</v>
      </c>
      <c r="L527" s="12" t="s">
        <v>3714</v>
      </c>
    </row>
    <row r="528" spans="1:12" x14ac:dyDescent="0.25">
      <c r="A528" s="11" t="s">
        <v>1927</v>
      </c>
      <c r="B528" s="2" t="str">
        <f t="shared" si="48"/>
        <v>Old DigiBell</v>
      </c>
      <c r="C528" s="3">
        <v>527</v>
      </c>
      <c r="D528" s="17" t="s">
        <v>526</v>
      </c>
      <c r="E528" s="2" t="str">
        <f t="shared" si="49"/>
        <v>Full Str B R</v>
      </c>
      <c r="F528" s="12">
        <v>527</v>
      </c>
      <c r="G528" s="17">
        <f t="shared" si="50"/>
        <v>645</v>
      </c>
      <c r="H528" s="2">
        <f t="shared" si="51"/>
        <v>118</v>
      </c>
      <c r="I528" s="3" t="s">
        <v>3714</v>
      </c>
      <c r="J528" s="17">
        <f t="shared" si="52"/>
        <v>434</v>
      </c>
      <c r="K528" s="2">
        <f t="shared" si="53"/>
        <v>-93</v>
      </c>
      <c r="L528" s="12" t="s">
        <v>3714</v>
      </c>
    </row>
    <row r="529" spans="1:12" x14ac:dyDescent="0.25">
      <c r="A529" s="11" t="s">
        <v>1928</v>
      </c>
      <c r="B529" s="2" t="str">
        <f t="shared" si="48"/>
        <v>JD Bell Wave</v>
      </c>
      <c r="C529" s="3">
        <v>528</v>
      </c>
      <c r="D529" s="17" t="s">
        <v>527</v>
      </c>
      <c r="E529" s="2" t="str">
        <f t="shared" si="49"/>
        <v>Full Str C L</v>
      </c>
      <c r="F529" s="12">
        <v>528</v>
      </c>
      <c r="G529" s="17">
        <f t="shared" si="50"/>
        <v>646</v>
      </c>
      <c r="H529" s="2">
        <f t="shared" si="51"/>
        <v>118</v>
      </c>
      <c r="I529" s="3" t="s">
        <v>3714</v>
      </c>
      <c r="J529" s="17">
        <f t="shared" si="52"/>
        <v>435</v>
      </c>
      <c r="K529" s="2">
        <f t="shared" si="53"/>
        <v>-93</v>
      </c>
      <c r="L529" s="12" t="s">
        <v>3714</v>
      </c>
    </row>
    <row r="530" spans="1:12" x14ac:dyDescent="0.25">
      <c r="A530" s="11" t="s">
        <v>1929</v>
      </c>
      <c r="B530" s="2" t="str">
        <f t="shared" si="48"/>
        <v>TinyBellWave</v>
      </c>
      <c r="C530" s="3">
        <v>529</v>
      </c>
      <c r="D530" s="17" t="s">
        <v>528</v>
      </c>
      <c r="E530" s="2" t="str">
        <f t="shared" si="49"/>
        <v>Full Str C R</v>
      </c>
      <c r="F530" s="12">
        <v>529</v>
      </c>
      <c r="G530" s="17">
        <f t="shared" si="50"/>
        <v>647</v>
      </c>
      <c r="H530" s="2">
        <f t="shared" si="51"/>
        <v>118</v>
      </c>
      <c r="I530" s="3" t="s">
        <v>3714</v>
      </c>
      <c r="J530" s="17">
        <f t="shared" si="52"/>
        <v>436</v>
      </c>
      <c r="K530" s="2">
        <f t="shared" si="53"/>
        <v>-93</v>
      </c>
      <c r="L530" s="12" t="s">
        <v>3714</v>
      </c>
    </row>
    <row r="531" spans="1:12" x14ac:dyDescent="0.25">
      <c r="A531" s="11" t="s">
        <v>1930</v>
      </c>
      <c r="B531" s="2" t="str">
        <f t="shared" si="48"/>
        <v>Vib Wave</v>
      </c>
      <c r="C531" s="3">
        <v>530</v>
      </c>
      <c r="D531" s="17" t="s">
        <v>529</v>
      </c>
      <c r="E531" s="2" t="str">
        <f t="shared" si="49"/>
        <v>JV Strings L</v>
      </c>
      <c r="F531" s="12">
        <v>530</v>
      </c>
      <c r="G531" s="17">
        <f t="shared" si="50"/>
        <v>648</v>
      </c>
      <c r="H531" s="2">
        <f t="shared" si="51"/>
        <v>118</v>
      </c>
      <c r="I531" s="3" t="s">
        <v>3714</v>
      </c>
      <c r="J531" s="17">
        <f t="shared" si="52"/>
        <v>0</v>
      </c>
      <c r="K531" s="2">
        <f t="shared" si="53"/>
        <v>0</v>
      </c>
      <c r="L531" s="12" t="s">
        <v>3714</v>
      </c>
    </row>
    <row r="532" spans="1:12" x14ac:dyDescent="0.25">
      <c r="A532" s="11" t="s">
        <v>1931</v>
      </c>
      <c r="B532" s="2" t="str">
        <f t="shared" si="48"/>
        <v>JD Brt Digi</v>
      </c>
      <c r="C532" s="3">
        <v>531</v>
      </c>
      <c r="D532" s="17" t="s">
        <v>530</v>
      </c>
      <c r="E532" s="2" t="str">
        <f t="shared" si="49"/>
        <v>JV Strings R</v>
      </c>
      <c r="F532" s="12">
        <v>531</v>
      </c>
      <c r="G532" s="17">
        <f t="shared" si="50"/>
        <v>649</v>
      </c>
      <c r="H532" s="2">
        <f t="shared" si="51"/>
        <v>118</v>
      </c>
      <c r="I532" s="3" t="s">
        <v>3714</v>
      </c>
      <c r="J532" s="17">
        <f t="shared" si="52"/>
        <v>0</v>
      </c>
      <c r="K532" s="2">
        <f t="shared" si="53"/>
        <v>0</v>
      </c>
      <c r="L532" s="12" t="s">
        <v>3714</v>
      </c>
    </row>
    <row r="533" spans="1:12" x14ac:dyDescent="0.25">
      <c r="A533" s="11" t="s">
        <v>1932</v>
      </c>
      <c r="B533" s="2" t="str">
        <f t="shared" si="48"/>
        <v>Med Digi</v>
      </c>
      <c r="C533" s="3">
        <v>532</v>
      </c>
      <c r="D533" s="17" t="s">
        <v>531</v>
      </c>
      <c r="E533" s="2" t="str">
        <f t="shared" si="49"/>
        <v>JV Strings A</v>
      </c>
      <c r="F533" s="12">
        <v>532</v>
      </c>
      <c r="G533" s="17">
        <f t="shared" si="50"/>
        <v>0</v>
      </c>
      <c r="H533" s="2">
        <f t="shared" si="51"/>
        <v>0</v>
      </c>
      <c r="I533" s="3" t="s">
        <v>3714</v>
      </c>
      <c r="J533" s="17">
        <f t="shared" si="52"/>
        <v>0</v>
      </c>
      <c r="K533" s="2">
        <f t="shared" si="53"/>
        <v>0</v>
      </c>
      <c r="L533" s="12" t="s">
        <v>3714</v>
      </c>
    </row>
    <row r="534" spans="1:12" x14ac:dyDescent="0.25">
      <c r="A534" s="11" t="s">
        <v>1933</v>
      </c>
      <c r="B534" s="2" t="str">
        <f t="shared" si="48"/>
        <v>Bagpipe</v>
      </c>
      <c r="C534" s="3">
        <v>533</v>
      </c>
      <c r="D534" s="17" t="s">
        <v>532</v>
      </c>
      <c r="E534" s="2" t="str">
        <f t="shared" si="49"/>
        <v>JV Strings C</v>
      </c>
      <c r="F534" s="12">
        <v>533</v>
      </c>
      <c r="G534" s="17">
        <f t="shared" si="50"/>
        <v>650</v>
      </c>
      <c r="H534" s="2">
        <f t="shared" si="51"/>
        <v>117</v>
      </c>
      <c r="I534" s="3" t="s">
        <v>3714</v>
      </c>
      <c r="J534" s="17">
        <f t="shared" si="52"/>
        <v>0</v>
      </c>
      <c r="K534" s="2">
        <f t="shared" si="53"/>
        <v>0</v>
      </c>
      <c r="L534" s="12" t="s">
        <v>3714</v>
      </c>
    </row>
    <row r="535" spans="1:12" x14ac:dyDescent="0.25">
      <c r="A535" s="11" t="s">
        <v>1934</v>
      </c>
      <c r="B535" s="2" t="str">
        <f t="shared" si="48"/>
        <v>Digital Vox</v>
      </c>
      <c r="C535" s="3">
        <v>534</v>
      </c>
      <c r="D535" s="17" t="s">
        <v>533</v>
      </c>
      <c r="E535" s="2" t="str">
        <f t="shared" si="49"/>
        <v>F.Str mf A L</v>
      </c>
      <c r="F535" s="12">
        <v>534</v>
      </c>
      <c r="G535" s="17">
        <f t="shared" si="50"/>
        <v>651</v>
      </c>
      <c r="H535" s="2">
        <f t="shared" si="51"/>
        <v>117</v>
      </c>
      <c r="I535" s="3" t="s">
        <v>3714</v>
      </c>
      <c r="J535" s="17">
        <f t="shared" si="52"/>
        <v>0</v>
      </c>
      <c r="K535" s="2">
        <f t="shared" si="53"/>
        <v>0</v>
      </c>
      <c r="L535" s="12" t="s">
        <v>3714</v>
      </c>
    </row>
    <row r="536" spans="1:12" x14ac:dyDescent="0.25">
      <c r="A536" s="11" t="s">
        <v>1935</v>
      </c>
      <c r="B536" s="2" t="str">
        <f t="shared" si="48"/>
        <v>JD WallyWave</v>
      </c>
      <c r="C536" s="3">
        <v>535</v>
      </c>
      <c r="D536" s="17" t="s">
        <v>534</v>
      </c>
      <c r="E536" s="2" t="str">
        <f t="shared" si="49"/>
        <v>F.Str mf A R</v>
      </c>
      <c r="F536" s="12">
        <v>535</v>
      </c>
      <c r="G536" s="17">
        <f t="shared" si="50"/>
        <v>652</v>
      </c>
      <c r="H536" s="2">
        <f t="shared" si="51"/>
        <v>117</v>
      </c>
      <c r="I536" s="3" t="s">
        <v>3714</v>
      </c>
      <c r="J536" s="17">
        <f t="shared" si="52"/>
        <v>0</v>
      </c>
      <c r="K536" s="2">
        <f t="shared" si="53"/>
        <v>0</v>
      </c>
      <c r="L536" s="12" t="s">
        <v>3714</v>
      </c>
    </row>
    <row r="537" spans="1:12" x14ac:dyDescent="0.25">
      <c r="A537" s="11" t="s">
        <v>1936</v>
      </c>
      <c r="B537" s="2" t="str">
        <f t="shared" si="48"/>
        <v>JD Brusky Lp</v>
      </c>
      <c r="C537" s="3">
        <v>536</v>
      </c>
      <c r="D537" s="17" t="s">
        <v>535</v>
      </c>
      <c r="E537" s="2" t="str">
        <f t="shared" si="49"/>
        <v>F.Str mf B L</v>
      </c>
      <c r="F537" s="12">
        <v>536</v>
      </c>
      <c r="G537" s="17">
        <f t="shared" si="50"/>
        <v>653</v>
      </c>
      <c r="H537" s="2">
        <f t="shared" si="51"/>
        <v>117</v>
      </c>
      <c r="I537" s="3" t="s">
        <v>3714</v>
      </c>
      <c r="J537" s="17">
        <f t="shared" si="52"/>
        <v>0</v>
      </c>
      <c r="K537" s="2">
        <f t="shared" si="53"/>
        <v>0</v>
      </c>
      <c r="L537" s="12" t="s">
        <v>3714</v>
      </c>
    </row>
    <row r="538" spans="1:12" x14ac:dyDescent="0.25">
      <c r="A538" s="11" t="s">
        <v>1937</v>
      </c>
      <c r="B538" s="2" t="str">
        <f t="shared" si="48"/>
        <v>Bright Form</v>
      </c>
      <c r="C538" s="3">
        <v>537</v>
      </c>
      <c r="D538" s="17" t="s">
        <v>536</v>
      </c>
      <c r="E538" s="2" t="str">
        <f t="shared" si="49"/>
        <v>F.Str mf B R</v>
      </c>
      <c r="F538" s="12">
        <v>537</v>
      </c>
      <c r="G538" s="17">
        <f t="shared" si="50"/>
        <v>654</v>
      </c>
      <c r="H538" s="2">
        <f t="shared" si="51"/>
        <v>117</v>
      </c>
      <c r="I538" s="3" t="s">
        <v>3714</v>
      </c>
      <c r="J538" s="17">
        <f t="shared" si="52"/>
        <v>0</v>
      </c>
      <c r="K538" s="2">
        <f t="shared" si="53"/>
        <v>0</v>
      </c>
      <c r="L538" s="12" t="s">
        <v>3714</v>
      </c>
    </row>
    <row r="539" spans="1:12" x14ac:dyDescent="0.25">
      <c r="A539" s="11" t="s">
        <v>1938</v>
      </c>
      <c r="B539" s="2" t="str">
        <f t="shared" si="48"/>
        <v>Mild Form</v>
      </c>
      <c r="C539" s="3">
        <v>538</v>
      </c>
      <c r="D539" s="17" t="s">
        <v>537</v>
      </c>
      <c r="E539" s="2" t="str">
        <f t="shared" si="49"/>
        <v>F.Str mf C L</v>
      </c>
      <c r="F539" s="12">
        <v>538</v>
      </c>
      <c r="G539" s="17">
        <f t="shared" si="50"/>
        <v>709</v>
      </c>
      <c r="H539" s="2">
        <f t="shared" si="51"/>
        <v>171</v>
      </c>
      <c r="I539" s="3" t="s">
        <v>3714</v>
      </c>
      <c r="J539" s="17">
        <f t="shared" si="52"/>
        <v>0</v>
      </c>
      <c r="K539" s="2">
        <f t="shared" si="53"/>
        <v>0</v>
      </c>
      <c r="L539" s="12" t="s">
        <v>3714</v>
      </c>
    </row>
    <row r="540" spans="1:12" x14ac:dyDescent="0.25">
      <c r="A540" s="11" t="s">
        <v>1939</v>
      </c>
      <c r="B540" s="2" t="str">
        <f t="shared" si="48"/>
        <v>JD Nasty</v>
      </c>
      <c r="C540" s="3">
        <v>539</v>
      </c>
      <c r="D540" s="17" t="s">
        <v>538</v>
      </c>
      <c r="E540" s="2" t="str">
        <f t="shared" si="49"/>
        <v>F.Str mf C R</v>
      </c>
      <c r="F540" s="12">
        <v>539</v>
      </c>
      <c r="G540" s="17">
        <f t="shared" si="50"/>
        <v>655</v>
      </c>
      <c r="H540" s="2">
        <f t="shared" si="51"/>
        <v>116</v>
      </c>
      <c r="I540" s="3" t="s">
        <v>3714</v>
      </c>
      <c r="J540" s="17">
        <f t="shared" si="52"/>
        <v>0</v>
      </c>
      <c r="K540" s="2">
        <f t="shared" si="53"/>
        <v>0</v>
      </c>
      <c r="L540" s="12" t="s">
        <v>3714</v>
      </c>
    </row>
    <row r="541" spans="1:12" x14ac:dyDescent="0.25">
      <c r="A541" s="11" t="s">
        <v>1940</v>
      </c>
      <c r="B541" s="2" t="str">
        <f t="shared" si="48"/>
        <v>Fat SparkVox</v>
      </c>
      <c r="C541" s="3">
        <v>540</v>
      </c>
      <c r="D541" s="17" t="s">
        <v>539</v>
      </c>
      <c r="E541" s="2" t="str">
        <f t="shared" si="49"/>
        <v>F.Str mf lpL</v>
      </c>
      <c r="F541" s="12">
        <v>540</v>
      </c>
      <c r="G541" s="17">
        <f t="shared" si="50"/>
        <v>0</v>
      </c>
      <c r="H541" s="2">
        <f t="shared" si="51"/>
        <v>0</v>
      </c>
      <c r="I541" s="3" t="s">
        <v>3714</v>
      </c>
      <c r="J541" s="17">
        <f t="shared" si="52"/>
        <v>0</v>
      </c>
      <c r="K541" s="2">
        <f t="shared" si="53"/>
        <v>0</v>
      </c>
      <c r="L541" s="12" t="s">
        <v>3714</v>
      </c>
    </row>
    <row r="542" spans="1:12" x14ac:dyDescent="0.25">
      <c r="A542" s="11" t="s">
        <v>1941</v>
      </c>
      <c r="B542" s="2" t="str">
        <f t="shared" si="48"/>
        <v>JD Spark Vox</v>
      </c>
      <c r="C542" s="3">
        <v>541</v>
      </c>
      <c r="D542" s="17" t="s">
        <v>540</v>
      </c>
      <c r="E542" s="2" t="str">
        <f t="shared" si="49"/>
        <v>F.Str mf lpR</v>
      </c>
      <c r="F542" s="12">
        <v>541</v>
      </c>
      <c r="G542" s="17">
        <f t="shared" si="50"/>
        <v>656</v>
      </c>
      <c r="H542" s="2">
        <f t="shared" si="51"/>
        <v>115</v>
      </c>
      <c r="I542" s="3" t="s">
        <v>3714</v>
      </c>
      <c r="J542" s="17">
        <f t="shared" si="52"/>
        <v>0</v>
      </c>
      <c r="K542" s="2">
        <f t="shared" si="53"/>
        <v>0</v>
      </c>
      <c r="L542" s="12" t="s">
        <v>3714</v>
      </c>
    </row>
    <row r="543" spans="1:12" x14ac:dyDescent="0.25">
      <c r="A543" s="11" t="s">
        <v>1942</v>
      </c>
      <c r="B543" s="2" t="str">
        <f t="shared" si="48"/>
        <v>JD Cutters</v>
      </c>
      <c r="C543" s="3">
        <v>542</v>
      </c>
      <c r="D543" s="17" t="s">
        <v>541</v>
      </c>
      <c r="E543" s="2" t="str">
        <f t="shared" si="49"/>
        <v>F.Str ff A L</v>
      </c>
      <c r="F543" s="12">
        <v>542</v>
      </c>
      <c r="G543" s="17">
        <f t="shared" si="50"/>
        <v>657</v>
      </c>
      <c r="H543" s="2">
        <f t="shared" si="51"/>
        <v>115</v>
      </c>
      <c r="I543" s="3" t="s">
        <v>3714</v>
      </c>
      <c r="J543" s="17">
        <f t="shared" si="52"/>
        <v>0</v>
      </c>
      <c r="K543" s="2">
        <f t="shared" si="53"/>
        <v>0</v>
      </c>
      <c r="L543" s="12" t="s">
        <v>3714</v>
      </c>
    </row>
    <row r="544" spans="1:12" x14ac:dyDescent="0.25">
      <c r="A544" s="11" t="s">
        <v>1943</v>
      </c>
      <c r="B544" s="2" t="str">
        <f t="shared" si="48"/>
        <v>SBF Hrd Ld 1</v>
      </c>
      <c r="C544" s="3">
        <v>543</v>
      </c>
      <c r="D544" s="17" t="s">
        <v>542</v>
      </c>
      <c r="E544" s="2" t="str">
        <f t="shared" si="49"/>
        <v>F.Str ff A R</v>
      </c>
      <c r="F544" s="12">
        <v>543</v>
      </c>
      <c r="G544" s="17">
        <f t="shared" si="50"/>
        <v>0</v>
      </c>
      <c r="H544" s="2">
        <f t="shared" si="51"/>
        <v>0</v>
      </c>
      <c r="I544" s="3" t="s">
        <v>3714</v>
      </c>
      <c r="J544" s="17">
        <f t="shared" si="52"/>
        <v>0</v>
      </c>
      <c r="K544" s="2">
        <f t="shared" si="53"/>
        <v>0</v>
      </c>
      <c r="L544" s="12" t="s">
        <v>3714</v>
      </c>
    </row>
    <row r="545" spans="1:12" x14ac:dyDescent="0.25">
      <c r="A545" s="11" t="s">
        <v>1944</v>
      </c>
      <c r="B545" s="2" t="str">
        <f t="shared" si="48"/>
        <v>SBF Hrd Ld 2</v>
      </c>
      <c r="C545" s="3">
        <v>544</v>
      </c>
      <c r="D545" s="17" t="s">
        <v>543</v>
      </c>
      <c r="E545" s="2" t="str">
        <f t="shared" si="49"/>
        <v>F.Str ff B L</v>
      </c>
      <c r="F545" s="12">
        <v>544</v>
      </c>
      <c r="G545" s="17">
        <f t="shared" si="50"/>
        <v>0</v>
      </c>
      <c r="H545" s="2">
        <f t="shared" si="51"/>
        <v>0</v>
      </c>
      <c r="I545" s="3" t="s">
        <v>3714</v>
      </c>
      <c r="J545" s="17">
        <f t="shared" si="52"/>
        <v>0</v>
      </c>
      <c r="K545" s="2">
        <f t="shared" si="53"/>
        <v>0</v>
      </c>
      <c r="L545" s="12" t="s">
        <v>3714</v>
      </c>
    </row>
    <row r="546" spans="1:12" x14ac:dyDescent="0.25">
      <c r="A546" s="11" t="s">
        <v>1945</v>
      </c>
      <c r="B546" s="2" t="str">
        <f t="shared" si="48"/>
        <v>JD EML 5th</v>
      </c>
      <c r="C546" s="3">
        <v>545</v>
      </c>
      <c r="D546" s="17" t="s">
        <v>544</v>
      </c>
      <c r="E546" s="2" t="str">
        <f t="shared" si="49"/>
        <v>F.Str ff B R</v>
      </c>
      <c r="F546" s="12">
        <v>545</v>
      </c>
      <c r="G546" s="17">
        <f t="shared" si="50"/>
        <v>659</v>
      </c>
      <c r="H546" s="2">
        <f t="shared" si="51"/>
        <v>114</v>
      </c>
      <c r="I546" s="3" t="s">
        <v>3714</v>
      </c>
      <c r="J546" s="17">
        <f t="shared" si="52"/>
        <v>0</v>
      </c>
      <c r="K546" s="2">
        <f t="shared" si="53"/>
        <v>0</v>
      </c>
      <c r="L546" s="12" t="s">
        <v>3714</v>
      </c>
    </row>
    <row r="547" spans="1:12" x14ac:dyDescent="0.25">
      <c r="A547" s="11" t="s">
        <v>1946</v>
      </c>
      <c r="B547" s="2" t="str">
        <f t="shared" si="48"/>
        <v>TB303 Saw HD</v>
      </c>
      <c r="C547" s="3">
        <v>546</v>
      </c>
      <c r="D547" s="17" t="s">
        <v>545</v>
      </c>
      <c r="E547" s="2" t="str">
        <f t="shared" si="49"/>
        <v>F.Str ff C L</v>
      </c>
      <c r="F547" s="12">
        <v>546</v>
      </c>
      <c r="G547" s="17">
        <f t="shared" si="50"/>
        <v>661</v>
      </c>
      <c r="H547" s="2">
        <f t="shared" si="51"/>
        <v>115</v>
      </c>
      <c r="I547" s="3" t="s">
        <v>3714</v>
      </c>
      <c r="J547" s="17">
        <f t="shared" si="52"/>
        <v>0</v>
      </c>
      <c r="K547" s="2">
        <f t="shared" si="53"/>
        <v>0</v>
      </c>
      <c r="L547" s="12" t="s">
        <v>3714</v>
      </c>
    </row>
    <row r="548" spans="1:12" x14ac:dyDescent="0.25">
      <c r="A548" s="11" t="s">
        <v>1947</v>
      </c>
      <c r="B548" s="2" t="str">
        <f t="shared" si="48"/>
        <v>Custm Saw HD</v>
      </c>
      <c r="C548" s="3">
        <v>547</v>
      </c>
      <c r="D548" s="17" t="s">
        <v>546</v>
      </c>
      <c r="E548" s="2" t="str">
        <f t="shared" si="49"/>
        <v>F.Str ff C R</v>
      </c>
      <c r="F548" s="12">
        <v>547</v>
      </c>
      <c r="G548" s="17">
        <f t="shared" si="50"/>
        <v>662</v>
      </c>
      <c r="H548" s="2">
        <f t="shared" si="51"/>
        <v>115</v>
      </c>
      <c r="I548" s="3" t="s">
        <v>3714</v>
      </c>
      <c r="J548" s="17">
        <f t="shared" si="52"/>
        <v>0</v>
      </c>
      <c r="K548" s="2">
        <f t="shared" si="53"/>
        <v>0</v>
      </c>
      <c r="L548" s="12" t="s">
        <v>3714</v>
      </c>
    </row>
    <row r="549" spans="1:12" x14ac:dyDescent="0.25">
      <c r="A549" s="11" t="s">
        <v>1948</v>
      </c>
      <c r="B549" s="2" t="str">
        <f t="shared" si="48"/>
        <v>MG Saw HD</v>
      </c>
      <c r="C549" s="3">
        <v>548</v>
      </c>
      <c r="D549" s="17" t="s">
        <v>547</v>
      </c>
      <c r="E549" s="2" t="str">
        <f t="shared" si="49"/>
        <v>F.Str ff lpL</v>
      </c>
      <c r="F549" s="12">
        <v>548</v>
      </c>
      <c r="G549" s="17">
        <f t="shared" si="50"/>
        <v>663</v>
      </c>
      <c r="H549" s="2">
        <f t="shared" si="51"/>
        <v>115</v>
      </c>
      <c r="I549" s="3" t="s">
        <v>3714</v>
      </c>
      <c r="J549" s="17">
        <f t="shared" si="52"/>
        <v>0</v>
      </c>
      <c r="K549" s="2">
        <f t="shared" si="53"/>
        <v>0</v>
      </c>
      <c r="L549" s="12" t="s">
        <v>3714</v>
      </c>
    </row>
    <row r="550" spans="1:12" x14ac:dyDescent="0.25">
      <c r="A550" s="11" t="s">
        <v>1949</v>
      </c>
      <c r="B550" s="2" t="str">
        <f t="shared" si="48"/>
        <v>OB2 Saw HD</v>
      </c>
      <c r="C550" s="3">
        <v>549</v>
      </c>
      <c r="D550" s="17" t="s">
        <v>548</v>
      </c>
      <c r="E550" s="2" t="str">
        <f t="shared" si="49"/>
        <v>F.Str ff lpR</v>
      </c>
      <c r="F550" s="12">
        <v>549</v>
      </c>
      <c r="G550" s="17">
        <f t="shared" si="50"/>
        <v>0</v>
      </c>
      <c r="H550" s="2">
        <f t="shared" si="51"/>
        <v>0</v>
      </c>
      <c r="I550" s="3" t="s">
        <v>3714</v>
      </c>
      <c r="J550" s="17">
        <f t="shared" si="52"/>
        <v>0</v>
      </c>
      <c r="K550" s="2">
        <f t="shared" si="53"/>
        <v>0</v>
      </c>
      <c r="L550" s="12" t="s">
        <v>3714</v>
      </c>
    </row>
    <row r="551" spans="1:12" x14ac:dyDescent="0.25">
      <c r="A551" s="11" t="s">
        <v>1950</v>
      </c>
      <c r="B551" s="2" t="str">
        <f t="shared" si="48"/>
        <v>DigitalSawHD</v>
      </c>
      <c r="C551" s="3">
        <v>550</v>
      </c>
      <c r="D551" s="17" t="s">
        <v>549</v>
      </c>
      <c r="E551" s="2" t="str">
        <f t="shared" si="49"/>
        <v>F.StrStacA L</v>
      </c>
      <c r="F551" s="12">
        <v>550</v>
      </c>
      <c r="G551" s="17">
        <f t="shared" si="50"/>
        <v>664</v>
      </c>
      <c r="H551" s="2">
        <f t="shared" si="51"/>
        <v>114</v>
      </c>
      <c r="I551" s="3" t="s">
        <v>3714</v>
      </c>
      <c r="J551" s="17">
        <f t="shared" si="52"/>
        <v>0</v>
      </c>
      <c r="K551" s="2">
        <f t="shared" si="53"/>
        <v>0</v>
      </c>
      <c r="L551" s="12" t="s">
        <v>3714</v>
      </c>
    </row>
    <row r="552" spans="1:12" x14ac:dyDescent="0.25">
      <c r="A552" s="11" t="s">
        <v>1951</v>
      </c>
      <c r="B552" s="2" t="str">
        <f t="shared" si="48"/>
        <v>Calc.Saw</v>
      </c>
      <c r="C552" s="3">
        <v>551</v>
      </c>
      <c r="D552" s="17" t="s">
        <v>550</v>
      </c>
      <c r="E552" s="2" t="str">
        <f t="shared" si="49"/>
        <v>F.StrStacA R</v>
      </c>
      <c r="F552" s="12">
        <v>551</v>
      </c>
      <c r="G552" s="17">
        <f t="shared" si="50"/>
        <v>666</v>
      </c>
      <c r="H552" s="2">
        <f t="shared" si="51"/>
        <v>115</v>
      </c>
      <c r="I552" s="3" t="s">
        <v>3714</v>
      </c>
      <c r="J552" s="17">
        <f t="shared" si="52"/>
        <v>0</v>
      </c>
      <c r="K552" s="2">
        <f t="shared" si="53"/>
        <v>0</v>
      </c>
      <c r="L552" s="12" t="s">
        <v>3714</v>
      </c>
    </row>
    <row r="553" spans="1:12" x14ac:dyDescent="0.25">
      <c r="A553" s="11" t="s">
        <v>1952</v>
      </c>
      <c r="B553" s="2" t="str">
        <f t="shared" si="48"/>
        <v>Calc.Saw inv</v>
      </c>
      <c r="C553" s="3">
        <v>552</v>
      </c>
      <c r="D553" s="17" t="s">
        <v>551</v>
      </c>
      <c r="E553" s="2" t="str">
        <f t="shared" si="49"/>
        <v>F.StrStacB L</v>
      </c>
      <c r="F553" s="12">
        <v>552</v>
      </c>
      <c r="G553" s="17">
        <f t="shared" si="50"/>
        <v>667</v>
      </c>
      <c r="H553" s="2">
        <f t="shared" si="51"/>
        <v>115</v>
      </c>
      <c r="I553" s="3" t="s">
        <v>3714</v>
      </c>
      <c r="J553" s="17">
        <f t="shared" si="52"/>
        <v>0</v>
      </c>
      <c r="K553" s="2">
        <f t="shared" si="53"/>
        <v>0</v>
      </c>
      <c r="L553" s="12" t="s">
        <v>3714</v>
      </c>
    </row>
    <row r="554" spans="1:12" x14ac:dyDescent="0.25">
      <c r="A554" s="11" t="s">
        <v>1953</v>
      </c>
      <c r="B554" s="2" t="str">
        <f t="shared" si="48"/>
        <v>Synth Saw</v>
      </c>
      <c r="C554" s="3">
        <v>553</v>
      </c>
      <c r="D554" s="17" t="s">
        <v>552</v>
      </c>
      <c r="E554" s="2" t="str">
        <f t="shared" si="49"/>
        <v>F.StrStacB R</v>
      </c>
      <c r="F554" s="12">
        <v>553</v>
      </c>
      <c r="G554" s="17">
        <f t="shared" si="50"/>
        <v>668</v>
      </c>
      <c r="H554" s="2">
        <f t="shared" si="51"/>
        <v>115</v>
      </c>
      <c r="I554" s="3" t="s">
        <v>3714</v>
      </c>
      <c r="J554" s="17">
        <f t="shared" si="52"/>
        <v>0</v>
      </c>
      <c r="K554" s="2">
        <f t="shared" si="53"/>
        <v>0</v>
      </c>
      <c r="L554" s="12" t="s">
        <v>3714</v>
      </c>
    </row>
    <row r="555" spans="1:12" x14ac:dyDescent="0.25">
      <c r="A555" s="11" t="s">
        <v>1954</v>
      </c>
      <c r="B555" s="2" t="str">
        <f t="shared" si="48"/>
        <v>JD Syn Saw</v>
      </c>
      <c r="C555" s="3">
        <v>554</v>
      </c>
      <c r="D555" s="17" t="s">
        <v>553</v>
      </c>
      <c r="E555" s="2" t="str">
        <f t="shared" si="49"/>
        <v>F.StrStacC L</v>
      </c>
      <c r="F555" s="12">
        <v>554</v>
      </c>
      <c r="G555" s="17">
        <f t="shared" si="50"/>
        <v>669</v>
      </c>
      <c r="H555" s="2">
        <f t="shared" si="51"/>
        <v>115</v>
      </c>
      <c r="I555" s="3" t="s">
        <v>3714</v>
      </c>
      <c r="J555" s="17">
        <f t="shared" si="52"/>
        <v>0</v>
      </c>
      <c r="K555" s="2">
        <f t="shared" si="53"/>
        <v>0</v>
      </c>
      <c r="L555" s="12" t="s">
        <v>3714</v>
      </c>
    </row>
    <row r="556" spans="1:12" x14ac:dyDescent="0.25">
      <c r="A556" s="11" t="s">
        <v>1955</v>
      </c>
      <c r="B556" s="2" t="str">
        <f t="shared" si="48"/>
        <v>JD Fat Saw</v>
      </c>
      <c r="C556" s="3">
        <v>555</v>
      </c>
      <c r="D556" s="17" t="s">
        <v>554</v>
      </c>
      <c r="E556" s="2" t="str">
        <f t="shared" si="49"/>
        <v>F.StrStacC R</v>
      </c>
      <c r="F556" s="12">
        <v>555</v>
      </c>
      <c r="G556" s="17">
        <f t="shared" si="50"/>
        <v>670</v>
      </c>
      <c r="H556" s="2">
        <f t="shared" si="51"/>
        <v>115</v>
      </c>
      <c r="I556" s="3" t="s">
        <v>3714</v>
      </c>
      <c r="J556" s="17">
        <f t="shared" si="52"/>
        <v>0</v>
      </c>
      <c r="K556" s="2">
        <f t="shared" si="53"/>
        <v>0</v>
      </c>
      <c r="L556" s="12" t="s">
        <v>3714</v>
      </c>
    </row>
    <row r="557" spans="1:12" x14ac:dyDescent="0.25">
      <c r="A557" s="11" t="s">
        <v>1956</v>
      </c>
      <c r="B557" s="2" t="str">
        <f t="shared" si="48"/>
        <v>JP-8 Saw</v>
      </c>
      <c r="C557" s="3">
        <v>556</v>
      </c>
      <c r="D557" s="17" t="s">
        <v>555</v>
      </c>
      <c r="E557" s="2" t="str">
        <f t="shared" si="49"/>
        <v>ChmbrStrAtkA</v>
      </c>
      <c r="F557" s="12">
        <v>556</v>
      </c>
      <c r="G557" s="17">
        <f t="shared" si="50"/>
        <v>671</v>
      </c>
      <c r="H557" s="2">
        <f t="shared" si="51"/>
        <v>115</v>
      </c>
      <c r="I557" s="3" t="s">
        <v>3714</v>
      </c>
      <c r="J557" s="17">
        <f t="shared" si="52"/>
        <v>437</v>
      </c>
      <c r="K557" s="2">
        <f t="shared" si="53"/>
        <v>-119</v>
      </c>
      <c r="L557" s="12" t="s">
        <v>3714</v>
      </c>
    </row>
    <row r="558" spans="1:12" x14ac:dyDescent="0.25">
      <c r="A558" s="11" t="s">
        <v>1957</v>
      </c>
      <c r="B558" s="2" t="str">
        <f t="shared" si="48"/>
        <v>P5 Saw HD</v>
      </c>
      <c r="C558" s="3">
        <v>557</v>
      </c>
      <c r="D558" s="17" t="s">
        <v>556</v>
      </c>
      <c r="E558" s="2" t="str">
        <f t="shared" si="49"/>
        <v>ChmbrStrAtkB</v>
      </c>
      <c r="F558" s="12">
        <v>557</v>
      </c>
      <c r="G558" s="17">
        <f t="shared" si="50"/>
        <v>665</v>
      </c>
      <c r="H558" s="2">
        <f t="shared" si="51"/>
        <v>108</v>
      </c>
      <c r="I558" s="3" t="s">
        <v>3714</v>
      </c>
      <c r="J558" s="17">
        <f t="shared" si="52"/>
        <v>438</v>
      </c>
      <c r="K558" s="2">
        <f t="shared" si="53"/>
        <v>-119</v>
      </c>
      <c r="L558" s="12" t="s">
        <v>3714</v>
      </c>
    </row>
    <row r="559" spans="1:12" x14ac:dyDescent="0.25">
      <c r="A559" s="11" t="s">
        <v>1958</v>
      </c>
      <c r="B559" s="2" t="str">
        <f t="shared" si="48"/>
        <v>D-50 Saw</v>
      </c>
      <c r="C559" s="3">
        <v>558</v>
      </c>
      <c r="D559" s="17" t="s">
        <v>557</v>
      </c>
      <c r="E559" s="2" t="str">
        <f t="shared" si="49"/>
        <v>ChmbrStrAtkC</v>
      </c>
      <c r="F559" s="12">
        <v>558</v>
      </c>
      <c r="G559" s="17">
        <f t="shared" si="50"/>
        <v>672</v>
      </c>
      <c r="H559" s="2">
        <f t="shared" si="51"/>
        <v>114</v>
      </c>
      <c r="I559" s="3" t="s">
        <v>3714</v>
      </c>
      <c r="J559" s="17">
        <f t="shared" si="52"/>
        <v>439</v>
      </c>
      <c r="K559" s="2">
        <f t="shared" si="53"/>
        <v>-119</v>
      </c>
      <c r="L559" s="12" t="s">
        <v>3714</v>
      </c>
    </row>
    <row r="560" spans="1:12" x14ac:dyDescent="0.25">
      <c r="A560" s="11" t="s">
        <v>1959</v>
      </c>
      <c r="B560" s="2" t="str">
        <f t="shared" si="48"/>
        <v>Air Wave</v>
      </c>
      <c r="C560" s="3">
        <v>559</v>
      </c>
      <c r="D560" s="17" t="s">
        <v>558</v>
      </c>
      <c r="E560" s="2" t="str">
        <f t="shared" si="49"/>
        <v>ChmbrStrRevA</v>
      </c>
      <c r="F560" s="12">
        <v>559</v>
      </c>
      <c r="G560" s="17">
        <f t="shared" si="50"/>
        <v>676</v>
      </c>
      <c r="H560" s="2">
        <f t="shared" si="51"/>
        <v>117</v>
      </c>
      <c r="I560" s="3" t="s">
        <v>3714</v>
      </c>
      <c r="J560" s="17">
        <f t="shared" si="52"/>
        <v>440</v>
      </c>
      <c r="K560" s="2">
        <f t="shared" si="53"/>
        <v>-119</v>
      </c>
      <c r="L560" s="12" t="s">
        <v>3714</v>
      </c>
    </row>
    <row r="561" spans="1:12" x14ac:dyDescent="0.25">
      <c r="A561" s="11" t="s">
        <v>1960</v>
      </c>
      <c r="B561" s="2" t="str">
        <f t="shared" si="48"/>
        <v>MG Sqr HD</v>
      </c>
      <c r="C561" s="3">
        <v>560</v>
      </c>
      <c r="D561" s="17" t="s">
        <v>559</v>
      </c>
      <c r="E561" s="2" t="str">
        <f t="shared" si="49"/>
        <v>ChmbrStrRevB</v>
      </c>
      <c r="F561" s="12">
        <v>560</v>
      </c>
      <c r="G561" s="17">
        <f t="shared" si="50"/>
        <v>0</v>
      </c>
      <c r="H561" s="2">
        <f t="shared" si="51"/>
        <v>0</v>
      </c>
      <c r="I561" s="3" t="s">
        <v>3714</v>
      </c>
      <c r="J561" s="17">
        <f t="shared" si="52"/>
        <v>441</v>
      </c>
      <c r="K561" s="2">
        <f t="shared" si="53"/>
        <v>-119</v>
      </c>
      <c r="L561" s="12" t="s">
        <v>3714</v>
      </c>
    </row>
    <row r="562" spans="1:12" x14ac:dyDescent="0.25">
      <c r="A562" s="11" t="s">
        <v>1961</v>
      </c>
      <c r="B562" s="2" t="str">
        <f t="shared" si="48"/>
        <v>P5 Sqr HD</v>
      </c>
      <c r="C562" s="3">
        <v>561</v>
      </c>
      <c r="D562" s="17" t="s">
        <v>560</v>
      </c>
      <c r="E562" s="2" t="str">
        <f t="shared" si="49"/>
        <v>ChmbrStrRevC</v>
      </c>
      <c r="F562" s="12">
        <v>561</v>
      </c>
      <c r="G562" s="17">
        <f t="shared" si="50"/>
        <v>683</v>
      </c>
      <c r="H562" s="2">
        <f t="shared" si="51"/>
        <v>122</v>
      </c>
      <c r="I562" s="3" t="s">
        <v>3714</v>
      </c>
      <c r="J562" s="17">
        <f t="shared" si="52"/>
        <v>442</v>
      </c>
      <c r="K562" s="2">
        <f t="shared" si="53"/>
        <v>-119</v>
      </c>
      <c r="L562" s="12" t="s">
        <v>3714</v>
      </c>
    </row>
    <row r="563" spans="1:12" x14ac:dyDescent="0.25">
      <c r="A563" s="11" t="s">
        <v>1962</v>
      </c>
      <c r="B563" s="2" t="str">
        <f t="shared" si="48"/>
        <v>OB2 Sqr HD</v>
      </c>
      <c r="C563" s="3">
        <v>562</v>
      </c>
      <c r="D563" s="17" t="s">
        <v>561</v>
      </c>
      <c r="E563" s="2" t="str">
        <f t="shared" si="49"/>
        <v>Vls Pizz A</v>
      </c>
      <c r="F563" s="12">
        <v>562</v>
      </c>
      <c r="G563" s="17">
        <f t="shared" si="50"/>
        <v>0</v>
      </c>
      <c r="H563" s="2">
        <f t="shared" si="51"/>
        <v>0</v>
      </c>
      <c r="I563" s="3" t="s">
        <v>3714</v>
      </c>
      <c r="J563" s="17">
        <f t="shared" si="52"/>
        <v>443</v>
      </c>
      <c r="K563" s="2">
        <f t="shared" si="53"/>
        <v>-119</v>
      </c>
      <c r="L563" s="12" t="s">
        <v>3714</v>
      </c>
    </row>
    <row r="564" spans="1:12" x14ac:dyDescent="0.25">
      <c r="A564" s="11" t="s">
        <v>1963</v>
      </c>
      <c r="B564" s="2" t="str">
        <f t="shared" si="48"/>
        <v>Custm Sqr HD</v>
      </c>
      <c r="C564" s="3">
        <v>563</v>
      </c>
      <c r="D564" s="17" t="s">
        <v>562</v>
      </c>
      <c r="E564" s="2" t="str">
        <f t="shared" si="49"/>
        <v>Vls Pizz B</v>
      </c>
      <c r="F564" s="12">
        <v>563</v>
      </c>
      <c r="G564" s="17">
        <f t="shared" si="50"/>
        <v>0</v>
      </c>
      <c r="H564" s="2">
        <f t="shared" si="51"/>
        <v>0</v>
      </c>
      <c r="I564" s="3" t="s">
        <v>3714</v>
      </c>
      <c r="J564" s="17">
        <f t="shared" si="52"/>
        <v>444</v>
      </c>
      <c r="K564" s="2">
        <f t="shared" si="53"/>
        <v>-119</v>
      </c>
      <c r="L564" s="12" t="s">
        <v>3714</v>
      </c>
    </row>
    <row r="565" spans="1:12" x14ac:dyDescent="0.25">
      <c r="A565" s="11" t="s">
        <v>1964</v>
      </c>
      <c r="B565" s="2" t="str">
        <f t="shared" si="48"/>
        <v>106SubOsc HD</v>
      </c>
      <c r="C565" s="3">
        <v>564</v>
      </c>
      <c r="D565" s="17" t="s">
        <v>563</v>
      </c>
      <c r="E565" s="2" t="str">
        <f t="shared" si="49"/>
        <v>Vls Pizz C</v>
      </c>
      <c r="F565" s="12">
        <v>564</v>
      </c>
      <c r="G565" s="17">
        <f t="shared" si="50"/>
        <v>0</v>
      </c>
      <c r="H565" s="2">
        <f t="shared" si="51"/>
        <v>0</v>
      </c>
      <c r="I565" s="3" t="s">
        <v>3714</v>
      </c>
      <c r="J565" s="17">
        <f t="shared" si="52"/>
        <v>445</v>
      </c>
      <c r="K565" s="2">
        <f t="shared" si="53"/>
        <v>-119</v>
      </c>
      <c r="L565" s="12" t="s">
        <v>3714</v>
      </c>
    </row>
    <row r="566" spans="1:12" x14ac:dyDescent="0.25">
      <c r="A566" s="11" t="s">
        <v>1965</v>
      </c>
      <c r="B566" s="2" t="str">
        <f t="shared" si="48"/>
        <v>TB303 Sqr HD</v>
      </c>
      <c r="C566" s="3">
        <v>565</v>
      </c>
      <c r="D566" s="17" t="s">
        <v>564</v>
      </c>
      <c r="E566" s="2" t="str">
        <f t="shared" si="49"/>
        <v>VlsPizzRev A</v>
      </c>
      <c r="F566" s="12">
        <v>565</v>
      </c>
      <c r="G566" s="17">
        <f t="shared" si="50"/>
        <v>687</v>
      </c>
      <c r="H566" s="2">
        <f t="shared" si="51"/>
        <v>122</v>
      </c>
      <c r="I566" s="3" t="s">
        <v>3714</v>
      </c>
      <c r="J566" s="17">
        <f t="shared" si="52"/>
        <v>446</v>
      </c>
      <c r="K566" s="2">
        <f t="shared" si="53"/>
        <v>-119</v>
      </c>
      <c r="L566" s="12" t="s">
        <v>3714</v>
      </c>
    </row>
    <row r="567" spans="1:12" x14ac:dyDescent="0.25">
      <c r="A567" s="11" t="s">
        <v>1966</v>
      </c>
      <c r="B567" s="2" t="str">
        <f t="shared" si="48"/>
        <v>Fat Square</v>
      </c>
      <c r="C567" s="3">
        <v>566</v>
      </c>
      <c r="D567" s="17" t="s">
        <v>565</v>
      </c>
      <c r="E567" s="2" t="str">
        <f t="shared" si="49"/>
        <v>VlsPizzRev B</v>
      </c>
      <c r="F567" s="12">
        <v>566</v>
      </c>
      <c r="G567" s="17">
        <f t="shared" si="50"/>
        <v>684</v>
      </c>
      <c r="H567" s="2">
        <f t="shared" si="51"/>
        <v>118</v>
      </c>
      <c r="I567" s="3" t="s">
        <v>3714</v>
      </c>
      <c r="J567" s="17">
        <f t="shared" si="52"/>
        <v>447</v>
      </c>
      <c r="K567" s="2">
        <f t="shared" si="53"/>
        <v>-119</v>
      </c>
      <c r="L567" s="12" t="s">
        <v>3714</v>
      </c>
    </row>
    <row r="568" spans="1:12" x14ac:dyDescent="0.25">
      <c r="A568" s="11" t="s">
        <v>1967</v>
      </c>
      <c r="B568" s="2" t="str">
        <f t="shared" si="48"/>
        <v>JP-8 Square</v>
      </c>
      <c r="C568" s="3">
        <v>567</v>
      </c>
      <c r="D568" s="17" t="s">
        <v>566</v>
      </c>
      <c r="E568" s="2" t="str">
        <f t="shared" si="49"/>
        <v>VlsPizzRev C</v>
      </c>
      <c r="F568" s="12">
        <v>567</v>
      </c>
      <c r="G568" s="17">
        <f t="shared" si="50"/>
        <v>685</v>
      </c>
      <c r="H568" s="2">
        <f t="shared" si="51"/>
        <v>118</v>
      </c>
      <c r="I568" s="3" t="s">
        <v>3714</v>
      </c>
      <c r="J568" s="17">
        <f t="shared" si="52"/>
        <v>448</v>
      </c>
      <c r="K568" s="2">
        <f t="shared" si="53"/>
        <v>-119</v>
      </c>
      <c r="L568" s="12" t="s">
        <v>3714</v>
      </c>
    </row>
    <row r="569" spans="1:12" x14ac:dyDescent="0.25">
      <c r="A569" s="11" t="s">
        <v>1968</v>
      </c>
      <c r="B569" s="2" t="str">
        <f t="shared" si="48"/>
        <v>JP8 Pls 1 HD</v>
      </c>
      <c r="C569" s="3">
        <v>568</v>
      </c>
      <c r="D569" s="17" t="s">
        <v>567</v>
      </c>
      <c r="E569" s="2" t="str">
        <f t="shared" si="49"/>
        <v>Vcs Pizz A</v>
      </c>
      <c r="F569" s="12">
        <v>568</v>
      </c>
      <c r="G569" s="17">
        <f t="shared" si="50"/>
        <v>0</v>
      </c>
      <c r="H569" s="2">
        <f t="shared" si="51"/>
        <v>0</v>
      </c>
      <c r="I569" s="3" t="s">
        <v>3714</v>
      </c>
      <c r="J569" s="17">
        <f t="shared" si="52"/>
        <v>449</v>
      </c>
      <c r="K569" s="2">
        <f t="shared" si="53"/>
        <v>-119</v>
      </c>
      <c r="L569" s="12" t="s">
        <v>3714</v>
      </c>
    </row>
    <row r="570" spans="1:12" x14ac:dyDescent="0.25">
      <c r="A570" s="11" t="s">
        <v>1969</v>
      </c>
      <c r="B570" s="2" t="str">
        <f t="shared" si="48"/>
        <v>JP8 Pls 2 HD</v>
      </c>
      <c r="C570" s="3">
        <v>569</v>
      </c>
      <c r="D570" s="17" t="s">
        <v>568</v>
      </c>
      <c r="E570" s="2" t="str">
        <f t="shared" si="49"/>
        <v>Vcs Pizz B</v>
      </c>
      <c r="F570" s="12">
        <v>569</v>
      </c>
      <c r="G570" s="17">
        <f t="shared" si="50"/>
        <v>0</v>
      </c>
      <c r="H570" s="2">
        <f t="shared" si="51"/>
        <v>0</v>
      </c>
      <c r="I570" s="3" t="s">
        <v>3714</v>
      </c>
      <c r="J570" s="17">
        <f t="shared" si="52"/>
        <v>450</v>
      </c>
      <c r="K570" s="2">
        <f t="shared" si="53"/>
        <v>-119</v>
      </c>
      <c r="L570" s="12" t="s">
        <v>3714</v>
      </c>
    </row>
    <row r="571" spans="1:12" x14ac:dyDescent="0.25">
      <c r="A571" s="11" t="s">
        <v>1970</v>
      </c>
      <c r="B571" s="2" t="str">
        <f t="shared" si="48"/>
        <v>JP8 Pls 3 HD</v>
      </c>
      <c r="C571" s="3">
        <v>570</v>
      </c>
      <c r="D571" s="17" t="s">
        <v>569</v>
      </c>
      <c r="E571" s="2" t="str">
        <f t="shared" si="49"/>
        <v>Vcs Pizz C</v>
      </c>
      <c r="F571" s="12">
        <v>570</v>
      </c>
      <c r="G571" s="17">
        <f t="shared" si="50"/>
        <v>0</v>
      </c>
      <c r="H571" s="2">
        <f t="shared" si="51"/>
        <v>0</v>
      </c>
      <c r="I571" s="3" t="s">
        <v>3714</v>
      </c>
      <c r="J571" s="17">
        <f t="shared" si="52"/>
        <v>451</v>
      </c>
      <c r="K571" s="2">
        <f t="shared" si="53"/>
        <v>-119</v>
      </c>
      <c r="L571" s="12" t="s">
        <v>3714</v>
      </c>
    </row>
    <row r="572" spans="1:12" x14ac:dyDescent="0.25">
      <c r="A572" s="11" t="s">
        <v>1971</v>
      </c>
      <c r="B572" s="2" t="str">
        <f t="shared" si="48"/>
        <v>JP8 Pls 4 HD</v>
      </c>
      <c r="C572" s="3">
        <v>571</v>
      </c>
      <c r="D572" s="17" t="s">
        <v>570</v>
      </c>
      <c r="E572" s="2" t="str">
        <f t="shared" si="49"/>
        <v>Unison Saw A</v>
      </c>
      <c r="F572" s="12">
        <v>571</v>
      </c>
      <c r="G572" s="17">
        <f t="shared" si="50"/>
        <v>0</v>
      </c>
      <c r="H572" s="2">
        <f t="shared" si="51"/>
        <v>0</v>
      </c>
      <c r="I572" s="3" t="s">
        <v>3714</v>
      </c>
      <c r="J572" s="17">
        <f t="shared" si="52"/>
        <v>455</v>
      </c>
      <c r="K572" s="2">
        <f t="shared" si="53"/>
        <v>-116</v>
      </c>
      <c r="L572" s="12" t="s">
        <v>3714</v>
      </c>
    </row>
    <row r="573" spans="1:12" x14ac:dyDescent="0.25">
      <c r="A573" s="11" t="s">
        <v>1972</v>
      </c>
      <c r="B573" s="2" t="str">
        <f t="shared" si="48"/>
        <v>Syn Pulse 1</v>
      </c>
      <c r="C573" s="3">
        <v>572</v>
      </c>
      <c r="D573" s="17" t="s">
        <v>571</v>
      </c>
      <c r="E573" s="2" t="str">
        <f t="shared" si="49"/>
        <v>Unison Saw B</v>
      </c>
      <c r="F573" s="12">
        <v>572</v>
      </c>
      <c r="G573" s="17">
        <f t="shared" si="50"/>
        <v>702</v>
      </c>
      <c r="H573" s="2">
        <f t="shared" si="51"/>
        <v>130</v>
      </c>
      <c r="I573" s="3" t="s">
        <v>3714</v>
      </c>
      <c r="J573" s="17">
        <f t="shared" si="52"/>
        <v>456</v>
      </c>
      <c r="K573" s="2">
        <f t="shared" si="53"/>
        <v>-116</v>
      </c>
      <c r="L573" s="12" t="s">
        <v>3714</v>
      </c>
    </row>
    <row r="574" spans="1:12" x14ac:dyDescent="0.25">
      <c r="A574" s="11" t="s">
        <v>1973</v>
      </c>
      <c r="B574" s="2" t="str">
        <f t="shared" si="48"/>
        <v>Syn Pulse 2</v>
      </c>
      <c r="C574" s="3">
        <v>573</v>
      </c>
      <c r="D574" s="17" t="s">
        <v>572</v>
      </c>
      <c r="E574" s="2" t="str">
        <f t="shared" si="49"/>
        <v>Unison Saw C</v>
      </c>
      <c r="F574" s="12">
        <v>573</v>
      </c>
      <c r="G574" s="17">
        <f t="shared" si="50"/>
        <v>703</v>
      </c>
      <c r="H574" s="2">
        <f t="shared" si="51"/>
        <v>130</v>
      </c>
      <c r="I574" s="3" t="s">
        <v>3714</v>
      </c>
      <c r="J574" s="17">
        <f t="shared" si="52"/>
        <v>457</v>
      </c>
      <c r="K574" s="2">
        <f t="shared" si="53"/>
        <v>-116</v>
      </c>
      <c r="L574" s="12" t="s">
        <v>3714</v>
      </c>
    </row>
    <row r="575" spans="1:12" x14ac:dyDescent="0.25">
      <c r="A575" s="11" t="s">
        <v>1974</v>
      </c>
      <c r="B575" s="2" t="str">
        <f t="shared" si="48"/>
        <v>MG Tri HD</v>
      </c>
      <c r="C575" s="3">
        <v>574</v>
      </c>
      <c r="D575" s="17" t="s">
        <v>573</v>
      </c>
      <c r="E575" s="2" t="str">
        <f t="shared" si="49"/>
        <v>Super Saw A</v>
      </c>
      <c r="F575" s="12">
        <v>574</v>
      </c>
      <c r="G575" s="17">
        <f t="shared" si="50"/>
        <v>0</v>
      </c>
      <c r="H575" s="2">
        <f t="shared" si="51"/>
        <v>0</v>
      </c>
      <c r="I575" s="3" t="s">
        <v>3714</v>
      </c>
      <c r="J575" s="17">
        <f t="shared" si="52"/>
        <v>458</v>
      </c>
      <c r="K575" s="2">
        <f t="shared" si="53"/>
        <v>-116</v>
      </c>
      <c r="L575" s="12" t="s">
        <v>3714</v>
      </c>
    </row>
    <row r="576" spans="1:12" x14ac:dyDescent="0.25">
      <c r="A576" s="11" t="s">
        <v>1975</v>
      </c>
      <c r="B576" s="2" t="str">
        <f t="shared" si="48"/>
        <v>700 Triangle</v>
      </c>
      <c r="C576" s="3">
        <v>575</v>
      </c>
      <c r="D576" s="17" t="s">
        <v>574</v>
      </c>
      <c r="E576" s="2" t="str">
        <f t="shared" si="49"/>
        <v>Super Saw B</v>
      </c>
      <c r="F576" s="12">
        <v>575</v>
      </c>
      <c r="G576" s="17">
        <f t="shared" si="50"/>
        <v>705</v>
      </c>
      <c r="H576" s="2">
        <f t="shared" si="51"/>
        <v>130</v>
      </c>
      <c r="I576" s="3" t="s">
        <v>3714</v>
      </c>
      <c r="J576" s="17">
        <f t="shared" si="52"/>
        <v>459</v>
      </c>
      <c r="K576" s="2">
        <f t="shared" si="53"/>
        <v>-116</v>
      </c>
      <c r="L576" s="12" t="s">
        <v>3714</v>
      </c>
    </row>
    <row r="577" spans="1:12" x14ac:dyDescent="0.25">
      <c r="A577" s="11" t="s">
        <v>1976</v>
      </c>
      <c r="B577" s="2" t="str">
        <f t="shared" si="48"/>
        <v>Syn Triangle</v>
      </c>
      <c r="C577" s="3">
        <v>576</v>
      </c>
      <c r="D577" s="17" t="s">
        <v>575</v>
      </c>
      <c r="E577" s="2" t="str">
        <f t="shared" si="49"/>
        <v>Super Saw C</v>
      </c>
      <c r="F577" s="12">
        <v>576</v>
      </c>
      <c r="G577" s="17">
        <f t="shared" si="50"/>
        <v>706</v>
      </c>
      <c r="H577" s="2">
        <f t="shared" si="51"/>
        <v>130</v>
      </c>
      <c r="I577" s="3" t="s">
        <v>3714</v>
      </c>
      <c r="J577" s="17">
        <f t="shared" si="52"/>
        <v>460</v>
      </c>
      <c r="K577" s="2">
        <f t="shared" si="53"/>
        <v>-116</v>
      </c>
      <c r="L577" s="12" t="s">
        <v>3714</v>
      </c>
    </row>
    <row r="578" spans="1:12" x14ac:dyDescent="0.25">
      <c r="A578" s="11" t="s">
        <v>1977</v>
      </c>
      <c r="B578" s="2" t="str">
        <f t="shared" ref="B578:B641" si="54">_xlfn.TEXTAFTER(A578," ",1)</f>
        <v>JD Triangle</v>
      </c>
      <c r="C578" s="3">
        <v>577</v>
      </c>
      <c r="D578" s="17" t="s">
        <v>576</v>
      </c>
      <c r="E578" s="2" t="str">
        <f t="shared" ref="E578:E641" si="55">_xlfn.TEXTAFTER(D578," ",1)</f>
        <v>Trance Saw A</v>
      </c>
      <c r="F578" s="12">
        <v>577</v>
      </c>
      <c r="G578" s="17">
        <f t="shared" si="50"/>
        <v>707</v>
      </c>
      <c r="H578" s="2">
        <f t="shared" si="51"/>
        <v>130</v>
      </c>
      <c r="I578" s="3" t="s">
        <v>3714</v>
      </c>
      <c r="J578" s="17">
        <f t="shared" si="52"/>
        <v>461</v>
      </c>
      <c r="K578" s="2">
        <f t="shared" si="53"/>
        <v>-116</v>
      </c>
      <c r="L578" s="12" t="s">
        <v>3714</v>
      </c>
    </row>
    <row r="579" spans="1:12" x14ac:dyDescent="0.25">
      <c r="A579" s="11" t="s">
        <v>1978</v>
      </c>
      <c r="B579" s="2" t="str">
        <f t="shared" si="54"/>
        <v>ARP Sine HD</v>
      </c>
      <c r="C579" s="3">
        <v>578</v>
      </c>
      <c r="D579" s="17" t="s">
        <v>577</v>
      </c>
      <c r="E579" s="2" t="str">
        <f t="shared" si="55"/>
        <v>Trance Saw B</v>
      </c>
      <c r="F579" s="12">
        <v>578</v>
      </c>
      <c r="G579" s="17">
        <f t="shared" ref="G579:G642" si="56">_xlfn.IFNA(_xlfn.XMATCH(B579,E$2:E$1402,0,1),0)</f>
        <v>0</v>
      </c>
      <c r="H579" s="2">
        <f t="shared" ref="H579:H642" si="57">IF(G579=0,0,G579-C579)</f>
        <v>0</v>
      </c>
      <c r="I579" s="3" t="s">
        <v>3714</v>
      </c>
      <c r="J579" s="17">
        <f t="shared" ref="J579:J642" si="58">_xlfn.IFNA(_xlfn.XMATCH(E579,B$2:B$1229,0,1),0)</f>
        <v>462</v>
      </c>
      <c r="K579" s="2">
        <f t="shared" ref="K579:K642" si="59">IF(J579=0,0,J579-F579)</f>
        <v>-116</v>
      </c>
      <c r="L579" s="12" t="s">
        <v>3714</v>
      </c>
    </row>
    <row r="580" spans="1:12" x14ac:dyDescent="0.25">
      <c r="A580" s="11" t="s">
        <v>1979</v>
      </c>
      <c r="B580" s="2" t="str">
        <f t="shared" si="54"/>
        <v>Sine</v>
      </c>
      <c r="C580" s="3">
        <v>579</v>
      </c>
      <c r="D580" s="17" t="s">
        <v>578</v>
      </c>
      <c r="E580" s="2" t="str">
        <f t="shared" si="55"/>
        <v>Trance Saw C</v>
      </c>
      <c r="F580" s="12">
        <v>579</v>
      </c>
      <c r="G580" s="17">
        <f t="shared" si="56"/>
        <v>712</v>
      </c>
      <c r="H580" s="2">
        <f t="shared" si="57"/>
        <v>133</v>
      </c>
      <c r="I580" s="3" t="s">
        <v>3714</v>
      </c>
      <c r="J580" s="17">
        <f t="shared" si="58"/>
        <v>463</v>
      </c>
      <c r="K580" s="2">
        <f t="shared" si="59"/>
        <v>-116</v>
      </c>
      <c r="L580" s="12" t="s">
        <v>3714</v>
      </c>
    </row>
    <row r="581" spans="1:12" x14ac:dyDescent="0.25">
      <c r="A581" s="11" t="s">
        <v>1980</v>
      </c>
      <c r="B581" s="2" t="str">
        <f t="shared" si="54"/>
        <v>Digi Attack</v>
      </c>
      <c r="C581" s="3">
        <v>580</v>
      </c>
      <c r="D581" s="17" t="s">
        <v>579</v>
      </c>
      <c r="E581" s="2" t="str">
        <f t="shared" si="55"/>
        <v>Warm Pad A</v>
      </c>
      <c r="F581" s="12">
        <v>580</v>
      </c>
      <c r="G581" s="17">
        <f t="shared" si="56"/>
        <v>0</v>
      </c>
      <c r="H581" s="2">
        <f t="shared" si="57"/>
        <v>0</v>
      </c>
      <c r="I581" s="3" t="s">
        <v>3714</v>
      </c>
      <c r="J581" s="17">
        <f t="shared" si="58"/>
        <v>468</v>
      </c>
      <c r="K581" s="2">
        <f t="shared" si="59"/>
        <v>-112</v>
      </c>
      <c r="L581" s="12" t="s">
        <v>3714</v>
      </c>
    </row>
    <row r="582" spans="1:12" x14ac:dyDescent="0.25">
      <c r="A582" s="11" t="s">
        <v>1981</v>
      </c>
      <c r="B582" s="2" t="str">
        <f t="shared" si="54"/>
        <v>JD Fine Wine</v>
      </c>
      <c r="C582" s="3">
        <v>581</v>
      </c>
      <c r="D582" s="17" t="s">
        <v>580</v>
      </c>
      <c r="E582" s="2" t="str">
        <f t="shared" si="55"/>
        <v>Warm Pad B</v>
      </c>
      <c r="F582" s="12">
        <v>581</v>
      </c>
      <c r="G582" s="17">
        <f t="shared" si="56"/>
        <v>713</v>
      </c>
      <c r="H582" s="2">
        <f t="shared" si="57"/>
        <v>132</v>
      </c>
      <c r="I582" s="3" t="s">
        <v>3714</v>
      </c>
      <c r="J582" s="17">
        <f t="shared" si="58"/>
        <v>469</v>
      </c>
      <c r="K582" s="2">
        <f t="shared" si="59"/>
        <v>-112</v>
      </c>
      <c r="L582" s="12" t="s">
        <v>3714</v>
      </c>
    </row>
    <row r="583" spans="1:12" x14ac:dyDescent="0.25">
      <c r="A583" s="11" t="s">
        <v>1982</v>
      </c>
      <c r="B583" s="2" t="str">
        <f t="shared" si="54"/>
        <v>Digi Loop 1</v>
      </c>
      <c r="C583" s="3">
        <v>582</v>
      </c>
      <c r="D583" s="17" t="s">
        <v>581</v>
      </c>
      <c r="E583" s="2" t="str">
        <f t="shared" si="55"/>
        <v>Warm Pad C</v>
      </c>
      <c r="F583" s="12">
        <v>582</v>
      </c>
      <c r="G583" s="17">
        <f t="shared" si="56"/>
        <v>0</v>
      </c>
      <c r="H583" s="2">
        <f t="shared" si="57"/>
        <v>0</v>
      </c>
      <c r="I583" s="3" t="s">
        <v>3714</v>
      </c>
      <c r="J583" s="17">
        <f t="shared" si="58"/>
        <v>470</v>
      </c>
      <c r="K583" s="2">
        <f t="shared" si="59"/>
        <v>-112</v>
      </c>
      <c r="L583" s="12" t="s">
        <v>3714</v>
      </c>
    </row>
    <row r="584" spans="1:12" x14ac:dyDescent="0.25">
      <c r="A584" s="11" t="s">
        <v>1983</v>
      </c>
      <c r="B584" s="2" t="str">
        <f t="shared" si="54"/>
        <v>Digi Loop 2</v>
      </c>
      <c r="C584" s="3">
        <v>583</v>
      </c>
      <c r="D584" s="17" t="s">
        <v>582</v>
      </c>
      <c r="E584" s="2" t="str">
        <f t="shared" si="55"/>
        <v>OB2 Pad 1 A</v>
      </c>
      <c r="F584" s="12">
        <v>583</v>
      </c>
      <c r="G584" s="17">
        <f t="shared" si="56"/>
        <v>0</v>
      </c>
      <c r="H584" s="2">
        <f t="shared" si="57"/>
        <v>0</v>
      </c>
      <c r="I584" s="3" t="s">
        <v>3714</v>
      </c>
      <c r="J584" s="17">
        <f t="shared" si="58"/>
        <v>471</v>
      </c>
      <c r="K584" s="2">
        <f t="shared" si="59"/>
        <v>-112</v>
      </c>
      <c r="L584" s="12" t="s">
        <v>3714</v>
      </c>
    </row>
    <row r="585" spans="1:12" x14ac:dyDescent="0.25">
      <c r="A585" s="11" t="s">
        <v>1984</v>
      </c>
      <c r="B585" s="2" t="str">
        <f t="shared" si="54"/>
        <v>JD MetalWind</v>
      </c>
      <c r="C585" s="3">
        <v>584</v>
      </c>
      <c r="D585" s="17" t="s">
        <v>583</v>
      </c>
      <c r="E585" s="2" t="str">
        <f t="shared" si="55"/>
        <v>OB2 Pad 1 B</v>
      </c>
      <c r="F585" s="12">
        <v>584</v>
      </c>
      <c r="G585" s="17">
        <f t="shared" si="56"/>
        <v>715</v>
      </c>
      <c r="H585" s="2">
        <f t="shared" si="57"/>
        <v>131</v>
      </c>
      <c r="I585" s="3" t="s">
        <v>3714</v>
      </c>
      <c r="J585" s="17">
        <f t="shared" si="58"/>
        <v>472</v>
      </c>
      <c r="K585" s="2">
        <f t="shared" si="59"/>
        <v>-112</v>
      </c>
      <c r="L585" s="12" t="s">
        <v>3714</v>
      </c>
    </row>
    <row r="586" spans="1:12" x14ac:dyDescent="0.25">
      <c r="A586" s="11" t="s">
        <v>1985</v>
      </c>
      <c r="B586" s="2" t="str">
        <f t="shared" si="54"/>
        <v>Atmosphere</v>
      </c>
      <c r="C586" s="3">
        <v>585</v>
      </c>
      <c r="D586" s="17" t="s">
        <v>584</v>
      </c>
      <c r="E586" s="2" t="str">
        <f t="shared" si="55"/>
        <v>OB2 Pad 1 C</v>
      </c>
      <c r="F586" s="12">
        <v>585</v>
      </c>
      <c r="G586" s="17">
        <f t="shared" si="56"/>
        <v>716</v>
      </c>
      <c r="H586" s="2">
        <f t="shared" si="57"/>
        <v>131</v>
      </c>
      <c r="I586" s="3" t="s">
        <v>3714</v>
      </c>
      <c r="J586" s="17">
        <f t="shared" si="58"/>
        <v>473</v>
      </c>
      <c r="K586" s="2">
        <f t="shared" si="59"/>
        <v>-112</v>
      </c>
      <c r="L586" s="12" t="s">
        <v>3714</v>
      </c>
    </row>
    <row r="587" spans="1:12" x14ac:dyDescent="0.25">
      <c r="A587" s="11" t="s">
        <v>1986</v>
      </c>
      <c r="B587" s="2" t="str">
        <f t="shared" si="54"/>
        <v>DigiSpectrum</v>
      </c>
      <c r="C587" s="3">
        <v>586</v>
      </c>
      <c r="D587" s="17" t="s">
        <v>585</v>
      </c>
      <c r="E587" s="2" t="str">
        <f t="shared" si="55"/>
        <v>OB2 Pad 2 A</v>
      </c>
      <c r="F587" s="12">
        <v>586</v>
      </c>
      <c r="G587" s="17">
        <f t="shared" si="56"/>
        <v>717</v>
      </c>
      <c r="H587" s="2">
        <f t="shared" si="57"/>
        <v>131</v>
      </c>
      <c r="I587" s="3" t="s">
        <v>3714</v>
      </c>
      <c r="J587" s="17">
        <f t="shared" si="58"/>
        <v>474</v>
      </c>
      <c r="K587" s="2">
        <f t="shared" si="59"/>
        <v>-112</v>
      </c>
      <c r="L587" s="12" t="s">
        <v>3714</v>
      </c>
    </row>
    <row r="588" spans="1:12" x14ac:dyDescent="0.25">
      <c r="A588" s="11" t="s">
        <v>1987</v>
      </c>
      <c r="B588" s="2" t="str">
        <f t="shared" si="54"/>
        <v>JD Vox Noise</v>
      </c>
      <c r="C588" s="3">
        <v>587</v>
      </c>
      <c r="D588" s="17" t="s">
        <v>586</v>
      </c>
      <c r="E588" s="2" t="str">
        <f t="shared" si="55"/>
        <v>OB2 Pad 2 B</v>
      </c>
      <c r="F588" s="12">
        <v>587</v>
      </c>
      <c r="G588" s="17">
        <f t="shared" si="56"/>
        <v>718</v>
      </c>
      <c r="H588" s="2">
        <f t="shared" si="57"/>
        <v>131</v>
      </c>
      <c r="I588" s="3" t="s">
        <v>3714</v>
      </c>
      <c r="J588" s="17">
        <f t="shared" si="58"/>
        <v>475</v>
      </c>
      <c r="K588" s="2">
        <f t="shared" si="59"/>
        <v>-112</v>
      </c>
      <c r="L588" s="12" t="s">
        <v>3714</v>
      </c>
    </row>
    <row r="589" spans="1:12" x14ac:dyDescent="0.25">
      <c r="A589" s="11" t="s">
        <v>1988</v>
      </c>
      <c r="B589" s="2" t="str">
        <f t="shared" si="54"/>
        <v>SynVox Noise</v>
      </c>
      <c r="C589" s="3">
        <v>588</v>
      </c>
      <c r="D589" s="17" t="s">
        <v>587</v>
      </c>
      <c r="E589" s="2" t="str">
        <f t="shared" si="55"/>
        <v>OB2 Pad 2 C</v>
      </c>
      <c r="F589" s="12">
        <v>588</v>
      </c>
      <c r="G589" s="17">
        <f t="shared" si="56"/>
        <v>719</v>
      </c>
      <c r="H589" s="2">
        <f t="shared" si="57"/>
        <v>131</v>
      </c>
      <c r="I589" s="3" t="s">
        <v>3714</v>
      </c>
      <c r="J589" s="17">
        <f t="shared" si="58"/>
        <v>476</v>
      </c>
      <c r="K589" s="2">
        <f t="shared" si="59"/>
        <v>-112</v>
      </c>
      <c r="L589" s="12" t="s">
        <v>3714</v>
      </c>
    </row>
    <row r="590" spans="1:12" x14ac:dyDescent="0.25">
      <c r="A590" s="11" t="s">
        <v>1989</v>
      </c>
      <c r="B590" s="2" t="str">
        <f t="shared" si="54"/>
        <v>Shaku Noise</v>
      </c>
      <c r="C590" s="3">
        <v>589</v>
      </c>
      <c r="D590" s="17" t="s">
        <v>588</v>
      </c>
      <c r="E590" s="2" t="str">
        <f t="shared" si="55"/>
        <v>D-50 HeavenA</v>
      </c>
      <c r="F590" s="12">
        <v>589</v>
      </c>
      <c r="G590" s="17">
        <f t="shared" si="56"/>
        <v>720</v>
      </c>
      <c r="H590" s="2">
        <f t="shared" si="57"/>
        <v>131</v>
      </c>
      <c r="I590" s="3" t="s">
        <v>3714</v>
      </c>
      <c r="J590" s="17">
        <f t="shared" si="58"/>
        <v>0</v>
      </c>
      <c r="K590" s="2">
        <f t="shared" si="59"/>
        <v>0</v>
      </c>
      <c r="L590" s="12" t="s">
        <v>3714</v>
      </c>
    </row>
    <row r="591" spans="1:12" x14ac:dyDescent="0.25">
      <c r="A591" s="11" t="s">
        <v>1990</v>
      </c>
      <c r="B591" s="2" t="str">
        <f t="shared" si="54"/>
        <v>Digi Breath</v>
      </c>
      <c r="C591" s="3">
        <v>590</v>
      </c>
      <c r="D591" s="17" t="s">
        <v>589</v>
      </c>
      <c r="E591" s="2" t="str">
        <f t="shared" si="55"/>
        <v>D-50 HeavenB</v>
      </c>
      <c r="F591" s="12">
        <v>590</v>
      </c>
      <c r="G591" s="17">
        <f t="shared" si="56"/>
        <v>721</v>
      </c>
      <c r="H591" s="2">
        <f t="shared" si="57"/>
        <v>131</v>
      </c>
      <c r="I591" s="3" t="s">
        <v>3714</v>
      </c>
      <c r="J591" s="17">
        <f t="shared" si="58"/>
        <v>0</v>
      </c>
      <c r="K591" s="2">
        <f t="shared" si="59"/>
        <v>0</v>
      </c>
      <c r="L591" s="12" t="s">
        <v>3714</v>
      </c>
    </row>
    <row r="592" spans="1:12" x14ac:dyDescent="0.25">
      <c r="A592" s="11" t="s">
        <v>1991</v>
      </c>
      <c r="B592" s="2" t="str">
        <f t="shared" si="54"/>
        <v>Agogo Noise</v>
      </c>
      <c r="C592" s="3">
        <v>591</v>
      </c>
      <c r="D592" s="17" t="s">
        <v>590</v>
      </c>
      <c r="E592" s="2" t="str">
        <f t="shared" si="55"/>
        <v>D-50 HeavenC</v>
      </c>
      <c r="F592" s="12">
        <v>591</v>
      </c>
      <c r="G592" s="17">
        <f t="shared" si="56"/>
        <v>722</v>
      </c>
      <c r="H592" s="2">
        <f t="shared" si="57"/>
        <v>131</v>
      </c>
      <c r="I592" s="3" t="s">
        <v>3714</v>
      </c>
      <c r="J592" s="17">
        <f t="shared" si="58"/>
        <v>0</v>
      </c>
      <c r="K592" s="2">
        <f t="shared" si="59"/>
        <v>0</v>
      </c>
      <c r="L592" s="12" t="s">
        <v>3714</v>
      </c>
    </row>
    <row r="593" spans="1:12" x14ac:dyDescent="0.25">
      <c r="A593" s="11" t="s">
        <v>1992</v>
      </c>
      <c r="B593" s="2" t="str">
        <f t="shared" si="54"/>
        <v>Polishing Nz</v>
      </c>
      <c r="C593" s="3">
        <v>592</v>
      </c>
      <c r="D593" s="17" t="s">
        <v>591</v>
      </c>
      <c r="E593" s="2" t="str">
        <f t="shared" si="55"/>
        <v>SBF Vox A</v>
      </c>
      <c r="F593" s="12">
        <v>592</v>
      </c>
      <c r="G593" s="17">
        <f t="shared" si="56"/>
        <v>0</v>
      </c>
      <c r="H593" s="2">
        <f t="shared" si="57"/>
        <v>0</v>
      </c>
      <c r="I593" s="3" t="s">
        <v>3714</v>
      </c>
      <c r="J593" s="17">
        <f t="shared" si="58"/>
        <v>477</v>
      </c>
      <c r="K593" s="2">
        <f t="shared" si="59"/>
        <v>-115</v>
      </c>
      <c r="L593" s="12" t="s">
        <v>3714</v>
      </c>
    </row>
    <row r="594" spans="1:12" x14ac:dyDescent="0.25">
      <c r="A594" s="11" t="s">
        <v>1993</v>
      </c>
      <c r="B594" s="2" t="str">
        <f t="shared" si="54"/>
        <v>Dentist Nz</v>
      </c>
      <c r="C594" s="3">
        <v>593</v>
      </c>
      <c r="D594" s="17" t="s">
        <v>592</v>
      </c>
      <c r="E594" s="2" t="str">
        <f t="shared" si="55"/>
        <v>SBF Vox B</v>
      </c>
      <c r="F594" s="12">
        <v>593</v>
      </c>
      <c r="G594" s="17">
        <f t="shared" si="56"/>
        <v>0</v>
      </c>
      <c r="H594" s="2">
        <f t="shared" si="57"/>
        <v>0</v>
      </c>
      <c r="I594" s="3" t="s">
        <v>3714</v>
      </c>
      <c r="J594" s="17">
        <f t="shared" si="58"/>
        <v>478</v>
      </c>
      <c r="K594" s="2">
        <f t="shared" si="59"/>
        <v>-115</v>
      </c>
      <c r="L594" s="12" t="s">
        <v>3714</v>
      </c>
    </row>
    <row r="595" spans="1:12" x14ac:dyDescent="0.25">
      <c r="A595" s="11" t="s">
        <v>1994</v>
      </c>
      <c r="B595" s="2" t="str">
        <f t="shared" si="54"/>
        <v>Vinyl Noise</v>
      </c>
      <c r="C595" s="3">
        <v>594</v>
      </c>
      <c r="D595" s="17" t="s">
        <v>593</v>
      </c>
      <c r="E595" s="2" t="str">
        <f t="shared" si="55"/>
        <v>SBF Vox C</v>
      </c>
      <c r="F595" s="12">
        <v>594</v>
      </c>
      <c r="G595" s="17">
        <f t="shared" si="56"/>
        <v>723</v>
      </c>
      <c r="H595" s="2">
        <f t="shared" si="57"/>
        <v>129</v>
      </c>
      <c r="I595" s="3" t="s">
        <v>3714</v>
      </c>
      <c r="J595" s="17">
        <f t="shared" si="58"/>
        <v>479</v>
      </c>
      <c r="K595" s="2">
        <f t="shared" si="59"/>
        <v>-115</v>
      </c>
      <c r="L595" s="12" t="s">
        <v>3714</v>
      </c>
    </row>
    <row r="596" spans="1:12" x14ac:dyDescent="0.25">
      <c r="A596" s="11" t="s">
        <v>1995</v>
      </c>
      <c r="B596" s="2" t="str">
        <f t="shared" si="54"/>
        <v>White Noise</v>
      </c>
      <c r="C596" s="3">
        <v>595</v>
      </c>
      <c r="D596" s="17" t="s">
        <v>594</v>
      </c>
      <c r="E596" s="2" t="str">
        <f t="shared" si="55"/>
        <v>Syn Vox 1 A</v>
      </c>
      <c r="F596" s="12">
        <v>595</v>
      </c>
      <c r="G596" s="17">
        <f t="shared" si="56"/>
        <v>724</v>
      </c>
      <c r="H596" s="2">
        <f t="shared" si="57"/>
        <v>129</v>
      </c>
      <c r="I596" s="3" t="s">
        <v>3714</v>
      </c>
      <c r="J596" s="17">
        <f t="shared" si="58"/>
        <v>0</v>
      </c>
      <c r="K596" s="2">
        <f t="shared" si="59"/>
        <v>0</v>
      </c>
      <c r="L596" s="12" t="s">
        <v>3714</v>
      </c>
    </row>
    <row r="597" spans="1:12" x14ac:dyDescent="0.25">
      <c r="A597" s="11" t="s">
        <v>1996</v>
      </c>
      <c r="B597" s="2" t="str">
        <f t="shared" si="54"/>
        <v>Pink Noise</v>
      </c>
      <c r="C597" s="3">
        <v>596</v>
      </c>
      <c r="D597" s="17" t="s">
        <v>595</v>
      </c>
      <c r="E597" s="2" t="str">
        <f t="shared" si="55"/>
        <v>Syn Vox 1 B</v>
      </c>
      <c r="F597" s="12">
        <v>596</v>
      </c>
      <c r="G597" s="17">
        <f t="shared" si="56"/>
        <v>725</v>
      </c>
      <c r="H597" s="2">
        <f t="shared" si="57"/>
        <v>129</v>
      </c>
      <c r="I597" s="3" t="s">
        <v>3714</v>
      </c>
      <c r="J597" s="17">
        <f t="shared" si="58"/>
        <v>0</v>
      </c>
      <c r="K597" s="2">
        <f t="shared" si="59"/>
        <v>0</v>
      </c>
      <c r="L597" s="12" t="s">
        <v>3714</v>
      </c>
    </row>
    <row r="598" spans="1:12" x14ac:dyDescent="0.25">
      <c r="A598" s="11" t="s">
        <v>1997</v>
      </c>
      <c r="B598" s="2" t="str">
        <f t="shared" si="54"/>
        <v>SBF Cym Lp</v>
      </c>
      <c r="C598" s="3">
        <v>597</v>
      </c>
      <c r="D598" s="17" t="s">
        <v>596</v>
      </c>
      <c r="E598" s="2" t="str">
        <f t="shared" si="55"/>
        <v>Syn Vox 1 C</v>
      </c>
      <c r="F598" s="12">
        <v>597</v>
      </c>
      <c r="G598" s="17">
        <f t="shared" si="56"/>
        <v>0</v>
      </c>
      <c r="H598" s="2">
        <f t="shared" si="57"/>
        <v>0</v>
      </c>
      <c r="I598" s="3" t="s">
        <v>3714</v>
      </c>
      <c r="J598" s="17">
        <f t="shared" si="58"/>
        <v>0</v>
      </c>
      <c r="K598" s="2">
        <f t="shared" si="59"/>
        <v>0</v>
      </c>
      <c r="L598" s="12" t="s">
        <v>3714</v>
      </c>
    </row>
    <row r="599" spans="1:12" x14ac:dyDescent="0.25">
      <c r="A599" s="11" t="s">
        <v>1998</v>
      </c>
      <c r="B599" s="2" t="str">
        <f t="shared" si="54"/>
        <v>SBF Bell Lp</v>
      </c>
      <c r="C599" s="3">
        <v>598</v>
      </c>
      <c r="D599" s="17" t="s">
        <v>597</v>
      </c>
      <c r="E599" s="2" t="str">
        <f t="shared" si="55"/>
        <v>Syn Vox 2 A</v>
      </c>
      <c r="F599" s="12">
        <v>598</v>
      </c>
      <c r="G599" s="17">
        <f t="shared" si="56"/>
        <v>0</v>
      </c>
      <c r="H599" s="2">
        <f t="shared" si="57"/>
        <v>0</v>
      </c>
      <c r="I599" s="3" t="s">
        <v>3714</v>
      </c>
      <c r="J599" s="17">
        <f t="shared" si="58"/>
        <v>0</v>
      </c>
      <c r="K599" s="2">
        <f t="shared" si="59"/>
        <v>0</v>
      </c>
      <c r="L599" s="12" t="s">
        <v>3714</v>
      </c>
    </row>
    <row r="600" spans="1:12" x14ac:dyDescent="0.25">
      <c r="A600" s="11" t="s">
        <v>1999</v>
      </c>
      <c r="B600" s="2" t="str">
        <f t="shared" si="54"/>
        <v>SBF Nz Lp</v>
      </c>
      <c r="C600" s="3">
        <v>599</v>
      </c>
      <c r="D600" s="17" t="s">
        <v>598</v>
      </c>
      <c r="E600" s="2" t="str">
        <f t="shared" si="55"/>
        <v>Syn Vox 2 B</v>
      </c>
      <c r="F600" s="12">
        <v>599</v>
      </c>
      <c r="G600" s="17">
        <f t="shared" si="56"/>
        <v>0</v>
      </c>
      <c r="H600" s="2">
        <f t="shared" si="57"/>
        <v>0</v>
      </c>
      <c r="I600" s="3" t="s">
        <v>3714</v>
      </c>
      <c r="J600" s="17">
        <f t="shared" si="58"/>
        <v>0</v>
      </c>
      <c r="K600" s="2">
        <f t="shared" si="59"/>
        <v>0</v>
      </c>
      <c r="L600" s="12" t="s">
        <v>3714</v>
      </c>
    </row>
    <row r="601" spans="1:12" x14ac:dyDescent="0.25">
      <c r="A601" s="11" t="s">
        <v>2000</v>
      </c>
      <c r="B601" s="2" t="str">
        <f t="shared" si="54"/>
        <v>SBF Vox Lp</v>
      </c>
      <c r="C601" s="3">
        <v>600</v>
      </c>
      <c r="D601" s="17" t="s">
        <v>599</v>
      </c>
      <c r="E601" s="2" t="str">
        <f t="shared" si="55"/>
        <v>Syn Vox 2 C</v>
      </c>
      <c r="F601" s="12">
        <v>600</v>
      </c>
      <c r="G601" s="17">
        <f t="shared" si="56"/>
        <v>0</v>
      </c>
      <c r="H601" s="2">
        <f t="shared" si="57"/>
        <v>0</v>
      </c>
      <c r="I601" s="3" t="s">
        <v>3714</v>
      </c>
      <c r="J601" s="17">
        <f t="shared" si="58"/>
        <v>0</v>
      </c>
      <c r="K601" s="2">
        <f t="shared" si="59"/>
        <v>0</v>
      </c>
      <c r="L601" s="12" t="s">
        <v>3714</v>
      </c>
    </row>
    <row r="602" spans="1:12" x14ac:dyDescent="0.25">
      <c r="A602" s="11" t="s">
        <v>2001</v>
      </c>
      <c r="B602" s="2" t="str">
        <f t="shared" si="54"/>
        <v>Aah Formant</v>
      </c>
      <c r="C602" s="3">
        <v>601</v>
      </c>
      <c r="D602" s="17" t="s">
        <v>600</v>
      </c>
      <c r="E602" s="2" t="str">
        <f t="shared" si="55"/>
        <v>Female Ahs A</v>
      </c>
      <c r="F602" s="12">
        <v>601</v>
      </c>
      <c r="G602" s="17">
        <f t="shared" si="56"/>
        <v>726</v>
      </c>
      <c r="H602" s="2">
        <f t="shared" si="57"/>
        <v>125</v>
      </c>
      <c r="I602" s="3" t="s">
        <v>3714</v>
      </c>
      <c r="J602" s="17">
        <f t="shared" si="58"/>
        <v>480</v>
      </c>
      <c r="K602" s="2">
        <f t="shared" si="59"/>
        <v>-121</v>
      </c>
      <c r="L602" s="12" t="s">
        <v>3714</v>
      </c>
    </row>
    <row r="603" spans="1:12" x14ac:dyDescent="0.25">
      <c r="A603" s="11" t="s">
        <v>2002</v>
      </c>
      <c r="B603" s="2" t="str">
        <f t="shared" si="54"/>
        <v>Eeh Formant</v>
      </c>
      <c r="C603" s="3">
        <v>602</v>
      </c>
      <c r="D603" s="17" t="s">
        <v>601</v>
      </c>
      <c r="E603" s="2" t="str">
        <f t="shared" si="55"/>
        <v>Female Ahs B</v>
      </c>
      <c r="F603" s="12">
        <v>602</v>
      </c>
      <c r="G603" s="17">
        <f t="shared" si="56"/>
        <v>727</v>
      </c>
      <c r="H603" s="2">
        <f t="shared" si="57"/>
        <v>125</v>
      </c>
      <c r="I603" s="3" t="s">
        <v>3714</v>
      </c>
      <c r="J603" s="17">
        <f t="shared" si="58"/>
        <v>481</v>
      </c>
      <c r="K603" s="2">
        <f t="shared" si="59"/>
        <v>-121</v>
      </c>
      <c r="L603" s="12" t="s">
        <v>3714</v>
      </c>
    </row>
    <row r="604" spans="1:12" x14ac:dyDescent="0.25">
      <c r="A604" s="11" t="s">
        <v>2003</v>
      </c>
      <c r="B604" s="2" t="str">
        <f t="shared" si="54"/>
        <v>Iih Formant</v>
      </c>
      <c r="C604" s="3">
        <v>603</v>
      </c>
      <c r="D604" s="17" t="s">
        <v>602</v>
      </c>
      <c r="E604" s="2" t="str">
        <f t="shared" si="55"/>
        <v>Female Ahs C</v>
      </c>
      <c r="F604" s="12">
        <v>603</v>
      </c>
      <c r="G604" s="17">
        <f t="shared" si="56"/>
        <v>728</v>
      </c>
      <c r="H604" s="2">
        <f t="shared" si="57"/>
        <v>125</v>
      </c>
      <c r="I604" s="3" t="s">
        <v>3714</v>
      </c>
      <c r="J604" s="17">
        <f t="shared" si="58"/>
        <v>482</v>
      </c>
      <c r="K604" s="2">
        <f t="shared" si="59"/>
        <v>-121</v>
      </c>
      <c r="L604" s="12" t="s">
        <v>3714</v>
      </c>
    </row>
    <row r="605" spans="1:12" x14ac:dyDescent="0.25">
      <c r="A605" s="11" t="s">
        <v>2004</v>
      </c>
      <c r="B605" s="2" t="str">
        <f t="shared" si="54"/>
        <v>Ooh Formant</v>
      </c>
      <c r="C605" s="3">
        <v>604</v>
      </c>
      <c r="D605" s="17" t="s">
        <v>603</v>
      </c>
      <c r="E605" s="2" t="str">
        <f t="shared" si="55"/>
        <v>Female Oos A</v>
      </c>
      <c r="F605" s="12">
        <v>604</v>
      </c>
      <c r="G605" s="17">
        <f t="shared" si="56"/>
        <v>729</v>
      </c>
      <c r="H605" s="2">
        <f t="shared" si="57"/>
        <v>125</v>
      </c>
      <c r="I605" s="3" t="s">
        <v>3714</v>
      </c>
      <c r="J605" s="17">
        <f t="shared" si="58"/>
        <v>483</v>
      </c>
      <c r="K605" s="2">
        <f t="shared" si="59"/>
        <v>-121</v>
      </c>
      <c r="L605" s="12" t="s">
        <v>3714</v>
      </c>
    </row>
    <row r="606" spans="1:12" x14ac:dyDescent="0.25">
      <c r="A606" s="11" t="s">
        <v>2005</v>
      </c>
      <c r="B606" s="2" t="str">
        <f t="shared" si="54"/>
        <v>Uuh Formant</v>
      </c>
      <c r="C606" s="3">
        <v>605</v>
      </c>
      <c r="D606" s="17" t="s">
        <v>604</v>
      </c>
      <c r="E606" s="2" t="str">
        <f t="shared" si="55"/>
        <v>Female Oos B</v>
      </c>
      <c r="F606" s="12">
        <v>605</v>
      </c>
      <c r="G606" s="17">
        <f t="shared" si="56"/>
        <v>730</v>
      </c>
      <c r="H606" s="2">
        <f t="shared" si="57"/>
        <v>125</v>
      </c>
      <c r="I606" s="3" t="s">
        <v>3714</v>
      </c>
      <c r="J606" s="17">
        <f t="shared" si="58"/>
        <v>484</v>
      </c>
      <c r="K606" s="2">
        <f t="shared" si="59"/>
        <v>-121</v>
      </c>
      <c r="L606" s="12" t="s">
        <v>3714</v>
      </c>
    </row>
    <row r="607" spans="1:12" x14ac:dyDescent="0.25">
      <c r="A607" s="11" t="s">
        <v>2006</v>
      </c>
      <c r="B607" s="2" t="str">
        <f t="shared" si="54"/>
        <v>Metal Vox W1</v>
      </c>
      <c r="C607" s="3">
        <v>606</v>
      </c>
      <c r="D607" s="17" t="s">
        <v>605</v>
      </c>
      <c r="E607" s="2" t="str">
        <f t="shared" si="55"/>
        <v>Female Oos C</v>
      </c>
      <c r="F607" s="12">
        <v>606</v>
      </c>
      <c r="G607" s="17">
        <f t="shared" si="56"/>
        <v>731</v>
      </c>
      <c r="H607" s="2">
        <f t="shared" si="57"/>
        <v>125</v>
      </c>
      <c r="I607" s="3" t="s">
        <v>3714</v>
      </c>
      <c r="J607" s="17">
        <f t="shared" si="58"/>
        <v>485</v>
      </c>
      <c r="K607" s="2">
        <f t="shared" si="59"/>
        <v>-121</v>
      </c>
      <c r="L607" s="12" t="s">
        <v>3714</v>
      </c>
    </row>
    <row r="608" spans="1:12" x14ac:dyDescent="0.25">
      <c r="A608" s="11" t="s">
        <v>2007</v>
      </c>
      <c r="B608" s="2" t="str">
        <f t="shared" si="54"/>
        <v>Metal Vox L1</v>
      </c>
      <c r="C608" s="3">
        <v>607</v>
      </c>
      <c r="D608" s="17" t="s">
        <v>606</v>
      </c>
      <c r="E608" s="2" t="str">
        <f t="shared" si="55"/>
        <v>Male Aahs A</v>
      </c>
      <c r="F608" s="12">
        <v>607</v>
      </c>
      <c r="G608" s="17">
        <f t="shared" si="56"/>
        <v>732</v>
      </c>
      <c r="H608" s="2">
        <f t="shared" si="57"/>
        <v>125</v>
      </c>
      <c r="I608" s="3" t="s">
        <v>3714</v>
      </c>
      <c r="J608" s="17">
        <f t="shared" si="58"/>
        <v>486</v>
      </c>
      <c r="K608" s="2">
        <f t="shared" si="59"/>
        <v>-121</v>
      </c>
      <c r="L608" s="12" t="s">
        <v>3714</v>
      </c>
    </row>
    <row r="609" spans="1:12" x14ac:dyDescent="0.25">
      <c r="A609" s="11" t="s">
        <v>2008</v>
      </c>
      <c r="B609" s="2" t="str">
        <f t="shared" si="54"/>
        <v>Metal Vox W2</v>
      </c>
      <c r="C609" s="3">
        <v>608</v>
      </c>
      <c r="D609" s="17" t="s">
        <v>607</v>
      </c>
      <c r="E609" s="2" t="str">
        <f t="shared" si="55"/>
        <v>Male Aahs B</v>
      </c>
      <c r="F609" s="12">
        <v>608</v>
      </c>
      <c r="G609" s="17">
        <f t="shared" si="56"/>
        <v>733</v>
      </c>
      <c r="H609" s="2">
        <f t="shared" si="57"/>
        <v>125</v>
      </c>
      <c r="I609" s="3" t="s">
        <v>3714</v>
      </c>
      <c r="J609" s="17">
        <f t="shared" si="58"/>
        <v>487</v>
      </c>
      <c r="K609" s="2">
        <f t="shared" si="59"/>
        <v>-121</v>
      </c>
      <c r="L609" s="12" t="s">
        <v>3714</v>
      </c>
    </row>
    <row r="610" spans="1:12" x14ac:dyDescent="0.25">
      <c r="A610" s="11" t="s">
        <v>2009</v>
      </c>
      <c r="B610" s="2" t="str">
        <f t="shared" si="54"/>
        <v>Metal Vox L2</v>
      </c>
      <c r="C610" s="3">
        <v>609</v>
      </c>
      <c r="D610" s="17" t="s">
        <v>608</v>
      </c>
      <c r="E610" s="2" t="str">
        <f t="shared" si="55"/>
        <v>Male Aahs C</v>
      </c>
      <c r="F610" s="12">
        <v>609</v>
      </c>
      <c r="G610" s="17">
        <f t="shared" si="56"/>
        <v>734</v>
      </c>
      <c r="H610" s="2">
        <f t="shared" si="57"/>
        <v>125</v>
      </c>
      <c r="I610" s="3" t="s">
        <v>3714</v>
      </c>
      <c r="J610" s="17">
        <f t="shared" si="58"/>
        <v>488</v>
      </c>
      <c r="K610" s="2">
        <f t="shared" si="59"/>
        <v>-121</v>
      </c>
      <c r="L610" s="12" t="s">
        <v>3714</v>
      </c>
    </row>
    <row r="611" spans="1:12" x14ac:dyDescent="0.25">
      <c r="A611" s="11" t="s">
        <v>2010</v>
      </c>
      <c r="B611" s="2" t="str">
        <f t="shared" si="54"/>
        <v>Metal Vox W3</v>
      </c>
      <c r="C611" s="3">
        <v>610</v>
      </c>
      <c r="D611" s="17" t="s">
        <v>609</v>
      </c>
      <c r="E611" s="2" t="str">
        <f t="shared" si="55"/>
        <v>Jazz Doos A</v>
      </c>
      <c r="F611" s="12">
        <v>610</v>
      </c>
      <c r="G611" s="17">
        <f t="shared" si="56"/>
        <v>735</v>
      </c>
      <c r="H611" s="2">
        <f t="shared" si="57"/>
        <v>125</v>
      </c>
      <c r="I611" s="3" t="s">
        <v>3714</v>
      </c>
      <c r="J611" s="17">
        <f t="shared" si="58"/>
        <v>489</v>
      </c>
      <c r="K611" s="2">
        <f t="shared" si="59"/>
        <v>-121</v>
      </c>
      <c r="L611" s="12" t="s">
        <v>3714</v>
      </c>
    </row>
    <row r="612" spans="1:12" x14ac:dyDescent="0.25">
      <c r="A612" s="11" t="s">
        <v>2011</v>
      </c>
      <c r="B612" s="2" t="str">
        <f t="shared" si="54"/>
        <v>Metal Vox L3</v>
      </c>
      <c r="C612" s="3">
        <v>611</v>
      </c>
      <c r="D612" s="17" t="s">
        <v>610</v>
      </c>
      <c r="E612" s="2" t="str">
        <f t="shared" si="55"/>
        <v>Jazz Doos B</v>
      </c>
      <c r="F612" s="12">
        <v>611</v>
      </c>
      <c r="G612" s="17">
        <f t="shared" si="56"/>
        <v>736</v>
      </c>
      <c r="H612" s="2">
        <f t="shared" si="57"/>
        <v>125</v>
      </c>
      <c r="I612" s="3" t="s">
        <v>3714</v>
      </c>
      <c r="J612" s="17">
        <f t="shared" si="58"/>
        <v>490</v>
      </c>
      <c r="K612" s="2">
        <f t="shared" si="59"/>
        <v>-121</v>
      </c>
      <c r="L612" s="12" t="s">
        <v>3714</v>
      </c>
    </row>
    <row r="613" spans="1:12" x14ac:dyDescent="0.25">
      <c r="A613" s="11" t="s">
        <v>2012</v>
      </c>
      <c r="B613" s="2" t="str">
        <f t="shared" si="54"/>
        <v>JD Rattles</v>
      </c>
      <c r="C613" s="3">
        <v>612</v>
      </c>
      <c r="D613" s="17" t="s">
        <v>611</v>
      </c>
      <c r="E613" s="2" t="str">
        <f t="shared" si="55"/>
        <v>Jazz Doos C</v>
      </c>
      <c r="F613" s="12">
        <v>612</v>
      </c>
      <c r="G613" s="17">
        <f t="shared" si="56"/>
        <v>737</v>
      </c>
      <c r="H613" s="2">
        <f t="shared" si="57"/>
        <v>125</v>
      </c>
      <c r="I613" s="3" t="s">
        <v>3714</v>
      </c>
      <c r="J613" s="17">
        <f t="shared" si="58"/>
        <v>491</v>
      </c>
      <c r="K613" s="2">
        <f t="shared" si="59"/>
        <v>-121</v>
      </c>
      <c r="L613" s="12" t="s">
        <v>3714</v>
      </c>
    </row>
    <row r="614" spans="1:12" x14ac:dyDescent="0.25">
      <c r="A614" s="11" t="s">
        <v>2013</v>
      </c>
      <c r="B614" s="2" t="str">
        <f t="shared" si="54"/>
        <v>Xylo Seq.</v>
      </c>
      <c r="C614" s="3">
        <v>613</v>
      </c>
      <c r="D614" s="17" t="s">
        <v>612</v>
      </c>
      <c r="E614" s="2" t="str">
        <f t="shared" si="55"/>
        <v>Jz Doos Lp A</v>
      </c>
      <c r="F614" s="12">
        <v>613</v>
      </c>
      <c r="G614" s="17">
        <f t="shared" si="56"/>
        <v>738</v>
      </c>
      <c r="H614" s="2">
        <f t="shared" si="57"/>
        <v>125</v>
      </c>
      <c r="I614" s="3" t="s">
        <v>3714</v>
      </c>
      <c r="J614" s="17">
        <f t="shared" si="58"/>
        <v>492</v>
      </c>
      <c r="K614" s="2">
        <f t="shared" si="59"/>
        <v>-121</v>
      </c>
      <c r="L614" s="12" t="s">
        <v>3714</v>
      </c>
    </row>
    <row r="615" spans="1:12" x14ac:dyDescent="0.25">
      <c r="A615" s="11" t="s">
        <v>2014</v>
      </c>
      <c r="B615" s="2" t="str">
        <f t="shared" si="54"/>
        <v>JD Tin Wave</v>
      </c>
      <c r="C615" s="3">
        <v>614</v>
      </c>
      <c r="D615" s="17" t="s">
        <v>613</v>
      </c>
      <c r="E615" s="2" t="str">
        <f t="shared" si="55"/>
        <v>Jz Doos Lp B</v>
      </c>
      <c r="F615" s="12">
        <v>614</v>
      </c>
      <c r="G615" s="17">
        <f t="shared" si="56"/>
        <v>0</v>
      </c>
      <c r="H615" s="2">
        <f t="shared" si="57"/>
        <v>0</v>
      </c>
      <c r="I615" s="3" t="s">
        <v>3714</v>
      </c>
      <c r="J615" s="17">
        <f t="shared" si="58"/>
        <v>493</v>
      </c>
      <c r="K615" s="2">
        <f t="shared" si="59"/>
        <v>-121</v>
      </c>
      <c r="L615" s="12" t="s">
        <v>3714</v>
      </c>
    </row>
    <row r="616" spans="1:12" x14ac:dyDescent="0.25">
      <c r="A616" s="11" t="s">
        <v>2015</v>
      </c>
      <c r="B616" s="2" t="str">
        <f t="shared" si="54"/>
        <v>JD Anklungs</v>
      </c>
      <c r="C616" s="3">
        <v>615</v>
      </c>
      <c r="D616" s="17" t="s">
        <v>614</v>
      </c>
      <c r="E616" s="2" t="str">
        <f t="shared" si="55"/>
        <v>Jz Doos Lp C</v>
      </c>
      <c r="F616" s="12">
        <v>615</v>
      </c>
      <c r="G616" s="17">
        <f t="shared" si="56"/>
        <v>739</v>
      </c>
      <c r="H616" s="2">
        <f t="shared" si="57"/>
        <v>124</v>
      </c>
      <c r="I616" s="3" t="s">
        <v>3714</v>
      </c>
      <c r="J616" s="17">
        <f t="shared" si="58"/>
        <v>494</v>
      </c>
      <c r="K616" s="2">
        <f t="shared" si="59"/>
        <v>-121</v>
      </c>
      <c r="L616" s="12" t="s">
        <v>3714</v>
      </c>
    </row>
    <row r="617" spans="1:12" x14ac:dyDescent="0.25">
      <c r="A617" s="11" t="s">
        <v>2016</v>
      </c>
      <c r="B617" s="2" t="str">
        <f t="shared" si="54"/>
        <v>JD Shami</v>
      </c>
      <c r="C617" s="3">
        <v>616</v>
      </c>
      <c r="D617" s="17" t="s">
        <v>615</v>
      </c>
      <c r="E617" s="2" t="str">
        <f t="shared" si="55"/>
        <v>Gospel Hum A</v>
      </c>
      <c r="F617" s="12">
        <v>616</v>
      </c>
      <c r="G617" s="17">
        <f t="shared" si="56"/>
        <v>740</v>
      </c>
      <c r="H617" s="2">
        <f t="shared" si="57"/>
        <v>124</v>
      </c>
      <c r="I617" s="3" t="s">
        <v>3714</v>
      </c>
      <c r="J617" s="17">
        <f t="shared" si="58"/>
        <v>495</v>
      </c>
      <c r="K617" s="2">
        <f t="shared" si="59"/>
        <v>-121</v>
      </c>
      <c r="L617" s="12" t="s">
        <v>3714</v>
      </c>
    </row>
    <row r="618" spans="1:12" x14ac:dyDescent="0.25">
      <c r="A618" s="11" t="s">
        <v>2017</v>
      </c>
      <c r="B618" s="2" t="str">
        <f t="shared" si="54"/>
        <v>SynBassClick</v>
      </c>
      <c r="C618" s="3">
        <v>617</v>
      </c>
      <c r="D618" s="17" t="s">
        <v>616</v>
      </c>
      <c r="E618" s="2" t="str">
        <f t="shared" si="55"/>
        <v>Gospel Hum B</v>
      </c>
      <c r="F618" s="12">
        <v>617</v>
      </c>
      <c r="G618" s="17">
        <f t="shared" si="56"/>
        <v>741</v>
      </c>
      <c r="H618" s="2">
        <f t="shared" si="57"/>
        <v>124</v>
      </c>
      <c r="I618" s="3" t="s">
        <v>3714</v>
      </c>
      <c r="J618" s="17">
        <f t="shared" si="58"/>
        <v>496</v>
      </c>
      <c r="K618" s="2">
        <f t="shared" si="59"/>
        <v>-121</v>
      </c>
      <c r="L618" s="12" t="s">
        <v>3714</v>
      </c>
    </row>
    <row r="619" spans="1:12" x14ac:dyDescent="0.25">
      <c r="A619" s="11" t="s">
        <v>2018</v>
      </c>
      <c r="B619" s="2" t="str">
        <f t="shared" si="54"/>
        <v>JD EP Atk</v>
      </c>
      <c r="C619" s="3">
        <v>618</v>
      </c>
      <c r="D619" s="17" t="s">
        <v>617</v>
      </c>
      <c r="E619" s="2" t="str">
        <f t="shared" si="55"/>
        <v>Gospel Hum C</v>
      </c>
      <c r="F619" s="12">
        <v>618</v>
      </c>
      <c r="G619" s="17">
        <f t="shared" si="56"/>
        <v>742</v>
      </c>
      <c r="H619" s="2">
        <f t="shared" si="57"/>
        <v>124</v>
      </c>
      <c r="I619" s="3" t="s">
        <v>3714</v>
      </c>
      <c r="J619" s="17">
        <f t="shared" si="58"/>
        <v>497</v>
      </c>
      <c r="K619" s="2">
        <f t="shared" si="59"/>
        <v>-121</v>
      </c>
      <c r="L619" s="12" t="s">
        <v>3714</v>
      </c>
    </row>
    <row r="620" spans="1:12" x14ac:dyDescent="0.25">
      <c r="A620" s="11" t="s">
        <v>2019</v>
      </c>
      <c r="B620" s="2" t="str">
        <f t="shared" si="54"/>
        <v>EP Release</v>
      </c>
      <c r="C620" s="3">
        <v>619</v>
      </c>
      <c r="D620" s="17" t="s">
        <v>618</v>
      </c>
      <c r="E620" s="2" t="str">
        <f t="shared" si="55"/>
        <v>Soprano Vox</v>
      </c>
      <c r="F620" s="12">
        <v>619</v>
      </c>
      <c r="G620" s="17">
        <f t="shared" si="56"/>
        <v>0</v>
      </c>
      <c r="H620" s="2">
        <f t="shared" si="57"/>
        <v>0</v>
      </c>
      <c r="I620" s="3" t="s">
        <v>3714</v>
      </c>
      <c r="J620" s="17">
        <f t="shared" si="58"/>
        <v>498</v>
      </c>
      <c r="K620" s="2">
        <f t="shared" si="59"/>
        <v>-121</v>
      </c>
      <c r="L620" s="12" t="s">
        <v>3714</v>
      </c>
    </row>
    <row r="621" spans="1:12" x14ac:dyDescent="0.25">
      <c r="A621" s="11" t="s">
        <v>2020</v>
      </c>
      <c r="B621" s="2" t="str">
        <f t="shared" si="54"/>
        <v>Org Click 1</v>
      </c>
      <c r="C621" s="3">
        <v>620</v>
      </c>
      <c r="D621" s="17" t="s">
        <v>619</v>
      </c>
      <c r="E621" s="2" t="str">
        <f t="shared" si="55"/>
        <v>Kalimba</v>
      </c>
      <c r="F621" s="12">
        <v>620</v>
      </c>
      <c r="G621" s="17">
        <f t="shared" si="56"/>
        <v>744</v>
      </c>
      <c r="H621" s="2">
        <f t="shared" si="57"/>
        <v>124</v>
      </c>
      <c r="I621" s="3" t="s">
        <v>3714</v>
      </c>
      <c r="J621" s="17">
        <f t="shared" si="58"/>
        <v>499</v>
      </c>
      <c r="K621" s="2">
        <f t="shared" si="59"/>
        <v>-121</v>
      </c>
      <c r="L621" s="12" t="s">
        <v>3714</v>
      </c>
    </row>
    <row r="622" spans="1:12" x14ac:dyDescent="0.25">
      <c r="A622" s="11" t="s">
        <v>2021</v>
      </c>
      <c r="B622" s="2" t="str">
        <f t="shared" si="54"/>
        <v>Org Click 2</v>
      </c>
      <c r="C622" s="3">
        <v>621</v>
      </c>
      <c r="D622" s="17" t="s">
        <v>620</v>
      </c>
      <c r="E622" s="2" t="str">
        <f t="shared" si="55"/>
        <v>JD Klmba Atk</v>
      </c>
      <c r="F622" s="12">
        <v>621</v>
      </c>
      <c r="G622" s="17">
        <f t="shared" si="56"/>
        <v>745</v>
      </c>
      <c r="H622" s="2">
        <f t="shared" si="57"/>
        <v>124</v>
      </c>
      <c r="I622" s="3" t="s">
        <v>3714</v>
      </c>
      <c r="J622" s="17">
        <f t="shared" si="58"/>
        <v>500</v>
      </c>
      <c r="K622" s="2">
        <f t="shared" si="59"/>
        <v>-121</v>
      </c>
      <c r="L622" s="12" t="s">
        <v>3714</v>
      </c>
    </row>
    <row r="623" spans="1:12" x14ac:dyDescent="0.25">
      <c r="A623" s="11" t="s">
        <v>2022</v>
      </c>
      <c r="B623" s="2" t="str">
        <f t="shared" si="54"/>
        <v>Org Click 3</v>
      </c>
      <c r="C623" s="3">
        <v>622</v>
      </c>
      <c r="D623" s="17" t="s">
        <v>621</v>
      </c>
      <c r="E623" s="2" t="str">
        <f t="shared" si="55"/>
        <v>JD Wood Crak</v>
      </c>
      <c r="F623" s="12">
        <v>622</v>
      </c>
      <c r="G623" s="17">
        <f t="shared" si="56"/>
        <v>746</v>
      </c>
      <c r="H623" s="2">
        <f t="shared" si="57"/>
        <v>124</v>
      </c>
      <c r="I623" s="3" t="s">
        <v>3714</v>
      </c>
      <c r="J623" s="17">
        <f t="shared" si="58"/>
        <v>501</v>
      </c>
      <c r="K623" s="2">
        <f t="shared" si="59"/>
        <v>-121</v>
      </c>
      <c r="L623" s="12" t="s">
        <v>3714</v>
      </c>
    </row>
    <row r="624" spans="1:12" x14ac:dyDescent="0.25">
      <c r="A624" s="11" t="s">
        <v>2023</v>
      </c>
      <c r="B624" s="2" t="str">
        <f t="shared" si="54"/>
        <v>Org Click 4</v>
      </c>
      <c r="C624" s="3">
        <v>623</v>
      </c>
      <c r="D624" s="17" t="s">
        <v>622</v>
      </c>
      <c r="E624" s="2" t="str">
        <f t="shared" si="55"/>
        <v>JD Gamelan 1</v>
      </c>
      <c r="F624" s="12">
        <v>623</v>
      </c>
      <c r="G624" s="17">
        <f t="shared" si="56"/>
        <v>747</v>
      </c>
      <c r="H624" s="2">
        <f t="shared" si="57"/>
        <v>124</v>
      </c>
      <c r="I624" s="3" t="s">
        <v>3714</v>
      </c>
      <c r="J624" s="17">
        <f t="shared" si="58"/>
        <v>502</v>
      </c>
      <c r="K624" s="2">
        <f t="shared" si="59"/>
        <v>-121</v>
      </c>
      <c r="L624" s="12" t="s">
        <v>3714</v>
      </c>
    </row>
    <row r="625" spans="1:12" x14ac:dyDescent="0.25">
      <c r="A625" s="11" t="s">
        <v>2024</v>
      </c>
      <c r="B625" s="2" t="str">
        <f t="shared" si="54"/>
        <v>Org Click 5</v>
      </c>
      <c r="C625" s="3">
        <v>624</v>
      </c>
      <c r="D625" s="17" t="s">
        <v>623</v>
      </c>
      <c r="E625" s="2" t="str">
        <f t="shared" si="55"/>
        <v>JD Gamelan 2</v>
      </c>
      <c r="F625" s="12">
        <v>624</v>
      </c>
      <c r="G625" s="17">
        <f t="shared" si="56"/>
        <v>748</v>
      </c>
      <c r="H625" s="2">
        <f t="shared" si="57"/>
        <v>124</v>
      </c>
      <c r="I625" s="3" t="s">
        <v>3714</v>
      </c>
      <c r="J625" s="17">
        <f t="shared" si="58"/>
        <v>503</v>
      </c>
      <c r="K625" s="2">
        <f t="shared" si="59"/>
        <v>-121</v>
      </c>
      <c r="L625" s="12" t="s">
        <v>3714</v>
      </c>
    </row>
    <row r="626" spans="1:12" x14ac:dyDescent="0.25">
      <c r="A626" s="11" t="s">
        <v>2025</v>
      </c>
      <c r="B626" s="2" t="str">
        <f t="shared" si="54"/>
        <v>Org Leakage</v>
      </c>
      <c r="C626" s="3">
        <v>625</v>
      </c>
      <c r="D626" s="17" t="s">
        <v>624</v>
      </c>
      <c r="E626" s="2" t="str">
        <f t="shared" si="55"/>
        <v>JD Log Drum</v>
      </c>
      <c r="F626" s="12">
        <v>625</v>
      </c>
      <c r="G626" s="17">
        <f t="shared" si="56"/>
        <v>0</v>
      </c>
      <c r="H626" s="2">
        <f t="shared" si="57"/>
        <v>0</v>
      </c>
      <c r="I626" s="3" t="s">
        <v>3714</v>
      </c>
      <c r="J626" s="17">
        <f t="shared" si="58"/>
        <v>505</v>
      </c>
      <c r="K626" s="2">
        <f t="shared" si="59"/>
        <v>-120</v>
      </c>
      <c r="L626" s="12" t="s">
        <v>3714</v>
      </c>
    </row>
    <row r="627" spans="1:12" x14ac:dyDescent="0.25">
      <c r="A627" s="11" t="s">
        <v>2026</v>
      </c>
      <c r="B627" s="2" t="str">
        <f t="shared" si="54"/>
        <v>MG Noise Fx</v>
      </c>
      <c r="C627" s="3">
        <v>626</v>
      </c>
      <c r="D627" s="17" t="s">
        <v>625</v>
      </c>
      <c r="E627" s="2" t="str">
        <f t="shared" si="55"/>
        <v>JD Xylo</v>
      </c>
      <c r="F627" s="12">
        <v>626</v>
      </c>
      <c r="G627" s="17">
        <f t="shared" si="56"/>
        <v>0</v>
      </c>
      <c r="H627" s="2">
        <f t="shared" si="57"/>
        <v>0</v>
      </c>
      <c r="I627" s="3" t="s">
        <v>3714</v>
      </c>
      <c r="J627" s="17">
        <f t="shared" si="58"/>
        <v>508</v>
      </c>
      <c r="K627" s="2">
        <f t="shared" si="59"/>
        <v>-118</v>
      </c>
      <c r="L627" s="12" t="s">
        <v>3714</v>
      </c>
    </row>
    <row r="628" spans="1:12" x14ac:dyDescent="0.25">
      <c r="A628" s="11" t="s">
        <v>2027</v>
      </c>
      <c r="B628" s="2" t="str">
        <f t="shared" si="54"/>
        <v>JD Sm Metal</v>
      </c>
      <c r="C628" s="3">
        <v>627</v>
      </c>
      <c r="D628" s="17" t="s">
        <v>626</v>
      </c>
      <c r="E628" s="2" t="str">
        <f t="shared" si="55"/>
        <v>Marimba</v>
      </c>
      <c r="F628" s="12">
        <v>627</v>
      </c>
      <c r="G628" s="17">
        <f t="shared" si="56"/>
        <v>749</v>
      </c>
      <c r="H628" s="2">
        <f t="shared" si="57"/>
        <v>122</v>
      </c>
      <c r="I628" s="3" t="s">
        <v>3714</v>
      </c>
      <c r="J628" s="17">
        <f t="shared" si="58"/>
        <v>509</v>
      </c>
      <c r="K628" s="2">
        <f t="shared" si="59"/>
        <v>-118</v>
      </c>
      <c r="L628" s="12" t="s">
        <v>3714</v>
      </c>
    </row>
    <row r="629" spans="1:12" x14ac:dyDescent="0.25">
      <c r="A629" s="11" t="s">
        <v>2028</v>
      </c>
      <c r="B629" s="2" t="str">
        <f t="shared" si="54"/>
        <v>JDStrikePole</v>
      </c>
      <c r="C629" s="3">
        <v>628</v>
      </c>
      <c r="D629" s="17" t="s">
        <v>627</v>
      </c>
      <c r="E629" s="2" t="str">
        <f t="shared" si="55"/>
        <v>Vibraphone</v>
      </c>
      <c r="F629" s="12">
        <v>628</v>
      </c>
      <c r="G629" s="17">
        <f t="shared" si="56"/>
        <v>0</v>
      </c>
      <c r="H629" s="2">
        <f t="shared" si="57"/>
        <v>0</v>
      </c>
      <c r="I629" s="3" t="s">
        <v>3714</v>
      </c>
      <c r="J629" s="17">
        <f t="shared" si="58"/>
        <v>510</v>
      </c>
      <c r="K629" s="2">
        <f t="shared" si="59"/>
        <v>-118</v>
      </c>
      <c r="L629" s="12" t="s">
        <v>3714</v>
      </c>
    </row>
    <row r="630" spans="1:12" x14ac:dyDescent="0.25">
      <c r="A630" s="11" t="s">
        <v>2029</v>
      </c>
      <c r="B630" s="2" t="str">
        <f t="shared" si="54"/>
        <v>Ice Crash</v>
      </c>
      <c r="C630" s="3">
        <v>629</v>
      </c>
      <c r="D630" s="17" t="s">
        <v>628</v>
      </c>
      <c r="E630" s="2" t="str">
        <f t="shared" si="55"/>
        <v>Glocken</v>
      </c>
      <c r="F630" s="12">
        <v>629</v>
      </c>
      <c r="G630" s="17">
        <f t="shared" si="56"/>
        <v>750</v>
      </c>
      <c r="H630" s="2">
        <f t="shared" si="57"/>
        <v>121</v>
      </c>
      <c r="I630" s="3" t="s">
        <v>3714</v>
      </c>
      <c r="J630" s="17">
        <f t="shared" si="58"/>
        <v>511</v>
      </c>
      <c r="K630" s="2">
        <f t="shared" si="59"/>
        <v>-118</v>
      </c>
      <c r="L630" s="12" t="s">
        <v>3714</v>
      </c>
    </row>
    <row r="631" spans="1:12" x14ac:dyDescent="0.25">
      <c r="A631" s="11" t="s">
        <v>2030</v>
      </c>
      <c r="B631" s="2" t="str">
        <f t="shared" si="54"/>
        <v>JD Switch</v>
      </c>
      <c r="C631" s="3">
        <v>630</v>
      </c>
      <c r="D631" s="17" t="s">
        <v>629</v>
      </c>
      <c r="E631" s="2" t="str">
        <f t="shared" si="55"/>
        <v>Steel Drums</v>
      </c>
      <c r="F631" s="12">
        <v>630</v>
      </c>
      <c r="G631" s="17">
        <f t="shared" si="56"/>
        <v>751</v>
      </c>
      <c r="H631" s="2">
        <f t="shared" si="57"/>
        <v>121</v>
      </c>
      <c r="I631" s="3" t="s">
        <v>3714</v>
      </c>
      <c r="J631" s="17">
        <f t="shared" si="58"/>
        <v>512</v>
      </c>
      <c r="K631" s="2">
        <f t="shared" si="59"/>
        <v>-118</v>
      </c>
      <c r="L631" s="12" t="s">
        <v>3714</v>
      </c>
    </row>
    <row r="632" spans="1:12" x14ac:dyDescent="0.25">
      <c r="A632" s="11" t="s">
        <v>2031</v>
      </c>
      <c r="B632" s="2" t="str">
        <f t="shared" si="54"/>
        <v>JD Tuba Slap</v>
      </c>
      <c r="C632" s="3">
        <v>631</v>
      </c>
      <c r="D632" s="17" t="s">
        <v>630</v>
      </c>
      <c r="E632" s="2" t="str">
        <f t="shared" si="55"/>
        <v>D-50 Bell A</v>
      </c>
      <c r="F632" s="12">
        <v>631</v>
      </c>
      <c r="G632" s="17">
        <f t="shared" si="56"/>
        <v>752</v>
      </c>
      <c r="H632" s="2">
        <f t="shared" si="57"/>
        <v>121</v>
      </c>
      <c r="I632" s="3" t="s">
        <v>3714</v>
      </c>
      <c r="J632" s="17">
        <f t="shared" si="58"/>
        <v>515</v>
      </c>
      <c r="K632" s="2">
        <f t="shared" si="59"/>
        <v>-116</v>
      </c>
      <c r="L632" s="12" t="s">
        <v>3714</v>
      </c>
    </row>
    <row r="633" spans="1:12" x14ac:dyDescent="0.25">
      <c r="A633" s="11" t="s">
        <v>2032</v>
      </c>
      <c r="B633" s="2" t="str">
        <f t="shared" si="54"/>
        <v>JD Plink</v>
      </c>
      <c r="C633" s="3">
        <v>632</v>
      </c>
      <c r="D633" s="17" t="s">
        <v>631</v>
      </c>
      <c r="E633" s="2" t="str">
        <f t="shared" si="55"/>
        <v>D-50 Bell B</v>
      </c>
      <c r="F633" s="12">
        <v>632</v>
      </c>
      <c r="G633" s="17">
        <f t="shared" si="56"/>
        <v>753</v>
      </c>
      <c r="H633" s="2">
        <f t="shared" si="57"/>
        <v>121</v>
      </c>
      <c r="I633" s="3" t="s">
        <v>3714</v>
      </c>
      <c r="J633" s="17">
        <f t="shared" si="58"/>
        <v>516</v>
      </c>
      <c r="K633" s="2">
        <f t="shared" si="59"/>
        <v>-116</v>
      </c>
      <c r="L633" s="12" t="s">
        <v>3714</v>
      </c>
    </row>
    <row r="634" spans="1:12" x14ac:dyDescent="0.25">
      <c r="A634" s="11" t="s">
        <v>2033</v>
      </c>
      <c r="B634" s="2" t="str">
        <f t="shared" si="54"/>
        <v>JD Plunk</v>
      </c>
      <c r="C634" s="3">
        <v>633</v>
      </c>
      <c r="D634" s="17" t="s">
        <v>632</v>
      </c>
      <c r="E634" s="2" t="str">
        <f t="shared" si="55"/>
        <v>D-50 Bell C</v>
      </c>
      <c r="F634" s="12">
        <v>633</v>
      </c>
      <c r="G634" s="17">
        <f t="shared" si="56"/>
        <v>754</v>
      </c>
      <c r="H634" s="2">
        <f t="shared" si="57"/>
        <v>121</v>
      </c>
      <c r="I634" s="3" t="s">
        <v>3714</v>
      </c>
      <c r="J634" s="17">
        <f t="shared" si="58"/>
        <v>517</v>
      </c>
      <c r="K634" s="2">
        <f t="shared" si="59"/>
        <v>-116</v>
      </c>
      <c r="L634" s="12" t="s">
        <v>3714</v>
      </c>
    </row>
    <row r="635" spans="1:12" x14ac:dyDescent="0.25">
      <c r="A635" s="11" t="s">
        <v>2034</v>
      </c>
      <c r="B635" s="2" t="str">
        <f t="shared" si="54"/>
        <v>TVF Trigger</v>
      </c>
      <c r="C635" s="3">
        <v>634</v>
      </c>
      <c r="D635" s="17" t="s">
        <v>633</v>
      </c>
      <c r="E635" s="2" t="str">
        <f t="shared" si="55"/>
        <v>D-50 Bell Lp</v>
      </c>
      <c r="F635" s="12">
        <v>634</v>
      </c>
      <c r="G635" s="17">
        <f t="shared" si="56"/>
        <v>755</v>
      </c>
      <c r="H635" s="2">
        <f t="shared" si="57"/>
        <v>121</v>
      </c>
      <c r="I635" s="3" t="s">
        <v>3714</v>
      </c>
      <c r="J635" s="17">
        <f t="shared" si="58"/>
        <v>518</v>
      </c>
      <c r="K635" s="2">
        <f t="shared" si="59"/>
        <v>-116</v>
      </c>
      <c r="L635" s="12" t="s">
        <v>3714</v>
      </c>
    </row>
    <row r="636" spans="1:12" x14ac:dyDescent="0.25">
      <c r="A636" s="11" t="s">
        <v>2035</v>
      </c>
      <c r="B636" s="2" t="str">
        <f t="shared" si="54"/>
        <v>Cutting Nz</v>
      </c>
      <c r="C636" s="3">
        <v>635</v>
      </c>
      <c r="D636" s="17" t="s">
        <v>634</v>
      </c>
      <c r="E636" s="2" t="str">
        <f t="shared" si="55"/>
        <v>Agogo Bell</v>
      </c>
      <c r="F636" s="12">
        <v>635</v>
      </c>
      <c r="G636" s="17">
        <f t="shared" si="56"/>
        <v>760</v>
      </c>
      <c r="H636" s="2">
        <f t="shared" si="57"/>
        <v>125</v>
      </c>
      <c r="I636" s="3" t="s">
        <v>3714</v>
      </c>
      <c r="J636" s="17">
        <f t="shared" si="58"/>
        <v>519</v>
      </c>
      <c r="K636" s="2">
        <f t="shared" si="59"/>
        <v>-116</v>
      </c>
      <c r="L636" s="12" t="s">
        <v>3714</v>
      </c>
    </row>
    <row r="637" spans="1:12" x14ac:dyDescent="0.25">
      <c r="A637" s="11" t="s">
        <v>2036</v>
      </c>
      <c r="B637" s="2" t="str">
        <f t="shared" si="54"/>
        <v>Ac.Bass Body</v>
      </c>
      <c r="C637" s="3">
        <v>636</v>
      </c>
      <c r="D637" s="17" t="s">
        <v>635</v>
      </c>
      <c r="E637" s="2" t="str">
        <f t="shared" si="55"/>
        <v>Agogo 2 Hi</v>
      </c>
      <c r="F637" s="12">
        <v>636</v>
      </c>
      <c r="G637" s="17">
        <f t="shared" si="56"/>
        <v>761</v>
      </c>
      <c r="H637" s="2">
        <f t="shared" si="57"/>
        <v>125</v>
      </c>
      <c r="I637" s="3" t="s">
        <v>3714</v>
      </c>
      <c r="J637" s="17">
        <f t="shared" si="58"/>
        <v>0</v>
      </c>
      <c r="K637" s="2">
        <f t="shared" si="59"/>
        <v>0</v>
      </c>
      <c r="L637" s="12" t="s">
        <v>3714</v>
      </c>
    </row>
    <row r="638" spans="1:12" x14ac:dyDescent="0.25">
      <c r="A638" s="11" t="s">
        <v>2037</v>
      </c>
      <c r="B638" s="2" t="str">
        <f t="shared" si="54"/>
        <v>Flute Pad Nz</v>
      </c>
      <c r="C638" s="3">
        <v>637</v>
      </c>
      <c r="D638" s="17" t="s">
        <v>636</v>
      </c>
      <c r="E638" s="2" t="str">
        <f t="shared" si="55"/>
        <v>Agogo 2 Low</v>
      </c>
      <c r="F638" s="12">
        <v>637</v>
      </c>
      <c r="G638" s="17">
        <f t="shared" si="56"/>
        <v>762</v>
      </c>
      <c r="H638" s="2">
        <f t="shared" si="57"/>
        <v>125</v>
      </c>
      <c r="I638" s="3" t="s">
        <v>3714</v>
      </c>
      <c r="J638" s="17">
        <f t="shared" si="58"/>
        <v>0</v>
      </c>
      <c r="K638" s="2">
        <f t="shared" si="59"/>
        <v>0</v>
      </c>
      <c r="L638" s="12" t="s">
        <v>3714</v>
      </c>
    </row>
    <row r="639" spans="1:12" x14ac:dyDescent="0.25">
      <c r="A639" s="11" t="s">
        <v>2038</v>
      </c>
      <c r="B639" s="2" t="str">
        <f t="shared" si="54"/>
        <v>Applause</v>
      </c>
      <c r="C639" s="3">
        <v>638</v>
      </c>
      <c r="D639" s="17" t="s">
        <v>637</v>
      </c>
      <c r="E639" s="2" t="str">
        <f t="shared" si="55"/>
        <v>Finger Bell</v>
      </c>
      <c r="F639" s="12">
        <v>638</v>
      </c>
      <c r="G639" s="17">
        <f t="shared" si="56"/>
        <v>763</v>
      </c>
      <c r="H639" s="2">
        <f t="shared" si="57"/>
        <v>125</v>
      </c>
      <c r="I639" s="3" t="s">
        <v>3714</v>
      </c>
      <c r="J639" s="17">
        <f t="shared" si="58"/>
        <v>520</v>
      </c>
      <c r="K639" s="2">
        <f t="shared" si="59"/>
        <v>-118</v>
      </c>
      <c r="L639" s="12" t="s">
        <v>3714</v>
      </c>
    </row>
    <row r="640" spans="1:12" x14ac:dyDescent="0.25">
      <c r="A640" s="11" t="s">
        <v>2039</v>
      </c>
      <c r="B640" s="2" t="str">
        <f t="shared" si="54"/>
        <v>River</v>
      </c>
      <c r="C640" s="3">
        <v>639</v>
      </c>
      <c r="D640" s="17" t="s">
        <v>638</v>
      </c>
      <c r="E640" s="2" t="str">
        <f t="shared" si="55"/>
        <v>JD Cowbell</v>
      </c>
      <c r="F640" s="12">
        <v>639</v>
      </c>
      <c r="G640" s="17">
        <f t="shared" si="56"/>
        <v>764</v>
      </c>
      <c r="H640" s="2">
        <f t="shared" si="57"/>
        <v>125</v>
      </c>
      <c r="I640" s="3" t="s">
        <v>3714</v>
      </c>
      <c r="J640" s="17">
        <f t="shared" si="58"/>
        <v>521</v>
      </c>
      <c r="K640" s="2">
        <f t="shared" si="59"/>
        <v>-118</v>
      </c>
      <c r="L640" s="12" t="s">
        <v>3714</v>
      </c>
    </row>
    <row r="641" spans="1:12" x14ac:dyDescent="0.25">
      <c r="A641" s="11" t="s">
        <v>2040</v>
      </c>
      <c r="B641" s="2" t="str">
        <f t="shared" si="54"/>
        <v>Thunder</v>
      </c>
      <c r="C641" s="3">
        <v>640</v>
      </c>
      <c r="D641" s="17" t="s">
        <v>639</v>
      </c>
      <c r="E641" s="2" t="str">
        <f t="shared" si="55"/>
        <v>Tubular Bell</v>
      </c>
      <c r="F641" s="12">
        <v>640</v>
      </c>
      <c r="G641" s="17">
        <f t="shared" si="56"/>
        <v>765</v>
      </c>
      <c r="H641" s="2">
        <f t="shared" si="57"/>
        <v>125</v>
      </c>
      <c r="I641" s="3" t="s">
        <v>3714</v>
      </c>
      <c r="J641" s="17">
        <f t="shared" si="58"/>
        <v>522</v>
      </c>
      <c r="K641" s="2">
        <f t="shared" si="59"/>
        <v>-118</v>
      </c>
      <c r="L641" s="12" t="s">
        <v>3714</v>
      </c>
    </row>
    <row r="642" spans="1:12" x14ac:dyDescent="0.25">
      <c r="A642" s="11" t="s">
        <v>2041</v>
      </c>
      <c r="B642" s="2" t="str">
        <f t="shared" ref="B642:B705" si="60">_xlfn.TEXTAFTER(A642," ",1)</f>
        <v>Monsoon</v>
      </c>
      <c r="C642" s="3">
        <v>641</v>
      </c>
      <c r="D642" s="17" t="s">
        <v>640</v>
      </c>
      <c r="E642" s="2" t="str">
        <f t="shared" ref="E642:E705" si="61">_xlfn.TEXTAFTER(D642," ",1)</f>
        <v>Church Bell</v>
      </c>
      <c r="F642" s="12">
        <v>641</v>
      </c>
      <c r="G642" s="17">
        <f t="shared" si="56"/>
        <v>766</v>
      </c>
      <c r="H642" s="2">
        <f t="shared" si="57"/>
        <v>125</v>
      </c>
      <c r="I642" s="3" t="s">
        <v>3714</v>
      </c>
      <c r="J642" s="17">
        <f t="shared" si="58"/>
        <v>523</v>
      </c>
      <c r="K642" s="2">
        <f t="shared" si="59"/>
        <v>-118</v>
      </c>
      <c r="L642" s="12" t="s">
        <v>3714</v>
      </c>
    </row>
    <row r="643" spans="1:12" x14ac:dyDescent="0.25">
      <c r="A643" s="11" t="s">
        <v>2042</v>
      </c>
      <c r="B643" s="2" t="str">
        <f t="shared" si="60"/>
        <v>Stream</v>
      </c>
      <c r="C643" s="3">
        <v>642</v>
      </c>
      <c r="D643" s="17" t="s">
        <v>641</v>
      </c>
      <c r="E643" s="2" t="str">
        <f t="shared" si="61"/>
        <v>Mild CanWave</v>
      </c>
      <c r="F643" s="12">
        <v>642</v>
      </c>
      <c r="G643" s="17">
        <f t="shared" ref="G643:G706" si="62">_xlfn.IFNA(_xlfn.XMATCH(B643,E$2:E$1402,0,1),0)</f>
        <v>767</v>
      </c>
      <c r="H643" s="2">
        <f t="shared" ref="H643:H706" si="63">IF(G643=0,0,G643-C643)</f>
        <v>125</v>
      </c>
      <c r="I643" s="3" t="s">
        <v>3714</v>
      </c>
      <c r="J643" s="17">
        <f t="shared" ref="J643:J706" si="64">_xlfn.IFNA(_xlfn.XMATCH(E643,B$2:B$1229,0,1),0)</f>
        <v>524</v>
      </c>
      <c r="K643" s="2">
        <f t="shared" ref="K643:K706" si="65">IF(J643=0,0,J643-F643)</f>
        <v>-118</v>
      </c>
      <c r="L643" s="12" t="s">
        <v>3714</v>
      </c>
    </row>
    <row r="644" spans="1:12" x14ac:dyDescent="0.25">
      <c r="A644" s="11" t="s">
        <v>2043</v>
      </c>
      <c r="B644" s="2" t="str">
        <f t="shared" si="60"/>
        <v>Bubble</v>
      </c>
      <c r="C644" s="3">
        <v>643</v>
      </c>
      <c r="D644" s="17" t="s">
        <v>642</v>
      </c>
      <c r="E644" s="2" t="str">
        <f t="shared" si="61"/>
        <v>JD Crystal</v>
      </c>
      <c r="F644" s="12">
        <v>643</v>
      </c>
      <c r="G644" s="17">
        <f t="shared" si="62"/>
        <v>768</v>
      </c>
      <c r="H644" s="2">
        <f t="shared" si="63"/>
        <v>125</v>
      </c>
      <c r="I644" s="3" t="s">
        <v>3714</v>
      </c>
      <c r="J644" s="17">
        <f t="shared" si="64"/>
        <v>525</v>
      </c>
      <c r="K644" s="2">
        <f t="shared" si="65"/>
        <v>-118</v>
      </c>
      <c r="L644" s="12" t="s">
        <v>3714</v>
      </c>
    </row>
    <row r="645" spans="1:12" x14ac:dyDescent="0.25">
      <c r="A645" s="11" t="s">
        <v>2044</v>
      </c>
      <c r="B645" s="2" t="str">
        <f t="shared" si="60"/>
        <v>Bird Song</v>
      </c>
      <c r="C645" s="3">
        <v>644</v>
      </c>
      <c r="D645" s="17" t="s">
        <v>643</v>
      </c>
      <c r="E645" s="2" t="str">
        <f t="shared" si="61"/>
        <v>Bell Organ</v>
      </c>
      <c r="F645" s="12">
        <v>644</v>
      </c>
      <c r="G645" s="17">
        <f t="shared" si="62"/>
        <v>769</v>
      </c>
      <c r="H645" s="2">
        <f t="shared" si="63"/>
        <v>125</v>
      </c>
      <c r="I645" s="3" t="s">
        <v>3714</v>
      </c>
      <c r="J645" s="17">
        <f t="shared" si="64"/>
        <v>526</v>
      </c>
      <c r="K645" s="2">
        <f t="shared" si="65"/>
        <v>-118</v>
      </c>
      <c r="L645" s="12" t="s">
        <v>3714</v>
      </c>
    </row>
    <row r="646" spans="1:12" x14ac:dyDescent="0.25">
      <c r="A646" s="11" t="s">
        <v>2045</v>
      </c>
      <c r="B646" s="2" t="str">
        <f t="shared" si="60"/>
        <v>Dog Bark</v>
      </c>
      <c r="C646" s="3">
        <v>645</v>
      </c>
      <c r="D646" s="17" t="s">
        <v>644</v>
      </c>
      <c r="E646" s="2" t="str">
        <f t="shared" si="61"/>
        <v>Old DigiBell</v>
      </c>
      <c r="F646" s="12">
        <v>645</v>
      </c>
      <c r="G646" s="17">
        <f t="shared" si="62"/>
        <v>770</v>
      </c>
      <c r="H646" s="2">
        <f t="shared" si="63"/>
        <v>125</v>
      </c>
      <c r="I646" s="3" t="s">
        <v>3714</v>
      </c>
      <c r="J646" s="17">
        <f t="shared" si="64"/>
        <v>527</v>
      </c>
      <c r="K646" s="2">
        <f t="shared" si="65"/>
        <v>-118</v>
      </c>
      <c r="L646" s="12" t="s">
        <v>3714</v>
      </c>
    </row>
    <row r="647" spans="1:12" x14ac:dyDescent="0.25">
      <c r="A647" s="11" t="s">
        <v>2046</v>
      </c>
      <c r="B647" s="2" t="str">
        <f t="shared" si="60"/>
        <v>Gallop</v>
      </c>
      <c r="C647" s="3">
        <v>646</v>
      </c>
      <c r="D647" s="17" t="s">
        <v>645</v>
      </c>
      <c r="E647" s="2" t="str">
        <f t="shared" si="61"/>
        <v>JD Bell Wave</v>
      </c>
      <c r="F647" s="12">
        <v>646</v>
      </c>
      <c r="G647" s="17">
        <f t="shared" si="62"/>
        <v>771</v>
      </c>
      <c r="H647" s="2">
        <f t="shared" si="63"/>
        <v>125</v>
      </c>
      <c r="I647" s="3" t="s">
        <v>3714</v>
      </c>
      <c r="J647" s="17">
        <f t="shared" si="64"/>
        <v>528</v>
      </c>
      <c r="K647" s="2">
        <f t="shared" si="65"/>
        <v>-118</v>
      </c>
      <c r="L647" s="12" t="s">
        <v>3714</v>
      </c>
    </row>
    <row r="648" spans="1:12" x14ac:dyDescent="0.25">
      <c r="A648" s="11" t="s">
        <v>2047</v>
      </c>
      <c r="B648" s="2" t="str">
        <f t="shared" si="60"/>
        <v>Vint.Phone</v>
      </c>
      <c r="C648" s="3">
        <v>647</v>
      </c>
      <c r="D648" s="17" t="s">
        <v>646</v>
      </c>
      <c r="E648" s="2" t="str">
        <f t="shared" si="61"/>
        <v>TinyBellWave</v>
      </c>
      <c r="F648" s="12">
        <v>647</v>
      </c>
      <c r="G648" s="17">
        <f t="shared" si="62"/>
        <v>772</v>
      </c>
      <c r="H648" s="2">
        <f t="shared" si="63"/>
        <v>125</v>
      </c>
      <c r="I648" s="3" t="s">
        <v>3714</v>
      </c>
      <c r="J648" s="17">
        <f t="shared" si="64"/>
        <v>529</v>
      </c>
      <c r="K648" s="2">
        <f t="shared" si="65"/>
        <v>-118</v>
      </c>
      <c r="L648" s="12" t="s">
        <v>3714</v>
      </c>
    </row>
    <row r="649" spans="1:12" x14ac:dyDescent="0.25">
      <c r="A649" s="11" t="s">
        <v>2048</v>
      </c>
      <c r="B649" s="2" t="str">
        <f t="shared" si="60"/>
        <v>Office Phone</v>
      </c>
      <c r="C649" s="3">
        <v>648</v>
      </c>
      <c r="D649" s="17" t="s">
        <v>647</v>
      </c>
      <c r="E649" s="2" t="str">
        <f t="shared" si="61"/>
        <v>Vib Wave</v>
      </c>
      <c r="F649" s="12">
        <v>648</v>
      </c>
      <c r="G649" s="17">
        <f t="shared" si="62"/>
        <v>773</v>
      </c>
      <c r="H649" s="2">
        <f t="shared" si="63"/>
        <v>125</v>
      </c>
      <c r="I649" s="3" t="s">
        <v>3714</v>
      </c>
      <c r="J649" s="17">
        <f t="shared" si="64"/>
        <v>530</v>
      </c>
      <c r="K649" s="2">
        <f t="shared" si="65"/>
        <v>-118</v>
      </c>
      <c r="L649" s="12" t="s">
        <v>3714</v>
      </c>
    </row>
    <row r="650" spans="1:12" x14ac:dyDescent="0.25">
      <c r="A650" s="11" t="s">
        <v>2049</v>
      </c>
      <c r="B650" s="2" t="str">
        <f t="shared" si="60"/>
        <v>Mobile Phone</v>
      </c>
      <c r="C650" s="3">
        <v>649</v>
      </c>
      <c r="D650" s="17" t="s">
        <v>648</v>
      </c>
      <c r="E650" s="2" t="str">
        <f t="shared" si="61"/>
        <v>JD Brt Digi</v>
      </c>
      <c r="F650" s="12">
        <v>649</v>
      </c>
      <c r="G650" s="17">
        <f t="shared" si="62"/>
        <v>774</v>
      </c>
      <c r="H650" s="2">
        <f t="shared" si="63"/>
        <v>125</v>
      </c>
      <c r="I650" s="3" t="s">
        <v>3714</v>
      </c>
      <c r="J650" s="17">
        <f t="shared" si="64"/>
        <v>531</v>
      </c>
      <c r="K650" s="2">
        <f t="shared" si="65"/>
        <v>-118</v>
      </c>
      <c r="L650" s="12" t="s">
        <v>3714</v>
      </c>
    </row>
    <row r="651" spans="1:12" x14ac:dyDescent="0.25">
      <c r="A651" s="11" t="s">
        <v>2050</v>
      </c>
      <c r="B651" s="2" t="str">
        <f t="shared" si="60"/>
        <v>Door Creak</v>
      </c>
      <c r="C651" s="3">
        <v>650</v>
      </c>
      <c r="D651" s="17" t="s">
        <v>649</v>
      </c>
      <c r="E651" s="2" t="str">
        <f t="shared" si="61"/>
        <v>Bagpipe</v>
      </c>
      <c r="F651" s="12">
        <v>650</v>
      </c>
      <c r="G651" s="17">
        <f t="shared" si="62"/>
        <v>775</v>
      </c>
      <c r="H651" s="2">
        <f t="shared" si="63"/>
        <v>125</v>
      </c>
      <c r="I651" s="3" t="s">
        <v>3714</v>
      </c>
      <c r="J651" s="17">
        <f t="shared" si="64"/>
        <v>533</v>
      </c>
      <c r="K651" s="2">
        <f t="shared" si="65"/>
        <v>-117</v>
      </c>
      <c r="L651" s="12" t="s">
        <v>3714</v>
      </c>
    </row>
    <row r="652" spans="1:12" x14ac:dyDescent="0.25">
      <c r="A652" s="11" t="s">
        <v>2051</v>
      </c>
      <c r="B652" s="2" t="str">
        <f t="shared" si="60"/>
        <v>Door Slam</v>
      </c>
      <c r="C652" s="3">
        <v>651</v>
      </c>
      <c r="D652" s="17" t="s">
        <v>650</v>
      </c>
      <c r="E652" s="2" t="str">
        <f t="shared" si="61"/>
        <v>Digital Vox</v>
      </c>
      <c r="F652" s="12">
        <v>651</v>
      </c>
      <c r="G652" s="17">
        <f t="shared" si="62"/>
        <v>776</v>
      </c>
      <c r="H652" s="2">
        <f t="shared" si="63"/>
        <v>125</v>
      </c>
      <c r="I652" s="3" t="s">
        <v>3714</v>
      </c>
      <c r="J652" s="17">
        <f t="shared" si="64"/>
        <v>534</v>
      </c>
      <c r="K652" s="2">
        <f t="shared" si="65"/>
        <v>-117</v>
      </c>
      <c r="L652" s="12" t="s">
        <v>3714</v>
      </c>
    </row>
    <row r="653" spans="1:12" x14ac:dyDescent="0.25">
      <c r="A653" s="11" t="s">
        <v>2052</v>
      </c>
      <c r="B653" s="2" t="str">
        <f t="shared" si="60"/>
        <v>Car Engine</v>
      </c>
      <c r="C653" s="3">
        <v>652</v>
      </c>
      <c r="D653" s="17" t="s">
        <v>651</v>
      </c>
      <c r="E653" s="2" t="str">
        <f t="shared" si="61"/>
        <v>JD WallyWave</v>
      </c>
      <c r="F653" s="12">
        <v>652</v>
      </c>
      <c r="G653" s="17">
        <f t="shared" si="62"/>
        <v>777</v>
      </c>
      <c r="H653" s="2">
        <f t="shared" si="63"/>
        <v>125</v>
      </c>
      <c r="I653" s="3" t="s">
        <v>3714</v>
      </c>
      <c r="J653" s="17">
        <f t="shared" si="64"/>
        <v>535</v>
      </c>
      <c r="K653" s="2">
        <f t="shared" si="65"/>
        <v>-117</v>
      </c>
      <c r="L653" s="12" t="s">
        <v>3714</v>
      </c>
    </row>
    <row r="654" spans="1:12" x14ac:dyDescent="0.25">
      <c r="A654" s="11" t="s">
        <v>2053</v>
      </c>
      <c r="B654" s="2" t="str">
        <f t="shared" si="60"/>
        <v>Car Slip</v>
      </c>
      <c r="C654" s="3">
        <v>653</v>
      </c>
      <c r="D654" s="17" t="s">
        <v>652</v>
      </c>
      <c r="E654" s="2" t="str">
        <f t="shared" si="61"/>
        <v>JD Brusky Lp</v>
      </c>
      <c r="F654" s="12">
        <v>653</v>
      </c>
      <c r="G654" s="17">
        <f t="shared" si="62"/>
        <v>778</v>
      </c>
      <c r="H654" s="2">
        <f t="shared" si="63"/>
        <v>125</v>
      </c>
      <c r="I654" s="3" t="s">
        <v>3714</v>
      </c>
      <c r="J654" s="17">
        <f t="shared" si="64"/>
        <v>536</v>
      </c>
      <c r="K654" s="2">
        <f t="shared" si="65"/>
        <v>-117</v>
      </c>
      <c r="L654" s="12" t="s">
        <v>3714</v>
      </c>
    </row>
    <row r="655" spans="1:12" x14ac:dyDescent="0.25">
      <c r="A655" s="11" t="s">
        <v>2054</v>
      </c>
      <c r="B655" s="2" t="str">
        <f t="shared" si="60"/>
        <v>Car Pass</v>
      </c>
      <c r="C655" s="3">
        <v>654</v>
      </c>
      <c r="D655" s="17" t="s">
        <v>653</v>
      </c>
      <c r="E655" s="2" t="str">
        <f t="shared" si="61"/>
        <v>Bright Form</v>
      </c>
      <c r="F655" s="12">
        <v>654</v>
      </c>
      <c r="G655" s="17">
        <f t="shared" si="62"/>
        <v>779</v>
      </c>
      <c r="H655" s="2">
        <f t="shared" si="63"/>
        <v>125</v>
      </c>
      <c r="I655" s="3" t="s">
        <v>3714</v>
      </c>
      <c r="J655" s="17">
        <f t="shared" si="64"/>
        <v>537</v>
      </c>
      <c r="K655" s="2">
        <f t="shared" si="65"/>
        <v>-117</v>
      </c>
      <c r="L655" s="12" t="s">
        <v>3714</v>
      </c>
    </row>
    <row r="656" spans="1:12" x14ac:dyDescent="0.25">
      <c r="A656" s="11" t="s">
        <v>2055</v>
      </c>
      <c r="B656" s="2" t="str">
        <f t="shared" si="60"/>
        <v>Crash Seq.</v>
      </c>
      <c r="C656" s="3">
        <v>655</v>
      </c>
      <c r="D656" s="17" t="s">
        <v>654</v>
      </c>
      <c r="E656" s="2" t="str">
        <f t="shared" si="61"/>
        <v>JD Nasty</v>
      </c>
      <c r="F656" s="12">
        <v>655</v>
      </c>
      <c r="G656" s="17">
        <f t="shared" si="62"/>
        <v>780</v>
      </c>
      <c r="H656" s="2">
        <f t="shared" si="63"/>
        <v>125</v>
      </c>
      <c r="I656" s="3" t="s">
        <v>3714</v>
      </c>
      <c r="J656" s="17">
        <f t="shared" si="64"/>
        <v>539</v>
      </c>
      <c r="K656" s="2">
        <f t="shared" si="65"/>
        <v>-116</v>
      </c>
      <c r="L656" s="12" t="s">
        <v>3714</v>
      </c>
    </row>
    <row r="657" spans="1:12" x14ac:dyDescent="0.25">
      <c r="A657" s="11" t="s">
        <v>2056</v>
      </c>
      <c r="B657" s="2" t="str">
        <f t="shared" si="60"/>
        <v>Gun Shot</v>
      </c>
      <c r="C657" s="3">
        <v>656</v>
      </c>
      <c r="D657" s="17" t="s">
        <v>655</v>
      </c>
      <c r="E657" s="2" t="str">
        <f t="shared" si="61"/>
        <v>JD Spark Vox</v>
      </c>
      <c r="F657" s="12">
        <v>656</v>
      </c>
      <c r="G657" s="17">
        <f t="shared" si="62"/>
        <v>781</v>
      </c>
      <c r="H657" s="2">
        <f t="shared" si="63"/>
        <v>125</v>
      </c>
      <c r="I657" s="3" t="s">
        <v>3714</v>
      </c>
      <c r="J657" s="17">
        <f t="shared" si="64"/>
        <v>541</v>
      </c>
      <c r="K657" s="2">
        <f t="shared" si="65"/>
        <v>-115</v>
      </c>
      <c r="L657" s="12" t="s">
        <v>3714</v>
      </c>
    </row>
    <row r="658" spans="1:12" x14ac:dyDescent="0.25">
      <c r="A658" s="11" t="s">
        <v>2057</v>
      </c>
      <c r="B658" s="2" t="str">
        <f t="shared" si="60"/>
        <v>Siren</v>
      </c>
      <c r="C658" s="3">
        <v>657</v>
      </c>
      <c r="D658" s="17" t="s">
        <v>656</v>
      </c>
      <c r="E658" s="2" t="str">
        <f t="shared" si="61"/>
        <v>JD Cutters</v>
      </c>
      <c r="F658" s="12">
        <v>657</v>
      </c>
      <c r="G658" s="17">
        <f t="shared" si="62"/>
        <v>782</v>
      </c>
      <c r="H658" s="2">
        <f t="shared" si="63"/>
        <v>125</v>
      </c>
      <c r="I658" s="3" t="s">
        <v>3714</v>
      </c>
      <c r="J658" s="17">
        <f t="shared" si="64"/>
        <v>542</v>
      </c>
      <c r="K658" s="2">
        <f t="shared" si="65"/>
        <v>-115</v>
      </c>
      <c r="L658" s="12" t="s">
        <v>3714</v>
      </c>
    </row>
    <row r="659" spans="1:12" x14ac:dyDescent="0.25">
      <c r="A659" s="11" t="s">
        <v>2058</v>
      </c>
      <c r="B659" s="2" t="str">
        <f t="shared" si="60"/>
        <v>Train Pass</v>
      </c>
      <c r="C659" s="3">
        <v>658</v>
      </c>
      <c r="D659" s="17" t="s">
        <v>657</v>
      </c>
      <c r="E659" s="2" t="str">
        <f t="shared" si="61"/>
        <v>SBF Hrd Ld</v>
      </c>
      <c r="F659" s="12">
        <v>658</v>
      </c>
      <c r="G659" s="17">
        <f t="shared" si="62"/>
        <v>783</v>
      </c>
      <c r="H659" s="2">
        <f t="shared" si="63"/>
        <v>125</v>
      </c>
      <c r="I659" s="3" t="s">
        <v>3714</v>
      </c>
      <c r="J659" s="17">
        <f t="shared" si="64"/>
        <v>0</v>
      </c>
      <c r="K659" s="2">
        <f t="shared" si="65"/>
        <v>0</v>
      </c>
      <c r="L659" s="12" t="s">
        <v>3714</v>
      </c>
    </row>
    <row r="660" spans="1:12" x14ac:dyDescent="0.25">
      <c r="A660" s="11" t="s">
        <v>2059</v>
      </c>
      <c r="B660" s="2" t="str">
        <f t="shared" si="60"/>
        <v>Airplane</v>
      </c>
      <c r="C660" s="3">
        <v>659</v>
      </c>
      <c r="D660" s="17" t="s">
        <v>658</v>
      </c>
      <c r="E660" s="2" t="str">
        <f t="shared" si="61"/>
        <v>JD EML 5th</v>
      </c>
      <c r="F660" s="12">
        <v>659</v>
      </c>
      <c r="G660" s="17">
        <f t="shared" si="62"/>
        <v>784</v>
      </c>
      <c r="H660" s="2">
        <f t="shared" si="63"/>
        <v>125</v>
      </c>
      <c r="I660" s="3" t="s">
        <v>3714</v>
      </c>
      <c r="J660" s="17">
        <f t="shared" si="64"/>
        <v>545</v>
      </c>
      <c r="K660" s="2">
        <f t="shared" si="65"/>
        <v>-114</v>
      </c>
      <c r="L660" s="12" t="s">
        <v>3714</v>
      </c>
    </row>
    <row r="661" spans="1:12" x14ac:dyDescent="0.25">
      <c r="A661" s="11" t="s">
        <v>2060</v>
      </c>
      <c r="B661" s="2" t="str">
        <f t="shared" si="60"/>
        <v>Space Voyage</v>
      </c>
      <c r="C661" s="3">
        <v>660</v>
      </c>
      <c r="D661" s="17" t="s">
        <v>659</v>
      </c>
      <c r="E661" s="2" t="str">
        <f t="shared" si="61"/>
        <v>Juno Saw HD</v>
      </c>
      <c r="F661" s="12">
        <v>660</v>
      </c>
      <c r="G661" s="17">
        <f t="shared" si="62"/>
        <v>786</v>
      </c>
      <c r="H661" s="2">
        <f t="shared" si="63"/>
        <v>126</v>
      </c>
      <c r="I661" s="3" t="s">
        <v>3714</v>
      </c>
      <c r="J661" s="17">
        <f t="shared" si="64"/>
        <v>0</v>
      </c>
      <c r="K661" s="2">
        <f t="shared" si="65"/>
        <v>0</v>
      </c>
      <c r="L661" s="12" t="s">
        <v>3714</v>
      </c>
    </row>
    <row r="662" spans="1:12" x14ac:dyDescent="0.25">
      <c r="A662" s="11" t="s">
        <v>2061</v>
      </c>
      <c r="B662" s="2" t="str">
        <f t="shared" si="60"/>
        <v>Blow Loop</v>
      </c>
      <c r="C662" s="3">
        <v>661</v>
      </c>
      <c r="D662" s="17" t="s">
        <v>660</v>
      </c>
      <c r="E662" s="2" t="str">
        <f t="shared" si="61"/>
        <v>TB303 Saw HD</v>
      </c>
      <c r="F662" s="12">
        <v>661</v>
      </c>
      <c r="G662" s="17">
        <f t="shared" si="62"/>
        <v>787</v>
      </c>
      <c r="H662" s="2">
        <f t="shared" si="63"/>
        <v>126</v>
      </c>
      <c r="I662" s="3" t="s">
        <v>3714</v>
      </c>
      <c r="J662" s="17">
        <f t="shared" si="64"/>
        <v>546</v>
      </c>
      <c r="K662" s="2">
        <f t="shared" si="65"/>
        <v>-115</v>
      </c>
      <c r="L662" s="12" t="s">
        <v>3714</v>
      </c>
    </row>
    <row r="663" spans="1:12" x14ac:dyDescent="0.25">
      <c r="A663" s="11" t="s">
        <v>2062</v>
      </c>
      <c r="B663" s="2" t="str">
        <f t="shared" si="60"/>
        <v>Laugh</v>
      </c>
      <c r="C663" s="3">
        <v>662</v>
      </c>
      <c r="D663" s="17" t="s">
        <v>661</v>
      </c>
      <c r="E663" s="2" t="str">
        <f t="shared" si="61"/>
        <v>Custm Saw HD</v>
      </c>
      <c r="F663" s="12">
        <v>662</v>
      </c>
      <c r="G663" s="17">
        <f t="shared" si="62"/>
        <v>788</v>
      </c>
      <c r="H663" s="2">
        <f t="shared" si="63"/>
        <v>126</v>
      </c>
      <c r="I663" s="3" t="s">
        <v>3714</v>
      </c>
      <c r="J663" s="17">
        <f t="shared" si="64"/>
        <v>547</v>
      </c>
      <c r="K663" s="2">
        <f t="shared" si="65"/>
        <v>-115</v>
      </c>
      <c r="L663" s="12" t="s">
        <v>3714</v>
      </c>
    </row>
    <row r="664" spans="1:12" x14ac:dyDescent="0.25">
      <c r="A664" s="11" t="s">
        <v>2063</v>
      </c>
      <c r="B664" s="2" t="str">
        <f t="shared" si="60"/>
        <v>Scream</v>
      </c>
      <c r="C664" s="3">
        <v>663</v>
      </c>
      <c r="D664" s="17" t="s">
        <v>662</v>
      </c>
      <c r="E664" s="2" t="str">
        <f t="shared" si="61"/>
        <v>MG Saw HD</v>
      </c>
      <c r="F664" s="12">
        <v>663</v>
      </c>
      <c r="G664" s="17">
        <f t="shared" si="62"/>
        <v>789</v>
      </c>
      <c r="H664" s="2">
        <f t="shared" si="63"/>
        <v>126</v>
      </c>
      <c r="I664" s="3" t="s">
        <v>3714</v>
      </c>
      <c r="J664" s="17">
        <f t="shared" si="64"/>
        <v>548</v>
      </c>
      <c r="K664" s="2">
        <f t="shared" si="65"/>
        <v>-115</v>
      </c>
      <c r="L664" s="12" t="s">
        <v>3714</v>
      </c>
    </row>
    <row r="665" spans="1:12" x14ac:dyDescent="0.25">
      <c r="A665" s="11" t="s">
        <v>2064</v>
      </c>
      <c r="B665" s="2" t="str">
        <f t="shared" si="60"/>
        <v>Punch</v>
      </c>
      <c r="C665" s="3">
        <v>664</v>
      </c>
      <c r="D665" s="17" t="s">
        <v>663</v>
      </c>
      <c r="E665" s="2" t="str">
        <f t="shared" si="61"/>
        <v>DigitalSawHD</v>
      </c>
      <c r="F665" s="12">
        <v>664</v>
      </c>
      <c r="G665" s="17">
        <f t="shared" si="62"/>
        <v>790</v>
      </c>
      <c r="H665" s="2">
        <f t="shared" si="63"/>
        <v>126</v>
      </c>
      <c r="I665" s="3" t="s">
        <v>3714</v>
      </c>
      <c r="J665" s="17">
        <f t="shared" si="64"/>
        <v>550</v>
      </c>
      <c r="K665" s="2">
        <f t="shared" si="65"/>
        <v>-114</v>
      </c>
      <c r="L665" s="12" t="s">
        <v>3714</v>
      </c>
    </row>
    <row r="666" spans="1:12" x14ac:dyDescent="0.25">
      <c r="A666" s="11" t="s">
        <v>2065</v>
      </c>
      <c r="B666" s="2" t="str">
        <f t="shared" si="60"/>
        <v>Heartbeat</v>
      </c>
      <c r="C666" s="3">
        <v>665</v>
      </c>
      <c r="D666" s="17" t="s">
        <v>664</v>
      </c>
      <c r="E666" s="2" t="str">
        <f t="shared" si="61"/>
        <v>P5 Saw HD</v>
      </c>
      <c r="F666" s="12">
        <v>665</v>
      </c>
      <c r="G666" s="17">
        <f t="shared" si="62"/>
        <v>791</v>
      </c>
      <c r="H666" s="2">
        <f t="shared" si="63"/>
        <v>126</v>
      </c>
      <c r="I666" s="3" t="s">
        <v>3714</v>
      </c>
      <c r="J666" s="17">
        <f t="shared" si="64"/>
        <v>557</v>
      </c>
      <c r="K666" s="2">
        <f t="shared" si="65"/>
        <v>-108</v>
      </c>
      <c r="L666" s="12" t="s">
        <v>3714</v>
      </c>
    </row>
    <row r="667" spans="1:12" x14ac:dyDescent="0.25">
      <c r="A667" s="11" t="s">
        <v>2066</v>
      </c>
      <c r="B667" s="2" t="str">
        <f t="shared" si="60"/>
        <v>Footsteps</v>
      </c>
      <c r="C667" s="3">
        <v>666</v>
      </c>
      <c r="D667" s="17" t="s">
        <v>665</v>
      </c>
      <c r="E667" s="2" t="str">
        <f t="shared" si="61"/>
        <v>Calc.Saw</v>
      </c>
      <c r="F667" s="12">
        <v>666</v>
      </c>
      <c r="G667" s="17">
        <f t="shared" si="62"/>
        <v>792</v>
      </c>
      <c r="H667" s="2">
        <f t="shared" si="63"/>
        <v>126</v>
      </c>
      <c r="I667" s="3" t="s">
        <v>3714</v>
      </c>
      <c r="J667" s="17">
        <f t="shared" si="64"/>
        <v>551</v>
      </c>
      <c r="K667" s="2">
        <f t="shared" si="65"/>
        <v>-115</v>
      </c>
      <c r="L667" s="12" t="s">
        <v>3714</v>
      </c>
    </row>
    <row r="668" spans="1:12" x14ac:dyDescent="0.25">
      <c r="A668" s="11" t="s">
        <v>2067</v>
      </c>
      <c r="B668" s="2" t="str">
        <f t="shared" si="60"/>
        <v>Machine Gun</v>
      </c>
      <c r="C668" s="3">
        <v>667</v>
      </c>
      <c r="D668" s="17" t="s">
        <v>666</v>
      </c>
      <c r="E668" s="2" t="str">
        <f t="shared" si="61"/>
        <v>Calc.Saw inv</v>
      </c>
      <c r="F668" s="12">
        <v>667</v>
      </c>
      <c r="G668" s="17">
        <f t="shared" si="62"/>
        <v>793</v>
      </c>
      <c r="H668" s="2">
        <f t="shared" si="63"/>
        <v>126</v>
      </c>
      <c r="I668" s="3" t="s">
        <v>3714</v>
      </c>
      <c r="J668" s="17">
        <f t="shared" si="64"/>
        <v>552</v>
      </c>
      <c r="K668" s="2">
        <f t="shared" si="65"/>
        <v>-115</v>
      </c>
      <c r="L668" s="12" t="s">
        <v>3714</v>
      </c>
    </row>
    <row r="669" spans="1:12" x14ac:dyDescent="0.25">
      <c r="A669" s="11" t="s">
        <v>2068</v>
      </c>
      <c r="B669" s="2" t="str">
        <f t="shared" si="60"/>
        <v>Laser</v>
      </c>
      <c r="C669" s="3">
        <v>668</v>
      </c>
      <c r="D669" s="17" t="s">
        <v>667</v>
      </c>
      <c r="E669" s="2" t="str">
        <f t="shared" si="61"/>
        <v>Synth Saw</v>
      </c>
      <c r="F669" s="12">
        <v>668</v>
      </c>
      <c r="G669" s="17">
        <f t="shared" si="62"/>
        <v>794</v>
      </c>
      <c r="H669" s="2">
        <f t="shared" si="63"/>
        <v>126</v>
      </c>
      <c r="I669" s="3" t="s">
        <v>3714</v>
      </c>
      <c r="J669" s="17">
        <f t="shared" si="64"/>
        <v>553</v>
      </c>
      <c r="K669" s="2">
        <f t="shared" si="65"/>
        <v>-115</v>
      </c>
      <c r="L669" s="12" t="s">
        <v>3714</v>
      </c>
    </row>
    <row r="670" spans="1:12" x14ac:dyDescent="0.25">
      <c r="A670" s="11" t="s">
        <v>2069</v>
      </c>
      <c r="B670" s="2" t="str">
        <f t="shared" si="60"/>
        <v>Thunder Lp</v>
      </c>
      <c r="C670" s="3">
        <v>669</v>
      </c>
      <c r="D670" s="17" t="s">
        <v>668</v>
      </c>
      <c r="E670" s="2" t="str">
        <f t="shared" si="61"/>
        <v>JD Syn Saw</v>
      </c>
      <c r="F670" s="12">
        <v>669</v>
      </c>
      <c r="G670" s="17">
        <f t="shared" si="62"/>
        <v>795</v>
      </c>
      <c r="H670" s="2">
        <f t="shared" si="63"/>
        <v>126</v>
      </c>
      <c r="I670" s="3" t="s">
        <v>3714</v>
      </c>
      <c r="J670" s="17">
        <f t="shared" si="64"/>
        <v>554</v>
      </c>
      <c r="K670" s="2">
        <f t="shared" si="65"/>
        <v>-115</v>
      </c>
      <c r="L670" s="12" t="s">
        <v>3714</v>
      </c>
    </row>
    <row r="671" spans="1:12" x14ac:dyDescent="0.25">
      <c r="A671" s="11" t="s">
        <v>2070</v>
      </c>
      <c r="B671" s="2" t="str">
        <f t="shared" si="60"/>
        <v>Ac.Bass Nz 1</v>
      </c>
      <c r="C671" s="3">
        <v>670</v>
      </c>
      <c r="D671" s="17" t="s">
        <v>669</v>
      </c>
      <c r="E671" s="2" t="str">
        <f t="shared" si="61"/>
        <v>JD Fat Saw</v>
      </c>
      <c r="F671" s="12">
        <v>670</v>
      </c>
      <c r="G671" s="17">
        <f t="shared" si="62"/>
        <v>0</v>
      </c>
      <c r="H671" s="2">
        <f t="shared" si="63"/>
        <v>0</v>
      </c>
      <c r="I671" s="3" t="s">
        <v>3714</v>
      </c>
      <c r="J671" s="17">
        <f t="shared" si="64"/>
        <v>555</v>
      </c>
      <c r="K671" s="2">
        <f t="shared" si="65"/>
        <v>-115</v>
      </c>
      <c r="L671" s="12" t="s">
        <v>3714</v>
      </c>
    </row>
    <row r="672" spans="1:12" x14ac:dyDescent="0.25">
      <c r="A672" s="11" t="s">
        <v>2071</v>
      </c>
      <c r="B672" s="2" t="str">
        <f t="shared" si="60"/>
        <v>Ac.Bass Nz 2</v>
      </c>
      <c r="C672" s="3">
        <v>671</v>
      </c>
      <c r="D672" s="17" t="s">
        <v>670</v>
      </c>
      <c r="E672" s="2" t="str">
        <f t="shared" si="61"/>
        <v>JP-8 Saw</v>
      </c>
      <c r="F672" s="12">
        <v>671</v>
      </c>
      <c r="G672" s="17">
        <f t="shared" si="62"/>
        <v>0</v>
      </c>
      <c r="H672" s="2">
        <f t="shared" si="63"/>
        <v>0</v>
      </c>
      <c r="I672" s="3" t="s">
        <v>3714</v>
      </c>
      <c r="J672" s="17">
        <f t="shared" si="64"/>
        <v>556</v>
      </c>
      <c r="K672" s="2">
        <f t="shared" si="65"/>
        <v>-115</v>
      </c>
      <c r="L672" s="12" t="s">
        <v>3714</v>
      </c>
    </row>
    <row r="673" spans="1:12" x14ac:dyDescent="0.25">
      <c r="A673" s="11" t="s">
        <v>2072</v>
      </c>
      <c r="B673" s="2" t="str">
        <f t="shared" si="60"/>
        <v>E.Bass Nz 1</v>
      </c>
      <c r="C673" s="3">
        <v>672</v>
      </c>
      <c r="D673" s="17" t="s">
        <v>671</v>
      </c>
      <c r="E673" s="2" t="str">
        <f t="shared" si="61"/>
        <v>D-50 Saw</v>
      </c>
      <c r="F673" s="12">
        <v>672</v>
      </c>
      <c r="G673" s="17">
        <f t="shared" si="62"/>
        <v>797</v>
      </c>
      <c r="H673" s="2">
        <f t="shared" si="63"/>
        <v>125</v>
      </c>
      <c r="I673" s="3" t="s">
        <v>3714</v>
      </c>
      <c r="J673" s="17">
        <f t="shared" si="64"/>
        <v>558</v>
      </c>
      <c r="K673" s="2">
        <f t="shared" si="65"/>
        <v>-114</v>
      </c>
      <c r="L673" s="12" t="s">
        <v>3714</v>
      </c>
    </row>
    <row r="674" spans="1:12" x14ac:dyDescent="0.25">
      <c r="A674" s="11" t="s">
        <v>2073</v>
      </c>
      <c r="B674" s="2" t="str">
        <f t="shared" si="60"/>
        <v>E.Bass Nz 2</v>
      </c>
      <c r="C674" s="3">
        <v>673</v>
      </c>
      <c r="D674" s="17" t="s">
        <v>672</v>
      </c>
      <c r="E674" s="2" t="str">
        <f t="shared" si="61"/>
        <v>SH-1000 Saw</v>
      </c>
      <c r="F674" s="12">
        <v>673</v>
      </c>
      <c r="G674" s="17">
        <f t="shared" si="62"/>
        <v>798</v>
      </c>
      <c r="H674" s="2">
        <f t="shared" si="63"/>
        <v>125</v>
      </c>
      <c r="I674" s="3" t="s">
        <v>3714</v>
      </c>
      <c r="J674" s="17">
        <f t="shared" si="64"/>
        <v>0</v>
      </c>
      <c r="K674" s="2">
        <f t="shared" si="65"/>
        <v>0</v>
      </c>
      <c r="L674" s="12" t="s">
        <v>3714</v>
      </c>
    </row>
    <row r="675" spans="1:12" x14ac:dyDescent="0.25">
      <c r="A675" s="11" t="s">
        <v>2074</v>
      </c>
      <c r="B675" s="2" t="str">
        <f t="shared" si="60"/>
        <v>E.Bass Slide</v>
      </c>
      <c r="C675" s="3">
        <v>674</v>
      </c>
      <c r="D675" s="17" t="s">
        <v>673</v>
      </c>
      <c r="E675" s="2" t="str">
        <f t="shared" si="61"/>
        <v>SH-2 Saw</v>
      </c>
      <c r="F675" s="12">
        <v>674</v>
      </c>
      <c r="G675" s="17">
        <f t="shared" si="62"/>
        <v>799</v>
      </c>
      <c r="H675" s="2">
        <f t="shared" si="63"/>
        <v>125</v>
      </c>
      <c r="I675" s="3" t="s">
        <v>3714</v>
      </c>
      <c r="J675" s="17">
        <f t="shared" si="64"/>
        <v>0</v>
      </c>
      <c r="K675" s="2">
        <f t="shared" si="65"/>
        <v>0</v>
      </c>
      <c r="L675" s="12" t="s">
        <v>3714</v>
      </c>
    </row>
    <row r="676" spans="1:12" x14ac:dyDescent="0.25">
      <c r="A676" s="11" t="s">
        <v>2075</v>
      </c>
      <c r="B676" s="2" t="str">
        <f t="shared" si="60"/>
        <v>DistGtr Nz 1</v>
      </c>
      <c r="C676" s="3">
        <v>675</v>
      </c>
      <c r="D676" s="17" t="s">
        <v>674</v>
      </c>
      <c r="E676" s="2" t="str">
        <f t="shared" si="61"/>
        <v>LA-Saw</v>
      </c>
      <c r="F676" s="12">
        <v>675</v>
      </c>
      <c r="G676" s="17">
        <f t="shared" si="62"/>
        <v>801</v>
      </c>
      <c r="H676" s="2">
        <f t="shared" si="63"/>
        <v>126</v>
      </c>
      <c r="I676" s="3" t="s">
        <v>3714</v>
      </c>
      <c r="J676" s="17">
        <f t="shared" si="64"/>
        <v>0</v>
      </c>
      <c r="K676" s="2">
        <f t="shared" si="65"/>
        <v>0</v>
      </c>
      <c r="L676" s="12" t="s">
        <v>3714</v>
      </c>
    </row>
    <row r="677" spans="1:12" x14ac:dyDescent="0.25">
      <c r="A677" s="11" t="s">
        <v>2076</v>
      </c>
      <c r="B677" s="2" t="str">
        <f t="shared" si="60"/>
        <v>DistGtr Nz 2</v>
      </c>
      <c r="C677" s="3">
        <v>676</v>
      </c>
      <c r="D677" s="17" t="s">
        <v>675</v>
      </c>
      <c r="E677" s="2" t="str">
        <f t="shared" si="61"/>
        <v>Air Wave</v>
      </c>
      <c r="F677" s="12">
        <v>676</v>
      </c>
      <c r="G677" s="17">
        <f t="shared" si="62"/>
        <v>802</v>
      </c>
      <c r="H677" s="2">
        <f t="shared" si="63"/>
        <v>126</v>
      </c>
      <c r="I677" s="3" t="s">
        <v>3714</v>
      </c>
      <c r="J677" s="17">
        <f t="shared" si="64"/>
        <v>559</v>
      </c>
      <c r="K677" s="2">
        <f t="shared" si="65"/>
        <v>-117</v>
      </c>
      <c r="L677" s="12" t="s">
        <v>3714</v>
      </c>
    </row>
    <row r="678" spans="1:12" x14ac:dyDescent="0.25">
      <c r="A678" s="11" t="s">
        <v>2077</v>
      </c>
      <c r="B678" s="2" t="str">
        <f t="shared" si="60"/>
        <v>DistGtr Nz 3</v>
      </c>
      <c r="C678" s="3">
        <v>677</v>
      </c>
      <c r="D678" s="17" t="s">
        <v>676</v>
      </c>
      <c r="E678" s="2" t="str">
        <f t="shared" si="61"/>
        <v>GR-300 Saw 1</v>
      </c>
      <c r="F678" s="12">
        <v>677</v>
      </c>
      <c r="G678" s="17">
        <f t="shared" si="62"/>
        <v>803</v>
      </c>
      <c r="H678" s="2">
        <f t="shared" si="63"/>
        <v>126</v>
      </c>
      <c r="I678" s="3" t="s">
        <v>3714</v>
      </c>
      <c r="J678" s="17">
        <f t="shared" si="64"/>
        <v>0</v>
      </c>
      <c r="K678" s="2">
        <f t="shared" si="65"/>
        <v>0</v>
      </c>
      <c r="L678" s="12" t="s">
        <v>3714</v>
      </c>
    </row>
    <row r="679" spans="1:12" x14ac:dyDescent="0.25">
      <c r="A679" s="11" t="s">
        <v>2078</v>
      </c>
      <c r="B679" s="2" t="str">
        <f t="shared" si="60"/>
        <v>GtrStroke Nz</v>
      </c>
      <c r="C679" s="3">
        <v>678</v>
      </c>
      <c r="D679" s="17" t="s">
        <v>677</v>
      </c>
      <c r="E679" s="2" t="str">
        <f t="shared" si="61"/>
        <v>GR-300 Saw 2</v>
      </c>
      <c r="F679" s="12">
        <v>678</v>
      </c>
      <c r="G679" s="17">
        <f t="shared" si="62"/>
        <v>0</v>
      </c>
      <c r="H679" s="2">
        <f t="shared" si="63"/>
        <v>0</v>
      </c>
      <c r="I679" s="3" t="s">
        <v>3714</v>
      </c>
      <c r="J679" s="17">
        <f t="shared" si="64"/>
        <v>0</v>
      </c>
      <c r="K679" s="2">
        <f t="shared" si="65"/>
        <v>0</v>
      </c>
      <c r="L679" s="12" t="s">
        <v>3714</v>
      </c>
    </row>
    <row r="680" spans="1:12" x14ac:dyDescent="0.25">
      <c r="A680" s="11" t="s">
        <v>2079</v>
      </c>
      <c r="B680" s="2" t="str">
        <f t="shared" si="60"/>
        <v>Gtr Fret Nz1</v>
      </c>
      <c r="C680" s="3">
        <v>679</v>
      </c>
      <c r="D680" s="17" t="s">
        <v>678</v>
      </c>
      <c r="E680" s="2" t="str">
        <f t="shared" si="61"/>
        <v>TB Dst Saw A</v>
      </c>
      <c r="F680" s="12">
        <v>679</v>
      </c>
      <c r="G680" s="17">
        <f t="shared" si="62"/>
        <v>804</v>
      </c>
      <c r="H680" s="2">
        <f t="shared" si="63"/>
        <v>125</v>
      </c>
      <c r="I680" s="3" t="s">
        <v>3714</v>
      </c>
      <c r="J680" s="17">
        <f t="shared" si="64"/>
        <v>0</v>
      </c>
      <c r="K680" s="2">
        <f t="shared" si="65"/>
        <v>0</v>
      </c>
      <c r="L680" s="12" t="s">
        <v>3714</v>
      </c>
    </row>
    <row r="681" spans="1:12" x14ac:dyDescent="0.25">
      <c r="A681" s="11" t="s">
        <v>2080</v>
      </c>
      <c r="B681" s="2" t="str">
        <f t="shared" si="60"/>
        <v>Gtr Fret Nz2</v>
      </c>
      <c r="C681" s="3">
        <v>680</v>
      </c>
      <c r="D681" s="17" t="s">
        <v>679</v>
      </c>
      <c r="E681" s="2" t="str">
        <f t="shared" si="61"/>
        <v>TB Dst Saw B</v>
      </c>
      <c r="F681" s="12">
        <v>680</v>
      </c>
      <c r="G681" s="17">
        <f t="shared" si="62"/>
        <v>805</v>
      </c>
      <c r="H681" s="2">
        <f t="shared" si="63"/>
        <v>125</v>
      </c>
      <c r="I681" s="3" t="s">
        <v>3714</v>
      </c>
      <c r="J681" s="17">
        <f t="shared" si="64"/>
        <v>0</v>
      </c>
      <c r="K681" s="2">
        <f t="shared" si="65"/>
        <v>0</v>
      </c>
      <c r="L681" s="12" t="s">
        <v>3714</v>
      </c>
    </row>
    <row r="682" spans="1:12" x14ac:dyDescent="0.25">
      <c r="A682" s="11" t="s">
        <v>2081</v>
      </c>
      <c r="B682" s="2" t="str">
        <f t="shared" si="60"/>
        <v>Gtr Fret Nz3</v>
      </c>
      <c r="C682" s="3">
        <v>681</v>
      </c>
      <c r="D682" s="17" t="s">
        <v>680</v>
      </c>
      <c r="E682" s="2" t="str">
        <f t="shared" si="61"/>
        <v>TB Dst Saw C</v>
      </c>
      <c r="F682" s="12">
        <v>681</v>
      </c>
      <c r="G682" s="17">
        <f t="shared" si="62"/>
        <v>0</v>
      </c>
      <c r="H682" s="2">
        <f t="shared" si="63"/>
        <v>0</v>
      </c>
      <c r="I682" s="3" t="s">
        <v>3714</v>
      </c>
      <c r="J682" s="17">
        <f t="shared" si="64"/>
        <v>0</v>
      </c>
      <c r="K682" s="2">
        <f t="shared" si="65"/>
        <v>0</v>
      </c>
      <c r="L682" s="12" t="s">
        <v>3714</v>
      </c>
    </row>
    <row r="683" spans="1:12" x14ac:dyDescent="0.25">
      <c r="A683" s="11" t="s">
        <v>2082</v>
      </c>
      <c r="B683" s="2" t="str">
        <f t="shared" si="60"/>
        <v>ClassicHseHt</v>
      </c>
      <c r="C683" s="3">
        <v>682</v>
      </c>
      <c r="D683" s="17" t="s">
        <v>681</v>
      </c>
      <c r="E683" s="2" t="str">
        <f t="shared" si="61"/>
        <v>Juno Sqr HD</v>
      </c>
      <c r="F683" s="12">
        <v>682</v>
      </c>
      <c r="G683" s="17">
        <f t="shared" si="62"/>
        <v>806</v>
      </c>
      <c r="H683" s="2">
        <f t="shared" si="63"/>
        <v>124</v>
      </c>
      <c r="I683" s="3" t="s">
        <v>3714</v>
      </c>
      <c r="J683" s="17">
        <f t="shared" si="64"/>
        <v>0</v>
      </c>
      <c r="K683" s="2">
        <f t="shared" si="65"/>
        <v>0</v>
      </c>
      <c r="L683" s="12" t="s">
        <v>3714</v>
      </c>
    </row>
    <row r="684" spans="1:12" x14ac:dyDescent="0.25">
      <c r="A684" s="11" t="s">
        <v>2083</v>
      </c>
      <c r="B684" s="2" t="str">
        <f t="shared" si="60"/>
        <v>OrangeHit 1</v>
      </c>
      <c r="C684" s="3">
        <v>683</v>
      </c>
      <c r="D684" s="17" t="s">
        <v>682</v>
      </c>
      <c r="E684" s="2" t="str">
        <f t="shared" si="61"/>
        <v>P5 Sqr HD</v>
      </c>
      <c r="F684" s="12">
        <v>683</v>
      </c>
      <c r="G684" s="17">
        <f t="shared" si="62"/>
        <v>0</v>
      </c>
      <c r="H684" s="2">
        <f t="shared" si="63"/>
        <v>0</v>
      </c>
      <c r="I684" s="3" t="s">
        <v>3714</v>
      </c>
      <c r="J684" s="17">
        <f t="shared" si="64"/>
        <v>561</v>
      </c>
      <c r="K684" s="2">
        <f t="shared" si="65"/>
        <v>-122</v>
      </c>
      <c r="L684" s="12" t="s">
        <v>3714</v>
      </c>
    </row>
    <row r="685" spans="1:12" x14ac:dyDescent="0.25">
      <c r="A685" s="11" t="s">
        <v>2084</v>
      </c>
      <c r="B685" s="2" t="str">
        <f t="shared" si="60"/>
        <v>OrangeHit 2</v>
      </c>
      <c r="C685" s="3">
        <v>684</v>
      </c>
      <c r="D685" s="17" t="s">
        <v>683</v>
      </c>
      <c r="E685" s="2" t="str">
        <f t="shared" si="61"/>
        <v>Fat Square</v>
      </c>
      <c r="F685" s="12">
        <v>684</v>
      </c>
      <c r="G685" s="17">
        <f t="shared" si="62"/>
        <v>0</v>
      </c>
      <c r="H685" s="2">
        <f t="shared" si="63"/>
        <v>0</v>
      </c>
      <c r="I685" s="3" t="s">
        <v>3714</v>
      </c>
      <c r="J685" s="17">
        <f t="shared" si="64"/>
        <v>566</v>
      </c>
      <c r="K685" s="2">
        <f t="shared" si="65"/>
        <v>-118</v>
      </c>
      <c r="L685" s="12" t="s">
        <v>3714</v>
      </c>
    </row>
    <row r="686" spans="1:12" x14ac:dyDescent="0.25">
      <c r="A686" s="11" t="s">
        <v>2085</v>
      </c>
      <c r="B686" s="2" t="str">
        <f t="shared" si="60"/>
        <v>OrangeHit 3</v>
      </c>
      <c r="C686" s="3">
        <v>685</v>
      </c>
      <c r="D686" s="17" t="s">
        <v>684</v>
      </c>
      <c r="E686" s="2" t="str">
        <f t="shared" si="61"/>
        <v>JP-8 Square</v>
      </c>
      <c r="F686" s="12">
        <v>685</v>
      </c>
      <c r="G686" s="17">
        <f t="shared" si="62"/>
        <v>0</v>
      </c>
      <c r="H686" s="2">
        <f t="shared" si="63"/>
        <v>0</v>
      </c>
      <c r="I686" s="3" t="s">
        <v>3714</v>
      </c>
      <c r="J686" s="17">
        <f t="shared" si="64"/>
        <v>567</v>
      </c>
      <c r="K686" s="2">
        <f t="shared" si="65"/>
        <v>-118</v>
      </c>
      <c r="L686" s="12" t="s">
        <v>3714</v>
      </c>
    </row>
    <row r="687" spans="1:12" x14ac:dyDescent="0.25">
      <c r="A687" s="11" t="s">
        <v>2086</v>
      </c>
      <c r="B687" s="2" t="str">
        <f t="shared" si="60"/>
        <v>7th Hit</v>
      </c>
      <c r="C687" s="3">
        <v>686</v>
      </c>
      <c r="D687" s="17" t="s">
        <v>685</v>
      </c>
      <c r="E687" s="2" t="str">
        <f t="shared" si="61"/>
        <v>SH-2 Square</v>
      </c>
      <c r="F687" s="12">
        <v>686</v>
      </c>
      <c r="G687" s="17">
        <f t="shared" si="62"/>
        <v>0</v>
      </c>
      <c r="H687" s="2">
        <f t="shared" si="63"/>
        <v>0</v>
      </c>
      <c r="I687" s="3" t="s">
        <v>3714</v>
      </c>
      <c r="J687" s="17">
        <f t="shared" si="64"/>
        <v>0</v>
      </c>
      <c r="K687" s="2">
        <f t="shared" si="65"/>
        <v>0</v>
      </c>
      <c r="L687" s="12" t="s">
        <v>3714</v>
      </c>
    </row>
    <row r="688" spans="1:12" x14ac:dyDescent="0.25">
      <c r="A688" s="11" t="s">
        <v>2087</v>
      </c>
      <c r="B688" s="2" t="str">
        <f t="shared" si="60"/>
        <v>Brassy Hit</v>
      </c>
      <c r="C688" s="3">
        <v>687</v>
      </c>
      <c r="D688" s="17" t="s">
        <v>686</v>
      </c>
      <c r="E688" s="2" t="str">
        <f t="shared" si="61"/>
        <v>TB303 Sqr HD</v>
      </c>
      <c r="F688" s="12">
        <v>687</v>
      </c>
      <c r="G688" s="17">
        <f t="shared" si="62"/>
        <v>0</v>
      </c>
      <c r="H688" s="2">
        <f t="shared" si="63"/>
        <v>0</v>
      </c>
      <c r="I688" s="3" t="s">
        <v>3714</v>
      </c>
      <c r="J688" s="17">
        <f t="shared" si="64"/>
        <v>565</v>
      </c>
      <c r="K688" s="2">
        <f t="shared" si="65"/>
        <v>-122</v>
      </c>
      <c r="L688" s="12" t="s">
        <v>3714</v>
      </c>
    </row>
    <row r="689" spans="1:12" x14ac:dyDescent="0.25">
      <c r="A689" s="11" t="s">
        <v>2088</v>
      </c>
      <c r="B689" s="2" t="str">
        <f t="shared" si="60"/>
        <v>Drive Hit</v>
      </c>
      <c r="C689" s="3">
        <v>688</v>
      </c>
      <c r="D689" s="17" t="s">
        <v>687</v>
      </c>
      <c r="E689" s="2" t="str">
        <f t="shared" si="61"/>
        <v>LA-Square</v>
      </c>
      <c r="F689" s="12">
        <v>688</v>
      </c>
      <c r="G689" s="17">
        <f t="shared" si="62"/>
        <v>0</v>
      </c>
      <c r="H689" s="2">
        <f t="shared" si="63"/>
        <v>0</v>
      </c>
      <c r="I689" s="3" t="s">
        <v>3714</v>
      </c>
      <c r="J689" s="17">
        <f t="shared" si="64"/>
        <v>0</v>
      </c>
      <c r="K689" s="2">
        <f t="shared" si="65"/>
        <v>0</v>
      </c>
      <c r="L689" s="12" t="s">
        <v>3714</v>
      </c>
    </row>
    <row r="690" spans="1:12" x14ac:dyDescent="0.25">
      <c r="A690" s="11" t="s">
        <v>2089</v>
      </c>
      <c r="B690" s="2" t="str">
        <f t="shared" si="60"/>
        <v>Filtered Hit</v>
      </c>
      <c r="C690" s="3">
        <v>689</v>
      </c>
      <c r="D690" s="17" t="s">
        <v>688</v>
      </c>
      <c r="E690" s="2" t="str">
        <f t="shared" si="61"/>
        <v>TB DstSqr 1A</v>
      </c>
      <c r="F690" s="12">
        <v>689</v>
      </c>
      <c r="G690" s="17">
        <f t="shared" si="62"/>
        <v>0</v>
      </c>
      <c r="H690" s="2">
        <f t="shared" si="63"/>
        <v>0</v>
      </c>
      <c r="I690" s="3" t="s">
        <v>3714</v>
      </c>
      <c r="J690" s="17">
        <f t="shared" si="64"/>
        <v>0</v>
      </c>
      <c r="K690" s="2">
        <f t="shared" si="65"/>
        <v>0</v>
      </c>
      <c r="L690" s="12" t="s">
        <v>3714</v>
      </c>
    </row>
    <row r="691" spans="1:12" x14ac:dyDescent="0.25">
      <c r="A691" s="11" t="s">
        <v>2090</v>
      </c>
      <c r="B691" s="2" t="str">
        <f t="shared" si="60"/>
        <v>Mild Hit</v>
      </c>
      <c r="C691" s="3">
        <v>690</v>
      </c>
      <c r="D691" s="17" t="s">
        <v>689</v>
      </c>
      <c r="E691" s="2" t="str">
        <f t="shared" si="61"/>
        <v>TB DstSqr 1B</v>
      </c>
      <c r="F691" s="12">
        <v>690</v>
      </c>
      <c r="G691" s="17">
        <f t="shared" si="62"/>
        <v>0</v>
      </c>
      <c r="H691" s="2">
        <f t="shared" si="63"/>
        <v>0</v>
      </c>
      <c r="I691" s="3" t="s">
        <v>3714</v>
      </c>
      <c r="J691" s="17">
        <f t="shared" si="64"/>
        <v>0</v>
      </c>
      <c r="K691" s="2">
        <f t="shared" si="65"/>
        <v>0</v>
      </c>
      <c r="L691" s="12" t="s">
        <v>3714</v>
      </c>
    </row>
    <row r="692" spans="1:12" x14ac:dyDescent="0.25">
      <c r="A692" s="11" t="s">
        <v>2091</v>
      </c>
      <c r="B692" s="2" t="str">
        <f t="shared" si="60"/>
        <v>Narrow Hit 1</v>
      </c>
      <c r="C692" s="3">
        <v>691</v>
      </c>
      <c r="D692" s="17" t="s">
        <v>690</v>
      </c>
      <c r="E692" s="2" t="str">
        <f t="shared" si="61"/>
        <v>TB DstSqr 1C</v>
      </c>
      <c r="F692" s="12">
        <v>691</v>
      </c>
      <c r="G692" s="17">
        <f t="shared" si="62"/>
        <v>807</v>
      </c>
      <c r="H692" s="2">
        <f t="shared" si="63"/>
        <v>116</v>
      </c>
      <c r="I692" s="3" t="s">
        <v>3714</v>
      </c>
      <c r="J692" s="17">
        <f t="shared" si="64"/>
        <v>0</v>
      </c>
      <c r="K692" s="2">
        <f t="shared" si="65"/>
        <v>0</v>
      </c>
      <c r="L692" s="12" t="s">
        <v>3714</v>
      </c>
    </row>
    <row r="693" spans="1:12" x14ac:dyDescent="0.25">
      <c r="A693" s="11" t="s">
        <v>2092</v>
      </c>
      <c r="B693" s="2" t="str">
        <f t="shared" si="60"/>
        <v>Narrow Hit 2</v>
      </c>
      <c r="C693" s="3">
        <v>692</v>
      </c>
      <c r="D693" s="17" t="s">
        <v>691</v>
      </c>
      <c r="E693" s="2" t="str">
        <f t="shared" si="61"/>
        <v>Dist SquareA</v>
      </c>
      <c r="F693" s="12">
        <v>692</v>
      </c>
      <c r="G693" s="17">
        <f t="shared" si="62"/>
        <v>808</v>
      </c>
      <c r="H693" s="2">
        <f t="shared" si="63"/>
        <v>116</v>
      </c>
      <c r="I693" s="3" t="s">
        <v>3714</v>
      </c>
      <c r="J693" s="17">
        <f t="shared" si="64"/>
        <v>0</v>
      </c>
      <c r="K693" s="2">
        <f t="shared" si="65"/>
        <v>0</v>
      </c>
      <c r="L693" s="12" t="s">
        <v>3714</v>
      </c>
    </row>
    <row r="694" spans="1:12" x14ac:dyDescent="0.25">
      <c r="A694" s="11" t="s">
        <v>2093</v>
      </c>
      <c r="B694" s="2" t="str">
        <f t="shared" si="60"/>
        <v>Euro Hit</v>
      </c>
      <c r="C694" s="3">
        <v>693</v>
      </c>
      <c r="D694" s="17" t="s">
        <v>692</v>
      </c>
      <c r="E694" s="2" t="str">
        <f t="shared" si="61"/>
        <v>Dist SquareB</v>
      </c>
      <c r="F694" s="12">
        <v>693</v>
      </c>
      <c r="G694" s="17">
        <f t="shared" si="62"/>
        <v>809</v>
      </c>
      <c r="H694" s="2">
        <f t="shared" si="63"/>
        <v>116</v>
      </c>
      <c r="I694" s="3" t="s">
        <v>3714</v>
      </c>
      <c r="J694" s="17">
        <f t="shared" si="64"/>
        <v>0</v>
      </c>
      <c r="K694" s="2">
        <f t="shared" si="65"/>
        <v>0</v>
      </c>
      <c r="L694" s="12" t="s">
        <v>3714</v>
      </c>
    </row>
    <row r="695" spans="1:12" x14ac:dyDescent="0.25">
      <c r="A695" s="11" t="s">
        <v>2094</v>
      </c>
      <c r="B695" s="2" t="str">
        <f t="shared" si="60"/>
        <v>Dist Hit</v>
      </c>
      <c r="C695" s="3">
        <v>694</v>
      </c>
      <c r="D695" s="17" t="s">
        <v>693</v>
      </c>
      <c r="E695" s="2" t="str">
        <f t="shared" si="61"/>
        <v>Dist SquareC</v>
      </c>
      <c r="F695" s="12">
        <v>694</v>
      </c>
      <c r="G695" s="17">
        <f t="shared" si="62"/>
        <v>810</v>
      </c>
      <c r="H695" s="2">
        <f t="shared" si="63"/>
        <v>116</v>
      </c>
      <c r="I695" s="3" t="s">
        <v>3714</v>
      </c>
      <c r="J695" s="17">
        <f t="shared" si="64"/>
        <v>0</v>
      </c>
      <c r="K695" s="2">
        <f t="shared" si="65"/>
        <v>0</v>
      </c>
      <c r="L695" s="12" t="s">
        <v>3714</v>
      </c>
    </row>
    <row r="696" spans="1:12" x14ac:dyDescent="0.25">
      <c r="A696" s="11" t="s">
        <v>2095</v>
      </c>
      <c r="B696" s="2" t="str">
        <f t="shared" si="60"/>
        <v>Thin Beef</v>
      </c>
      <c r="C696" s="3">
        <v>695</v>
      </c>
      <c r="D696" s="17" t="s">
        <v>694</v>
      </c>
      <c r="E696" s="2" t="str">
        <f t="shared" si="61"/>
        <v>Juno Pls HD</v>
      </c>
      <c r="F696" s="12">
        <v>695</v>
      </c>
      <c r="G696" s="17">
        <f t="shared" si="62"/>
        <v>811</v>
      </c>
      <c r="H696" s="2">
        <f t="shared" si="63"/>
        <v>116</v>
      </c>
      <c r="I696" s="3" t="s">
        <v>3714</v>
      </c>
      <c r="J696" s="17">
        <f t="shared" si="64"/>
        <v>0</v>
      </c>
      <c r="K696" s="2">
        <f t="shared" si="65"/>
        <v>0</v>
      </c>
      <c r="L696" s="12" t="s">
        <v>3714</v>
      </c>
    </row>
    <row r="697" spans="1:12" x14ac:dyDescent="0.25">
      <c r="A697" s="11" t="s">
        <v>2096</v>
      </c>
      <c r="B697" s="2" t="str">
        <f t="shared" si="60"/>
        <v>Tao Hit</v>
      </c>
      <c r="C697" s="3">
        <v>696</v>
      </c>
      <c r="D697" s="17" t="s">
        <v>695</v>
      </c>
      <c r="E697" s="2" t="str">
        <f t="shared" si="61"/>
        <v>JP8 Pls 10HD</v>
      </c>
      <c r="F697" s="12">
        <v>696</v>
      </c>
      <c r="G697" s="17">
        <f t="shared" si="62"/>
        <v>812</v>
      </c>
      <c r="H697" s="2">
        <f t="shared" si="63"/>
        <v>116</v>
      </c>
      <c r="I697" s="3" t="s">
        <v>3714</v>
      </c>
      <c r="J697" s="17">
        <f t="shared" si="64"/>
        <v>0</v>
      </c>
      <c r="K697" s="2">
        <f t="shared" si="65"/>
        <v>0</v>
      </c>
      <c r="L697" s="12" t="s">
        <v>3714</v>
      </c>
    </row>
    <row r="698" spans="1:12" x14ac:dyDescent="0.25">
      <c r="A698" s="11" t="s">
        <v>2097</v>
      </c>
      <c r="B698" s="2" t="str">
        <f t="shared" si="60"/>
        <v>Smear Hit 1</v>
      </c>
      <c r="C698" s="3">
        <v>697</v>
      </c>
      <c r="D698" s="17" t="s">
        <v>696</v>
      </c>
      <c r="E698" s="2" t="str">
        <f t="shared" si="61"/>
        <v>JP8 Pls 15HD</v>
      </c>
      <c r="F698" s="12">
        <v>697</v>
      </c>
      <c r="G698" s="17">
        <f t="shared" si="62"/>
        <v>813</v>
      </c>
      <c r="H698" s="2">
        <f t="shared" si="63"/>
        <v>116</v>
      </c>
      <c r="I698" s="3" t="s">
        <v>3714</v>
      </c>
      <c r="J698" s="17">
        <f t="shared" si="64"/>
        <v>0</v>
      </c>
      <c r="K698" s="2">
        <f t="shared" si="65"/>
        <v>0</v>
      </c>
      <c r="L698" s="12" t="s">
        <v>3714</v>
      </c>
    </row>
    <row r="699" spans="1:12" x14ac:dyDescent="0.25">
      <c r="A699" s="11" t="s">
        <v>2098</v>
      </c>
      <c r="B699" s="2" t="str">
        <f t="shared" si="60"/>
        <v>Smear Hit 2</v>
      </c>
      <c r="C699" s="3">
        <v>698</v>
      </c>
      <c r="D699" s="17" t="s">
        <v>697</v>
      </c>
      <c r="E699" s="2" t="str">
        <f t="shared" si="61"/>
        <v>JP8 Pls 25HD</v>
      </c>
      <c r="F699" s="12">
        <v>698</v>
      </c>
      <c r="G699" s="17">
        <f t="shared" si="62"/>
        <v>814</v>
      </c>
      <c r="H699" s="2">
        <f t="shared" si="63"/>
        <v>116</v>
      </c>
      <c r="I699" s="3" t="s">
        <v>3714</v>
      </c>
      <c r="J699" s="17">
        <f t="shared" si="64"/>
        <v>0</v>
      </c>
      <c r="K699" s="2">
        <f t="shared" si="65"/>
        <v>0</v>
      </c>
      <c r="L699" s="12" t="s">
        <v>3714</v>
      </c>
    </row>
    <row r="700" spans="1:12" x14ac:dyDescent="0.25">
      <c r="A700" s="11" t="s">
        <v>2099</v>
      </c>
      <c r="B700" s="2" t="str">
        <f t="shared" si="60"/>
        <v>LoFi Min Hit</v>
      </c>
      <c r="C700" s="3">
        <v>699</v>
      </c>
      <c r="D700" s="17" t="s">
        <v>698</v>
      </c>
      <c r="E700" s="2" t="str">
        <f t="shared" si="61"/>
        <v>JP8 Pls 30HD</v>
      </c>
      <c r="F700" s="12">
        <v>699</v>
      </c>
      <c r="G700" s="17">
        <f t="shared" si="62"/>
        <v>815</v>
      </c>
      <c r="H700" s="2">
        <f t="shared" si="63"/>
        <v>116</v>
      </c>
      <c r="I700" s="3" t="s">
        <v>3714</v>
      </c>
      <c r="J700" s="17">
        <f t="shared" si="64"/>
        <v>0</v>
      </c>
      <c r="K700" s="2">
        <f t="shared" si="65"/>
        <v>0</v>
      </c>
      <c r="L700" s="12" t="s">
        <v>3714</v>
      </c>
    </row>
    <row r="701" spans="1:12" x14ac:dyDescent="0.25">
      <c r="A701" s="11" t="s">
        <v>2100</v>
      </c>
      <c r="B701" s="2" t="str">
        <f t="shared" si="60"/>
        <v>Orch. Hit</v>
      </c>
      <c r="C701" s="3">
        <v>700</v>
      </c>
      <c r="D701" s="17" t="s">
        <v>699</v>
      </c>
      <c r="E701" s="2" t="str">
        <f t="shared" si="61"/>
        <v>JP8 Pls 40HD</v>
      </c>
      <c r="F701" s="12">
        <v>700</v>
      </c>
      <c r="G701" s="17">
        <f t="shared" si="62"/>
        <v>816</v>
      </c>
      <c r="H701" s="2">
        <f t="shared" si="63"/>
        <v>116</v>
      </c>
      <c r="I701" s="3" t="s">
        <v>3714</v>
      </c>
      <c r="J701" s="17">
        <f t="shared" si="64"/>
        <v>0</v>
      </c>
      <c r="K701" s="2">
        <f t="shared" si="65"/>
        <v>0</v>
      </c>
      <c r="L701" s="12" t="s">
        <v>3714</v>
      </c>
    </row>
    <row r="702" spans="1:12" x14ac:dyDescent="0.25">
      <c r="A702" s="11" t="s">
        <v>2101</v>
      </c>
      <c r="B702" s="2" t="str">
        <f t="shared" si="60"/>
        <v>Punch Hit</v>
      </c>
      <c r="C702" s="3">
        <v>701</v>
      </c>
      <c r="D702" s="17" t="s">
        <v>700</v>
      </c>
      <c r="E702" s="2" t="str">
        <f t="shared" si="61"/>
        <v>JP8 Pls 45HD</v>
      </c>
      <c r="F702" s="12">
        <v>701</v>
      </c>
      <c r="G702" s="17">
        <f t="shared" si="62"/>
        <v>817</v>
      </c>
      <c r="H702" s="2">
        <f t="shared" si="63"/>
        <v>116</v>
      </c>
      <c r="I702" s="3" t="s">
        <v>3714</v>
      </c>
      <c r="J702" s="17">
        <f t="shared" si="64"/>
        <v>0</v>
      </c>
      <c r="K702" s="2">
        <f t="shared" si="65"/>
        <v>0</v>
      </c>
      <c r="L702" s="12" t="s">
        <v>3714</v>
      </c>
    </row>
    <row r="703" spans="1:12" x14ac:dyDescent="0.25">
      <c r="A703" s="11" t="s">
        <v>2102</v>
      </c>
      <c r="B703" s="2" t="str">
        <f t="shared" si="60"/>
        <v>O'Skool Hit</v>
      </c>
      <c r="C703" s="3">
        <v>702</v>
      </c>
      <c r="D703" s="17" t="s">
        <v>701</v>
      </c>
      <c r="E703" s="2" t="str">
        <f t="shared" si="61"/>
        <v>Syn Pulse 1</v>
      </c>
      <c r="F703" s="12">
        <v>702</v>
      </c>
      <c r="G703" s="17">
        <f t="shared" si="62"/>
        <v>818</v>
      </c>
      <c r="H703" s="2">
        <f t="shared" si="63"/>
        <v>116</v>
      </c>
      <c r="I703" s="3" t="s">
        <v>3714</v>
      </c>
      <c r="J703" s="17">
        <f t="shared" si="64"/>
        <v>572</v>
      </c>
      <c r="K703" s="2">
        <f t="shared" si="65"/>
        <v>-130</v>
      </c>
      <c r="L703" s="12" t="s">
        <v>3714</v>
      </c>
    </row>
    <row r="704" spans="1:12" x14ac:dyDescent="0.25">
      <c r="A704" s="11" t="s">
        <v>2103</v>
      </c>
      <c r="B704" s="2" t="str">
        <f t="shared" si="60"/>
        <v>Philly Hit</v>
      </c>
      <c r="C704" s="3">
        <v>703</v>
      </c>
      <c r="D704" s="17" t="s">
        <v>702</v>
      </c>
      <c r="E704" s="2" t="str">
        <f t="shared" si="61"/>
        <v>Syn Pulse 2</v>
      </c>
      <c r="F704" s="12">
        <v>703</v>
      </c>
      <c r="G704" s="17">
        <f t="shared" si="62"/>
        <v>819</v>
      </c>
      <c r="H704" s="2">
        <f t="shared" si="63"/>
        <v>116</v>
      </c>
      <c r="I704" s="3" t="s">
        <v>3714</v>
      </c>
      <c r="J704" s="17">
        <f t="shared" si="64"/>
        <v>573</v>
      </c>
      <c r="K704" s="2">
        <f t="shared" si="65"/>
        <v>-130</v>
      </c>
      <c r="L704" s="12" t="s">
        <v>3714</v>
      </c>
    </row>
    <row r="705" spans="1:12" x14ac:dyDescent="0.25">
      <c r="A705" s="11" t="s">
        <v>2104</v>
      </c>
      <c r="B705" s="2" t="str">
        <f t="shared" si="60"/>
        <v>Scratch 1</v>
      </c>
      <c r="C705" s="3">
        <v>704</v>
      </c>
      <c r="D705" s="17" t="s">
        <v>703</v>
      </c>
      <c r="E705" s="2" t="str">
        <f t="shared" si="61"/>
        <v>SH-1000 Puls</v>
      </c>
      <c r="F705" s="12">
        <v>704</v>
      </c>
      <c r="G705" s="17">
        <f t="shared" si="62"/>
        <v>820</v>
      </c>
      <c r="H705" s="2">
        <f t="shared" si="63"/>
        <v>116</v>
      </c>
      <c r="I705" s="3" t="s">
        <v>3714</v>
      </c>
      <c r="J705" s="17">
        <f t="shared" si="64"/>
        <v>0</v>
      </c>
      <c r="K705" s="2">
        <f t="shared" si="65"/>
        <v>0</v>
      </c>
      <c r="L705" s="12" t="s">
        <v>3714</v>
      </c>
    </row>
    <row r="706" spans="1:12" x14ac:dyDescent="0.25">
      <c r="A706" s="11" t="s">
        <v>2105</v>
      </c>
      <c r="B706" s="2" t="str">
        <f t="shared" ref="B706:B769" si="66">_xlfn.TEXTAFTER(A706," ",1)</f>
        <v>Scratch 2</v>
      </c>
      <c r="C706" s="3">
        <v>705</v>
      </c>
      <c r="D706" s="17" t="s">
        <v>704</v>
      </c>
      <c r="E706" s="2" t="str">
        <f t="shared" ref="E706:E769" si="67">_xlfn.TEXTAFTER(D706," ",1)</f>
        <v>700 Triangle</v>
      </c>
      <c r="F706" s="12">
        <v>705</v>
      </c>
      <c r="G706" s="17">
        <f t="shared" si="62"/>
        <v>821</v>
      </c>
      <c r="H706" s="2">
        <f t="shared" si="63"/>
        <v>116</v>
      </c>
      <c r="I706" s="3" t="s">
        <v>3714</v>
      </c>
      <c r="J706" s="17">
        <f t="shared" si="64"/>
        <v>575</v>
      </c>
      <c r="K706" s="2">
        <f t="shared" si="65"/>
        <v>-130</v>
      </c>
      <c r="L706" s="12" t="s">
        <v>3714</v>
      </c>
    </row>
    <row r="707" spans="1:12" x14ac:dyDescent="0.25">
      <c r="A707" s="11" t="s">
        <v>2106</v>
      </c>
      <c r="B707" s="2" t="str">
        <f t="shared" si="66"/>
        <v>Scratch 3</v>
      </c>
      <c r="C707" s="3">
        <v>706</v>
      </c>
      <c r="D707" s="17" t="s">
        <v>705</v>
      </c>
      <c r="E707" s="2" t="str">
        <f t="shared" si="67"/>
        <v>Syn Triangle</v>
      </c>
      <c r="F707" s="12">
        <v>706</v>
      </c>
      <c r="G707" s="17">
        <f t="shared" ref="G707:G770" si="68">_xlfn.IFNA(_xlfn.XMATCH(B707,E$2:E$1402,0,1),0)</f>
        <v>822</v>
      </c>
      <c r="H707" s="2">
        <f t="shared" ref="H707:H770" si="69">IF(G707=0,0,G707-C707)</f>
        <v>116</v>
      </c>
      <c r="I707" s="3" t="s">
        <v>3714</v>
      </c>
      <c r="J707" s="17">
        <f t="shared" ref="J707:J770" si="70">_xlfn.IFNA(_xlfn.XMATCH(E707,B$2:B$1229,0,1),0)</f>
        <v>576</v>
      </c>
      <c r="K707" s="2">
        <f t="shared" ref="K707:K770" si="71">IF(J707=0,0,J707-F707)</f>
        <v>-130</v>
      </c>
      <c r="L707" s="12" t="s">
        <v>3714</v>
      </c>
    </row>
    <row r="708" spans="1:12" x14ac:dyDescent="0.25">
      <c r="A708" s="11" t="s">
        <v>2107</v>
      </c>
      <c r="B708" s="2" t="str">
        <f t="shared" si="66"/>
        <v>Scratch 4</v>
      </c>
      <c r="C708" s="3">
        <v>707</v>
      </c>
      <c r="D708" s="17" t="s">
        <v>706</v>
      </c>
      <c r="E708" s="2" t="str">
        <f t="shared" si="67"/>
        <v>JD Triangle</v>
      </c>
      <c r="F708" s="12">
        <v>707</v>
      </c>
      <c r="G708" s="17">
        <f t="shared" si="68"/>
        <v>823</v>
      </c>
      <c r="H708" s="2">
        <f t="shared" si="69"/>
        <v>116</v>
      </c>
      <c r="I708" s="3" t="s">
        <v>3714</v>
      </c>
      <c r="J708" s="17">
        <f t="shared" si="70"/>
        <v>577</v>
      </c>
      <c r="K708" s="2">
        <f t="shared" si="71"/>
        <v>-130</v>
      </c>
      <c r="L708" s="12" t="s">
        <v>3714</v>
      </c>
    </row>
    <row r="709" spans="1:12" x14ac:dyDescent="0.25">
      <c r="A709" s="11" t="s">
        <v>2108</v>
      </c>
      <c r="B709" s="2" t="str">
        <f t="shared" si="66"/>
        <v>Scratch 5</v>
      </c>
      <c r="C709" s="3">
        <v>708</v>
      </c>
      <c r="D709" s="17" t="s">
        <v>707</v>
      </c>
      <c r="E709" s="2" t="str">
        <f t="shared" si="67"/>
        <v>VS-Triangle</v>
      </c>
      <c r="F709" s="12">
        <v>708</v>
      </c>
      <c r="G709" s="17">
        <f t="shared" si="68"/>
        <v>824</v>
      </c>
      <c r="H709" s="2">
        <f t="shared" si="69"/>
        <v>116</v>
      </c>
      <c r="I709" s="3" t="s">
        <v>3714</v>
      </c>
      <c r="J709" s="17">
        <f t="shared" si="70"/>
        <v>0</v>
      </c>
      <c r="K709" s="2">
        <f t="shared" si="71"/>
        <v>0</v>
      </c>
      <c r="L709" s="12" t="s">
        <v>3714</v>
      </c>
    </row>
    <row r="710" spans="1:12" x14ac:dyDescent="0.25">
      <c r="A710" s="11" t="s">
        <v>2109</v>
      </c>
      <c r="B710" s="2" t="str">
        <f t="shared" si="66"/>
        <v>Scratch 6</v>
      </c>
      <c r="C710" s="3">
        <v>709</v>
      </c>
      <c r="D710" s="17" t="s">
        <v>708</v>
      </c>
      <c r="E710" s="2" t="str">
        <f t="shared" si="67"/>
        <v>Mild Form</v>
      </c>
      <c r="F710" s="12">
        <v>709</v>
      </c>
      <c r="G710" s="17">
        <f t="shared" si="68"/>
        <v>825</v>
      </c>
      <c r="H710" s="2">
        <f t="shared" si="69"/>
        <v>116</v>
      </c>
      <c r="I710" s="3" t="s">
        <v>3714</v>
      </c>
      <c r="J710" s="17">
        <f t="shared" si="70"/>
        <v>538</v>
      </c>
      <c r="K710" s="2">
        <f t="shared" si="71"/>
        <v>-171</v>
      </c>
      <c r="L710" s="12" t="s">
        <v>3714</v>
      </c>
    </row>
    <row r="711" spans="1:12" x14ac:dyDescent="0.25">
      <c r="A711" s="11" t="s">
        <v>2110</v>
      </c>
      <c r="B711" s="2" t="str">
        <f t="shared" si="66"/>
        <v>Scratch 7</v>
      </c>
      <c r="C711" s="3">
        <v>710</v>
      </c>
      <c r="D711" s="17" t="s">
        <v>709</v>
      </c>
      <c r="E711" s="2" t="str">
        <f t="shared" si="67"/>
        <v>VS-Ramp</v>
      </c>
      <c r="F711" s="12">
        <v>710</v>
      </c>
      <c r="G711" s="17">
        <f t="shared" si="68"/>
        <v>826</v>
      </c>
      <c r="H711" s="2">
        <f t="shared" si="69"/>
        <v>116</v>
      </c>
      <c r="I711" s="3" t="s">
        <v>3714</v>
      </c>
      <c r="J711" s="17">
        <f t="shared" si="70"/>
        <v>0</v>
      </c>
      <c r="K711" s="2">
        <f t="shared" si="71"/>
        <v>0</v>
      </c>
      <c r="L711" s="12" t="s">
        <v>3714</v>
      </c>
    </row>
    <row r="712" spans="1:12" x14ac:dyDescent="0.25">
      <c r="A712" s="11" t="s">
        <v>2111</v>
      </c>
      <c r="B712" s="2" t="str">
        <f t="shared" si="66"/>
        <v>Scratch 8</v>
      </c>
      <c r="C712" s="3">
        <v>711</v>
      </c>
      <c r="D712" s="17" t="s">
        <v>710</v>
      </c>
      <c r="E712" s="2" t="str">
        <f t="shared" si="67"/>
        <v>Sync Sweep</v>
      </c>
      <c r="F712" s="12">
        <v>711</v>
      </c>
      <c r="G712" s="17">
        <f t="shared" si="68"/>
        <v>0</v>
      </c>
      <c r="H712" s="2">
        <f t="shared" si="69"/>
        <v>0</v>
      </c>
      <c r="I712" s="3" t="s">
        <v>3714</v>
      </c>
      <c r="J712" s="17">
        <f t="shared" si="70"/>
        <v>0</v>
      </c>
      <c r="K712" s="2">
        <f t="shared" si="71"/>
        <v>0</v>
      </c>
      <c r="L712" s="12" t="s">
        <v>3714</v>
      </c>
    </row>
    <row r="713" spans="1:12" x14ac:dyDescent="0.25">
      <c r="A713" s="11" t="s">
        <v>2112</v>
      </c>
      <c r="B713" s="2" t="str">
        <f t="shared" si="66"/>
        <v>Scratch 9</v>
      </c>
      <c r="C713" s="3">
        <v>712</v>
      </c>
      <c r="D713" s="17" t="s">
        <v>711</v>
      </c>
      <c r="E713" s="2" t="str">
        <f t="shared" si="67"/>
        <v>Sine</v>
      </c>
      <c r="F713" s="12">
        <v>712</v>
      </c>
      <c r="G713" s="17">
        <f t="shared" si="68"/>
        <v>827</v>
      </c>
      <c r="H713" s="2">
        <f t="shared" si="69"/>
        <v>115</v>
      </c>
      <c r="I713" s="3" t="s">
        <v>3714</v>
      </c>
      <c r="J713" s="17">
        <f t="shared" si="70"/>
        <v>579</v>
      </c>
      <c r="K713" s="2">
        <f t="shared" si="71"/>
        <v>-133</v>
      </c>
      <c r="L713" s="12" t="s">
        <v>3714</v>
      </c>
    </row>
    <row r="714" spans="1:12" x14ac:dyDescent="0.25">
      <c r="A714" s="11" t="s">
        <v>2113</v>
      </c>
      <c r="B714" s="2" t="str">
        <f t="shared" si="66"/>
        <v>Scratch 10</v>
      </c>
      <c r="C714" s="3">
        <v>713</v>
      </c>
      <c r="D714" s="17" t="s">
        <v>712</v>
      </c>
      <c r="E714" s="2" t="str">
        <f t="shared" si="67"/>
        <v>JD Fine Wine</v>
      </c>
      <c r="F714" s="12">
        <v>713</v>
      </c>
      <c r="G714" s="17">
        <f t="shared" si="68"/>
        <v>828</v>
      </c>
      <c r="H714" s="2">
        <f t="shared" si="69"/>
        <v>115</v>
      </c>
      <c r="I714" s="3" t="s">
        <v>3714</v>
      </c>
      <c r="J714" s="17">
        <f t="shared" si="70"/>
        <v>581</v>
      </c>
      <c r="K714" s="2">
        <f t="shared" si="71"/>
        <v>-132</v>
      </c>
      <c r="L714" s="12" t="s">
        <v>3714</v>
      </c>
    </row>
    <row r="715" spans="1:12" x14ac:dyDescent="0.25">
      <c r="A715" s="11" t="s">
        <v>2114</v>
      </c>
      <c r="B715" s="2" t="str">
        <f t="shared" si="66"/>
        <v>MG Zap 1</v>
      </c>
      <c r="C715" s="3">
        <v>714</v>
      </c>
      <c r="D715" s="17" t="s">
        <v>713</v>
      </c>
      <c r="E715" s="2" t="str">
        <f t="shared" si="67"/>
        <v>Digi Loop</v>
      </c>
      <c r="F715" s="12">
        <v>714</v>
      </c>
      <c r="G715" s="17">
        <f t="shared" si="68"/>
        <v>831</v>
      </c>
      <c r="H715" s="2">
        <f t="shared" si="69"/>
        <v>117</v>
      </c>
      <c r="I715" s="3" t="s">
        <v>3714</v>
      </c>
      <c r="J715" s="17">
        <f t="shared" si="70"/>
        <v>0</v>
      </c>
      <c r="K715" s="2">
        <f t="shared" si="71"/>
        <v>0</v>
      </c>
      <c r="L715" s="12" t="s">
        <v>3714</v>
      </c>
    </row>
    <row r="716" spans="1:12" x14ac:dyDescent="0.25">
      <c r="A716" s="11" t="s">
        <v>2115</v>
      </c>
      <c r="B716" s="2" t="str">
        <f t="shared" si="66"/>
        <v>MG Zap 2</v>
      </c>
      <c r="C716" s="3">
        <v>715</v>
      </c>
      <c r="D716" s="17" t="s">
        <v>714</v>
      </c>
      <c r="E716" s="2" t="str">
        <f t="shared" si="67"/>
        <v>JD MetalWind</v>
      </c>
      <c r="F716" s="12">
        <v>715</v>
      </c>
      <c r="G716" s="17">
        <f t="shared" si="68"/>
        <v>832</v>
      </c>
      <c r="H716" s="2">
        <f t="shared" si="69"/>
        <v>117</v>
      </c>
      <c r="I716" s="3" t="s">
        <v>3714</v>
      </c>
      <c r="J716" s="17">
        <f t="shared" si="70"/>
        <v>584</v>
      </c>
      <c r="K716" s="2">
        <f t="shared" si="71"/>
        <v>-131</v>
      </c>
      <c r="L716" s="12" t="s">
        <v>3714</v>
      </c>
    </row>
    <row r="717" spans="1:12" x14ac:dyDescent="0.25">
      <c r="A717" s="11" t="s">
        <v>2116</v>
      </c>
      <c r="B717" s="2" t="str">
        <f t="shared" si="66"/>
        <v>MG Zap 3</v>
      </c>
      <c r="C717" s="3">
        <v>716</v>
      </c>
      <c r="D717" s="17" t="s">
        <v>715</v>
      </c>
      <c r="E717" s="2" t="str">
        <f t="shared" si="67"/>
        <v>Atmosphere</v>
      </c>
      <c r="F717" s="12">
        <v>716</v>
      </c>
      <c r="G717" s="17">
        <f t="shared" si="68"/>
        <v>833</v>
      </c>
      <c r="H717" s="2">
        <f t="shared" si="69"/>
        <v>117</v>
      </c>
      <c r="I717" s="3" t="s">
        <v>3714</v>
      </c>
      <c r="J717" s="17">
        <f t="shared" si="70"/>
        <v>585</v>
      </c>
      <c r="K717" s="2">
        <f t="shared" si="71"/>
        <v>-131</v>
      </c>
      <c r="L717" s="12" t="s">
        <v>3714</v>
      </c>
    </row>
    <row r="718" spans="1:12" x14ac:dyDescent="0.25">
      <c r="A718" s="11" t="s">
        <v>2117</v>
      </c>
      <c r="B718" s="2" t="str">
        <f t="shared" si="66"/>
        <v>MG Zap 4</v>
      </c>
      <c r="C718" s="3">
        <v>717</v>
      </c>
      <c r="D718" s="17" t="s">
        <v>716</v>
      </c>
      <c r="E718" s="2" t="str">
        <f t="shared" si="67"/>
        <v>DigiSpectrum</v>
      </c>
      <c r="F718" s="12">
        <v>717</v>
      </c>
      <c r="G718" s="17">
        <f t="shared" si="68"/>
        <v>834</v>
      </c>
      <c r="H718" s="2">
        <f t="shared" si="69"/>
        <v>117</v>
      </c>
      <c r="I718" s="3" t="s">
        <v>3714</v>
      </c>
      <c r="J718" s="17">
        <f t="shared" si="70"/>
        <v>586</v>
      </c>
      <c r="K718" s="2">
        <f t="shared" si="71"/>
        <v>-131</v>
      </c>
      <c r="L718" s="12" t="s">
        <v>3714</v>
      </c>
    </row>
    <row r="719" spans="1:12" x14ac:dyDescent="0.25">
      <c r="A719" s="11" t="s">
        <v>2118</v>
      </c>
      <c r="B719" s="2" t="str">
        <f t="shared" si="66"/>
        <v>MG Zap 5</v>
      </c>
      <c r="C719" s="3">
        <v>718</v>
      </c>
      <c r="D719" s="17" t="s">
        <v>717</v>
      </c>
      <c r="E719" s="2" t="str">
        <f t="shared" si="67"/>
        <v>JD Vox Noise</v>
      </c>
      <c r="F719" s="12">
        <v>718</v>
      </c>
      <c r="G719" s="17">
        <f t="shared" si="68"/>
        <v>835</v>
      </c>
      <c r="H719" s="2">
        <f t="shared" si="69"/>
        <v>117</v>
      </c>
      <c r="I719" s="3" t="s">
        <v>3714</v>
      </c>
      <c r="J719" s="17">
        <f t="shared" si="70"/>
        <v>587</v>
      </c>
      <c r="K719" s="2">
        <f t="shared" si="71"/>
        <v>-131</v>
      </c>
      <c r="L719" s="12" t="s">
        <v>3714</v>
      </c>
    </row>
    <row r="720" spans="1:12" x14ac:dyDescent="0.25">
      <c r="A720" s="11" t="s">
        <v>2119</v>
      </c>
      <c r="B720" s="2" t="str">
        <f t="shared" si="66"/>
        <v>MG Zap 6</v>
      </c>
      <c r="C720" s="3">
        <v>719</v>
      </c>
      <c r="D720" s="17" t="s">
        <v>718</v>
      </c>
      <c r="E720" s="2" t="str">
        <f t="shared" si="67"/>
        <v>SynVox Noise</v>
      </c>
      <c r="F720" s="12">
        <v>719</v>
      </c>
      <c r="G720" s="17">
        <f t="shared" si="68"/>
        <v>836</v>
      </c>
      <c r="H720" s="2">
        <f t="shared" si="69"/>
        <v>117</v>
      </c>
      <c r="I720" s="3" t="s">
        <v>3714</v>
      </c>
      <c r="J720" s="17">
        <f t="shared" si="70"/>
        <v>588</v>
      </c>
      <c r="K720" s="2">
        <f t="shared" si="71"/>
        <v>-131</v>
      </c>
      <c r="L720" s="12" t="s">
        <v>3714</v>
      </c>
    </row>
    <row r="721" spans="1:12" x14ac:dyDescent="0.25">
      <c r="A721" s="11" t="s">
        <v>2120</v>
      </c>
      <c r="B721" s="2" t="str">
        <f t="shared" si="66"/>
        <v>MG Zap 7</v>
      </c>
      <c r="C721" s="3">
        <v>720</v>
      </c>
      <c r="D721" s="17" t="s">
        <v>719</v>
      </c>
      <c r="E721" s="2" t="str">
        <f t="shared" si="67"/>
        <v>Shaku Noise</v>
      </c>
      <c r="F721" s="12">
        <v>720</v>
      </c>
      <c r="G721" s="17">
        <f t="shared" si="68"/>
        <v>837</v>
      </c>
      <c r="H721" s="2">
        <f t="shared" si="69"/>
        <v>117</v>
      </c>
      <c r="I721" s="3" t="s">
        <v>3714</v>
      </c>
      <c r="J721" s="17">
        <f t="shared" si="70"/>
        <v>589</v>
      </c>
      <c r="K721" s="2">
        <f t="shared" si="71"/>
        <v>-131</v>
      </c>
      <c r="L721" s="12" t="s">
        <v>3714</v>
      </c>
    </row>
    <row r="722" spans="1:12" x14ac:dyDescent="0.25">
      <c r="A722" s="11" t="s">
        <v>2121</v>
      </c>
      <c r="B722" s="2" t="str">
        <f t="shared" si="66"/>
        <v>MG Zap 8</v>
      </c>
      <c r="C722" s="3">
        <v>721</v>
      </c>
      <c r="D722" s="17" t="s">
        <v>720</v>
      </c>
      <c r="E722" s="2" t="str">
        <f t="shared" si="67"/>
        <v>Digi Breath</v>
      </c>
      <c r="F722" s="12">
        <v>721</v>
      </c>
      <c r="G722" s="17">
        <f t="shared" si="68"/>
        <v>838</v>
      </c>
      <c r="H722" s="2">
        <f t="shared" si="69"/>
        <v>117</v>
      </c>
      <c r="I722" s="3" t="s">
        <v>3714</v>
      </c>
      <c r="J722" s="17">
        <f t="shared" si="70"/>
        <v>590</v>
      </c>
      <c r="K722" s="2">
        <f t="shared" si="71"/>
        <v>-131</v>
      </c>
      <c r="L722" s="12" t="s">
        <v>3714</v>
      </c>
    </row>
    <row r="723" spans="1:12" x14ac:dyDescent="0.25">
      <c r="A723" s="11" t="s">
        <v>2122</v>
      </c>
      <c r="B723" s="2" t="str">
        <f t="shared" si="66"/>
        <v>MG Zap 9</v>
      </c>
      <c r="C723" s="3">
        <v>722</v>
      </c>
      <c r="D723" s="17" t="s">
        <v>721</v>
      </c>
      <c r="E723" s="2" t="str">
        <f t="shared" si="67"/>
        <v>Agogo Noise</v>
      </c>
      <c r="F723" s="12">
        <v>722</v>
      </c>
      <c r="G723" s="17">
        <f t="shared" si="68"/>
        <v>839</v>
      </c>
      <c r="H723" s="2">
        <f t="shared" si="69"/>
        <v>117</v>
      </c>
      <c r="I723" s="3" t="s">
        <v>3714</v>
      </c>
      <c r="J723" s="17">
        <f t="shared" si="70"/>
        <v>591</v>
      </c>
      <c r="K723" s="2">
        <f t="shared" si="71"/>
        <v>-131</v>
      </c>
      <c r="L723" s="12" t="s">
        <v>3714</v>
      </c>
    </row>
    <row r="724" spans="1:12" x14ac:dyDescent="0.25">
      <c r="A724" s="11" t="s">
        <v>2123</v>
      </c>
      <c r="B724" s="2" t="str">
        <f t="shared" si="66"/>
        <v>MG Zap 10</v>
      </c>
      <c r="C724" s="3">
        <v>723</v>
      </c>
      <c r="D724" s="17" t="s">
        <v>722</v>
      </c>
      <c r="E724" s="2" t="str">
        <f t="shared" si="67"/>
        <v>Vinyl Noise</v>
      </c>
      <c r="F724" s="12">
        <v>723</v>
      </c>
      <c r="G724" s="17">
        <f t="shared" si="68"/>
        <v>840</v>
      </c>
      <c r="H724" s="2">
        <f t="shared" si="69"/>
        <v>117</v>
      </c>
      <c r="I724" s="3" t="s">
        <v>3714</v>
      </c>
      <c r="J724" s="17">
        <f t="shared" si="70"/>
        <v>594</v>
      </c>
      <c r="K724" s="2">
        <f t="shared" si="71"/>
        <v>-129</v>
      </c>
      <c r="L724" s="12" t="s">
        <v>3714</v>
      </c>
    </row>
    <row r="725" spans="1:12" x14ac:dyDescent="0.25">
      <c r="A725" s="11" t="s">
        <v>2124</v>
      </c>
      <c r="B725" s="2" t="str">
        <f t="shared" si="66"/>
        <v>MG Zap 11</v>
      </c>
      <c r="C725" s="3">
        <v>724</v>
      </c>
      <c r="D725" s="17" t="s">
        <v>723</v>
      </c>
      <c r="E725" s="2" t="str">
        <f t="shared" si="67"/>
        <v>White Noise</v>
      </c>
      <c r="F725" s="12">
        <v>724</v>
      </c>
      <c r="G725" s="17">
        <f t="shared" si="68"/>
        <v>841</v>
      </c>
      <c r="H725" s="2">
        <f t="shared" si="69"/>
        <v>117</v>
      </c>
      <c r="I725" s="3" t="s">
        <v>3714</v>
      </c>
      <c r="J725" s="17">
        <f t="shared" si="70"/>
        <v>595</v>
      </c>
      <c r="K725" s="2">
        <f t="shared" si="71"/>
        <v>-129</v>
      </c>
      <c r="L725" s="12" t="s">
        <v>3714</v>
      </c>
    </row>
    <row r="726" spans="1:12" x14ac:dyDescent="0.25">
      <c r="A726" s="11" t="s">
        <v>2125</v>
      </c>
      <c r="B726" s="2" t="str">
        <f t="shared" si="66"/>
        <v>MG Blip</v>
      </c>
      <c r="C726" s="3">
        <v>725</v>
      </c>
      <c r="D726" s="17" t="s">
        <v>724</v>
      </c>
      <c r="E726" s="2" t="str">
        <f t="shared" si="67"/>
        <v>Pink Noise</v>
      </c>
      <c r="F726" s="12">
        <v>725</v>
      </c>
      <c r="G726" s="17">
        <f t="shared" si="68"/>
        <v>842</v>
      </c>
      <c r="H726" s="2">
        <f t="shared" si="69"/>
        <v>117</v>
      </c>
      <c r="I726" s="3" t="s">
        <v>3714</v>
      </c>
      <c r="J726" s="17">
        <f t="shared" si="70"/>
        <v>596</v>
      </c>
      <c r="K726" s="2">
        <f t="shared" si="71"/>
        <v>-129</v>
      </c>
      <c r="L726" s="12" t="s">
        <v>3714</v>
      </c>
    </row>
    <row r="727" spans="1:12" x14ac:dyDescent="0.25">
      <c r="A727" s="11" t="s">
        <v>2126</v>
      </c>
      <c r="B727" s="2" t="str">
        <f t="shared" si="66"/>
        <v>Beam HiQ</v>
      </c>
      <c r="C727" s="3">
        <v>726</v>
      </c>
      <c r="D727" s="17" t="s">
        <v>725</v>
      </c>
      <c r="E727" s="2" t="str">
        <f t="shared" si="67"/>
        <v>Aah Formant</v>
      </c>
      <c r="F727" s="12">
        <v>726</v>
      </c>
      <c r="G727" s="17">
        <f t="shared" si="68"/>
        <v>843</v>
      </c>
      <c r="H727" s="2">
        <f t="shared" si="69"/>
        <v>117</v>
      </c>
      <c r="I727" s="3" t="s">
        <v>3714</v>
      </c>
      <c r="J727" s="17">
        <f t="shared" si="70"/>
        <v>601</v>
      </c>
      <c r="K727" s="2">
        <f t="shared" si="71"/>
        <v>-125</v>
      </c>
      <c r="L727" s="12" t="s">
        <v>3714</v>
      </c>
    </row>
    <row r="728" spans="1:12" x14ac:dyDescent="0.25">
      <c r="A728" s="11" t="s">
        <v>2127</v>
      </c>
      <c r="B728" s="2" t="str">
        <f t="shared" si="66"/>
        <v>MG Attack</v>
      </c>
      <c r="C728" s="3">
        <v>727</v>
      </c>
      <c r="D728" s="17" t="s">
        <v>726</v>
      </c>
      <c r="E728" s="2" t="str">
        <f t="shared" si="67"/>
        <v>Eeh Formant</v>
      </c>
      <c r="F728" s="12">
        <v>727</v>
      </c>
      <c r="G728" s="17">
        <f t="shared" si="68"/>
        <v>844</v>
      </c>
      <c r="H728" s="2">
        <f t="shared" si="69"/>
        <v>117</v>
      </c>
      <c r="I728" s="3" t="s">
        <v>3714</v>
      </c>
      <c r="J728" s="17">
        <f t="shared" si="70"/>
        <v>602</v>
      </c>
      <c r="K728" s="2">
        <f t="shared" si="71"/>
        <v>-125</v>
      </c>
      <c r="L728" s="12" t="s">
        <v>3714</v>
      </c>
    </row>
    <row r="729" spans="1:12" x14ac:dyDescent="0.25">
      <c r="A729" s="11" t="s">
        <v>2128</v>
      </c>
      <c r="B729" s="2" t="str">
        <f t="shared" si="66"/>
        <v>Syn Low Atk1</v>
      </c>
      <c r="C729" s="3">
        <v>728</v>
      </c>
      <c r="D729" s="17" t="s">
        <v>727</v>
      </c>
      <c r="E729" s="2" t="str">
        <f t="shared" si="67"/>
        <v>Iih Formant</v>
      </c>
      <c r="F729" s="12">
        <v>728</v>
      </c>
      <c r="G729" s="17">
        <f t="shared" si="68"/>
        <v>845</v>
      </c>
      <c r="H729" s="2">
        <f t="shared" si="69"/>
        <v>117</v>
      </c>
      <c r="I729" s="3" t="s">
        <v>3714</v>
      </c>
      <c r="J729" s="17">
        <f t="shared" si="70"/>
        <v>603</v>
      </c>
      <c r="K729" s="2">
        <f t="shared" si="71"/>
        <v>-125</v>
      </c>
      <c r="L729" s="12" t="s">
        <v>3714</v>
      </c>
    </row>
    <row r="730" spans="1:12" x14ac:dyDescent="0.25">
      <c r="A730" s="11" t="s">
        <v>2129</v>
      </c>
      <c r="B730" s="2" t="str">
        <f t="shared" si="66"/>
        <v>Syn Low Atk2</v>
      </c>
      <c r="C730" s="3">
        <v>729</v>
      </c>
      <c r="D730" s="17" t="s">
        <v>728</v>
      </c>
      <c r="E730" s="2" t="str">
        <f t="shared" si="67"/>
        <v>Ooh Formant</v>
      </c>
      <c r="F730" s="12">
        <v>729</v>
      </c>
      <c r="G730" s="17">
        <f t="shared" si="68"/>
        <v>846</v>
      </c>
      <c r="H730" s="2">
        <f t="shared" si="69"/>
        <v>117</v>
      </c>
      <c r="I730" s="3" t="s">
        <v>3714</v>
      </c>
      <c r="J730" s="17">
        <f t="shared" si="70"/>
        <v>604</v>
      </c>
      <c r="K730" s="2">
        <f t="shared" si="71"/>
        <v>-125</v>
      </c>
      <c r="L730" s="12" t="s">
        <v>3714</v>
      </c>
    </row>
    <row r="731" spans="1:12" x14ac:dyDescent="0.25">
      <c r="A731" s="11" t="s">
        <v>2130</v>
      </c>
      <c r="B731" s="2" t="str">
        <f t="shared" si="66"/>
        <v>Syn Hrd Atk1</v>
      </c>
      <c r="C731" s="3">
        <v>730</v>
      </c>
      <c r="D731" s="17" t="s">
        <v>729</v>
      </c>
      <c r="E731" s="2" t="str">
        <f t="shared" si="67"/>
        <v>Uuh Formant</v>
      </c>
      <c r="F731" s="12">
        <v>730</v>
      </c>
      <c r="G731" s="17">
        <f t="shared" si="68"/>
        <v>847</v>
      </c>
      <c r="H731" s="2">
        <f t="shared" si="69"/>
        <v>117</v>
      </c>
      <c r="I731" s="3" t="s">
        <v>3714</v>
      </c>
      <c r="J731" s="17">
        <f t="shared" si="70"/>
        <v>605</v>
      </c>
      <c r="K731" s="2">
        <f t="shared" si="71"/>
        <v>-125</v>
      </c>
      <c r="L731" s="12" t="s">
        <v>3714</v>
      </c>
    </row>
    <row r="732" spans="1:12" x14ac:dyDescent="0.25">
      <c r="A732" s="11" t="s">
        <v>2131</v>
      </c>
      <c r="B732" s="2" t="str">
        <f t="shared" si="66"/>
        <v>Syn Hrd Atk2</v>
      </c>
      <c r="C732" s="3">
        <v>731</v>
      </c>
      <c r="D732" s="17" t="s">
        <v>730</v>
      </c>
      <c r="E732" s="2" t="str">
        <f t="shared" si="67"/>
        <v>Metal Vox W1</v>
      </c>
      <c r="F732" s="12">
        <v>731</v>
      </c>
      <c r="G732" s="17">
        <f t="shared" si="68"/>
        <v>848</v>
      </c>
      <c r="H732" s="2">
        <f t="shared" si="69"/>
        <v>117</v>
      </c>
      <c r="I732" s="3" t="s">
        <v>3714</v>
      </c>
      <c r="J732" s="17">
        <f t="shared" si="70"/>
        <v>606</v>
      </c>
      <c r="K732" s="2">
        <f t="shared" si="71"/>
        <v>-125</v>
      </c>
      <c r="L732" s="12" t="s">
        <v>3714</v>
      </c>
    </row>
    <row r="733" spans="1:12" x14ac:dyDescent="0.25">
      <c r="A733" s="11" t="s">
        <v>2132</v>
      </c>
      <c r="B733" s="2" t="str">
        <f t="shared" si="66"/>
        <v>Syn Hrd Atk3</v>
      </c>
      <c r="C733" s="3">
        <v>732</v>
      </c>
      <c r="D733" s="17" t="s">
        <v>731</v>
      </c>
      <c r="E733" s="2" t="str">
        <f t="shared" si="67"/>
        <v>Metal Vox L1</v>
      </c>
      <c r="F733" s="12">
        <v>732</v>
      </c>
      <c r="G733" s="17">
        <f t="shared" si="68"/>
        <v>849</v>
      </c>
      <c r="H733" s="2">
        <f t="shared" si="69"/>
        <v>117</v>
      </c>
      <c r="I733" s="3" t="s">
        <v>3714</v>
      </c>
      <c r="J733" s="17">
        <f t="shared" si="70"/>
        <v>607</v>
      </c>
      <c r="K733" s="2">
        <f t="shared" si="71"/>
        <v>-125</v>
      </c>
      <c r="L733" s="12" t="s">
        <v>3714</v>
      </c>
    </row>
    <row r="734" spans="1:12" x14ac:dyDescent="0.25">
      <c r="A734" s="11" t="s">
        <v>2133</v>
      </c>
      <c r="B734" s="2" t="str">
        <f t="shared" si="66"/>
        <v>Syn Hrd Atk4</v>
      </c>
      <c r="C734" s="3">
        <v>733</v>
      </c>
      <c r="D734" s="17" t="s">
        <v>732</v>
      </c>
      <c r="E734" s="2" t="str">
        <f t="shared" si="67"/>
        <v>Metal Vox W2</v>
      </c>
      <c r="F734" s="12">
        <v>733</v>
      </c>
      <c r="G734" s="17">
        <f t="shared" si="68"/>
        <v>850</v>
      </c>
      <c r="H734" s="2">
        <f t="shared" si="69"/>
        <v>117</v>
      </c>
      <c r="I734" s="3" t="s">
        <v>3714</v>
      </c>
      <c r="J734" s="17">
        <f t="shared" si="70"/>
        <v>608</v>
      </c>
      <c r="K734" s="2">
        <f t="shared" si="71"/>
        <v>-125</v>
      </c>
      <c r="L734" s="12" t="s">
        <v>3714</v>
      </c>
    </row>
    <row r="735" spans="1:12" x14ac:dyDescent="0.25">
      <c r="A735" s="11" t="s">
        <v>2134</v>
      </c>
      <c r="B735" s="2" t="str">
        <f t="shared" si="66"/>
        <v>Syn Mtl Atk1</v>
      </c>
      <c r="C735" s="3">
        <v>734</v>
      </c>
      <c r="D735" s="17" t="s">
        <v>733</v>
      </c>
      <c r="E735" s="2" t="str">
        <f t="shared" si="67"/>
        <v>Metal Vox L2</v>
      </c>
      <c r="F735" s="12">
        <v>734</v>
      </c>
      <c r="G735" s="17">
        <f t="shared" si="68"/>
        <v>851</v>
      </c>
      <c r="H735" s="2">
        <f t="shared" si="69"/>
        <v>117</v>
      </c>
      <c r="I735" s="3" t="s">
        <v>3714</v>
      </c>
      <c r="J735" s="17">
        <f t="shared" si="70"/>
        <v>609</v>
      </c>
      <c r="K735" s="2">
        <f t="shared" si="71"/>
        <v>-125</v>
      </c>
      <c r="L735" s="12" t="s">
        <v>3714</v>
      </c>
    </row>
    <row r="736" spans="1:12" x14ac:dyDescent="0.25">
      <c r="A736" s="11" t="s">
        <v>2135</v>
      </c>
      <c r="B736" s="2" t="str">
        <f t="shared" si="66"/>
        <v>Syn Mtl Atk2</v>
      </c>
      <c r="C736" s="3">
        <v>735</v>
      </c>
      <c r="D736" s="17" t="s">
        <v>734</v>
      </c>
      <c r="E736" s="2" t="str">
        <f t="shared" si="67"/>
        <v>Metal Vox W3</v>
      </c>
      <c r="F736" s="12">
        <v>735</v>
      </c>
      <c r="G736" s="17">
        <f t="shared" si="68"/>
        <v>852</v>
      </c>
      <c r="H736" s="2">
        <f t="shared" si="69"/>
        <v>117</v>
      </c>
      <c r="I736" s="3" t="s">
        <v>3714</v>
      </c>
      <c r="J736" s="17">
        <f t="shared" si="70"/>
        <v>610</v>
      </c>
      <c r="K736" s="2">
        <f t="shared" si="71"/>
        <v>-125</v>
      </c>
      <c r="L736" s="12" t="s">
        <v>3714</v>
      </c>
    </row>
    <row r="737" spans="1:12" x14ac:dyDescent="0.25">
      <c r="A737" s="11" t="s">
        <v>2136</v>
      </c>
      <c r="B737" s="2" t="str">
        <f t="shared" si="66"/>
        <v>Syn Swt Atk1</v>
      </c>
      <c r="C737" s="3">
        <v>736</v>
      </c>
      <c r="D737" s="17" t="s">
        <v>735</v>
      </c>
      <c r="E737" s="2" t="str">
        <f t="shared" si="67"/>
        <v>Metal Vox L3</v>
      </c>
      <c r="F737" s="12">
        <v>736</v>
      </c>
      <c r="G737" s="17">
        <f t="shared" si="68"/>
        <v>853</v>
      </c>
      <c r="H737" s="2">
        <f t="shared" si="69"/>
        <v>117</v>
      </c>
      <c r="I737" s="3" t="s">
        <v>3714</v>
      </c>
      <c r="J737" s="17">
        <f t="shared" si="70"/>
        <v>611</v>
      </c>
      <c r="K737" s="2">
        <f t="shared" si="71"/>
        <v>-125</v>
      </c>
      <c r="L737" s="12" t="s">
        <v>3714</v>
      </c>
    </row>
    <row r="738" spans="1:12" x14ac:dyDescent="0.25">
      <c r="A738" s="11" t="s">
        <v>2137</v>
      </c>
      <c r="B738" s="2" t="str">
        <f t="shared" si="66"/>
        <v>Syn Swt Atk2</v>
      </c>
      <c r="C738" s="3">
        <v>737</v>
      </c>
      <c r="D738" s="17" t="s">
        <v>736</v>
      </c>
      <c r="E738" s="2" t="str">
        <f t="shared" si="67"/>
        <v>JD Rattles</v>
      </c>
      <c r="F738" s="12">
        <v>737</v>
      </c>
      <c r="G738" s="17">
        <f t="shared" si="68"/>
        <v>854</v>
      </c>
      <c r="H738" s="2">
        <f t="shared" si="69"/>
        <v>117</v>
      </c>
      <c r="I738" s="3" t="s">
        <v>3714</v>
      </c>
      <c r="J738" s="17">
        <f t="shared" si="70"/>
        <v>612</v>
      </c>
      <c r="K738" s="2">
        <f t="shared" si="71"/>
        <v>-125</v>
      </c>
      <c r="L738" s="12" t="s">
        <v>3714</v>
      </c>
    </row>
    <row r="739" spans="1:12" x14ac:dyDescent="0.25">
      <c r="A739" s="11" t="s">
        <v>2138</v>
      </c>
      <c r="B739" s="2" t="str">
        <f t="shared" si="66"/>
        <v>Syn Swt Atk3</v>
      </c>
      <c r="C739" s="3">
        <v>738</v>
      </c>
      <c r="D739" s="17" t="s">
        <v>737</v>
      </c>
      <c r="E739" s="2" t="str">
        <f t="shared" si="67"/>
        <v>Xylo Seq.</v>
      </c>
      <c r="F739" s="12">
        <v>738</v>
      </c>
      <c r="G739" s="17">
        <f t="shared" si="68"/>
        <v>855</v>
      </c>
      <c r="H739" s="2">
        <f t="shared" si="69"/>
        <v>117</v>
      </c>
      <c r="I739" s="3" t="s">
        <v>3714</v>
      </c>
      <c r="J739" s="17">
        <f t="shared" si="70"/>
        <v>613</v>
      </c>
      <c r="K739" s="2">
        <f t="shared" si="71"/>
        <v>-125</v>
      </c>
      <c r="L739" s="12" t="s">
        <v>3714</v>
      </c>
    </row>
    <row r="740" spans="1:12" x14ac:dyDescent="0.25">
      <c r="A740" s="11" t="s">
        <v>2139</v>
      </c>
      <c r="B740" s="2" t="str">
        <f t="shared" si="66"/>
        <v>Syn Swt Atk4</v>
      </c>
      <c r="C740" s="3">
        <v>739</v>
      </c>
      <c r="D740" s="17" t="s">
        <v>738</v>
      </c>
      <c r="E740" s="2" t="str">
        <f t="shared" si="67"/>
        <v>JD Anklungs</v>
      </c>
      <c r="F740" s="12">
        <v>739</v>
      </c>
      <c r="G740" s="17">
        <f t="shared" si="68"/>
        <v>856</v>
      </c>
      <c r="H740" s="2">
        <f t="shared" si="69"/>
        <v>117</v>
      </c>
      <c r="I740" s="3" t="s">
        <v>3714</v>
      </c>
      <c r="J740" s="17">
        <f t="shared" si="70"/>
        <v>615</v>
      </c>
      <c r="K740" s="2">
        <f t="shared" si="71"/>
        <v>-124</v>
      </c>
      <c r="L740" s="12" t="s">
        <v>3714</v>
      </c>
    </row>
    <row r="741" spans="1:12" x14ac:dyDescent="0.25">
      <c r="A741" s="11" t="s">
        <v>2140</v>
      </c>
      <c r="B741" s="2" t="str">
        <f t="shared" si="66"/>
        <v>Syn Swt Atk5</v>
      </c>
      <c r="C741" s="3">
        <v>740</v>
      </c>
      <c r="D741" s="17" t="s">
        <v>739</v>
      </c>
      <c r="E741" s="2" t="str">
        <f t="shared" si="67"/>
        <v>JD Shami</v>
      </c>
      <c r="F741" s="12">
        <v>740</v>
      </c>
      <c r="G741" s="17">
        <f t="shared" si="68"/>
        <v>857</v>
      </c>
      <c r="H741" s="2">
        <f t="shared" si="69"/>
        <v>117</v>
      </c>
      <c r="I741" s="3" t="s">
        <v>3714</v>
      </c>
      <c r="J741" s="17">
        <f t="shared" si="70"/>
        <v>616</v>
      </c>
      <c r="K741" s="2">
        <f t="shared" si="71"/>
        <v>-124</v>
      </c>
      <c r="L741" s="12" t="s">
        <v>3714</v>
      </c>
    </row>
    <row r="742" spans="1:12" x14ac:dyDescent="0.25">
      <c r="A742" s="11" t="s">
        <v>2141</v>
      </c>
      <c r="B742" s="2" t="str">
        <f t="shared" si="66"/>
        <v>Syn Swt Atk6</v>
      </c>
      <c r="C742" s="3">
        <v>741</v>
      </c>
      <c r="D742" s="17" t="s">
        <v>740</v>
      </c>
      <c r="E742" s="2" t="str">
        <f t="shared" si="67"/>
        <v>SynBassClick</v>
      </c>
      <c r="F742" s="12">
        <v>741</v>
      </c>
      <c r="G742" s="17">
        <f t="shared" si="68"/>
        <v>858</v>
      </c>
      <c r="H742" s="2">
        <f t="shared" si="69"/>
        <v>117</v>
      </c>
      <c r="I742" s="3" t="s">
        <v>3714</v>
      </c>
      <c r="J742" s="17">
        <f t="shared" si="70"/>
        <v>617</v>
      </c>
      <c r="K742" s="2">
        <f t="shared" si="71"/>
        <v>-124</v>
      </c>
      <c r="L742" s="12" t="s">
        <v>3714</v>
      </c>
    </row>
    <row r="743" spans="1:12" x14ac:dyDescent="0.25">
      <c r="A743" s="11" t="s">
        <v>2142</v>
      </c>
      <c r="B743" s="2" t="str">
        <f t="shared" si="66"/>
        <v>Syn Swt Atk7</v>
      </c>
      <c r="C743" s="3">
        <v>742</v>
      </c>
      <c r="D743" s="17" t="s">
        <v>741</v>
      </c>
      <c r="E743" s="2" t="str">
        <f t="shared" si="67"/>
        <v>JD EP Atk</v>
      </c>
      <c r="F743" s="12">
        <v>742</v>
      </c>
      <c r="G743" s="17">
        <f t="shared" si="68"/>
        <v>859</v>
      </c>
      <c r="H743" s="2">
        <f t="shared" si="69"/>
        <v>117</v>
      </c>
      <c r="I743" s="3" t="s">
        <v>3714</v>
      </c>
      <c r="J743" s="17">
        <f t="shared" si="70"/>
        <v>618</v>
      </c>
      <c r="K743" s="2">
        <f t="shared" si="71"/>
        <v>-124</v>
      </c>
      <c r="L743" s="12" t="s">
        <v>3714</v>
      </c>
    </row>
    <row r="744" spans="1:12" x14ac:dyDescent="0.25">
      <c r="A744" s="11" t="s">
        <v>2143</v>
      </c>
      <c r="B744" s="2" t="str">
        <f t="shared" si="66"/>
        <v>Reg.Kick p L</v>
      </c>
      <c r="C744" s="3">
        <v>743</v>
      </c>
      <c r="D744" s="17" t="s">
        <v>742</v>
      </c>
      <c r="E744" s="2" t="str">
        <f t="shared" si="67"/>
        <v>Key On Click</v>
      </c>
      <c r="F744" s="12">
        <v>743</v>
      </c>
      <c r="G744" s="17">
        <f t="shared" si="68"/>
        <v>882</v>
      </c>
      <c r="H744" s="2">
        <f t="shared" si="69"/>
        <v>139</v>
      </c>
      <c r="I744" s="3" t="s">
        <v>3714</v>
      </c>
      <c r="J744" s="17">
        <f t="shared" si="70"/>
        <v>0</v>
      </c>
      <c r="K744" s="2">
        <f t="shared" si="71"/>
        <v>0</v>
      </c>
      <c r="L744" s="12" t="s">
        <v>3714</v>
      </c>
    </row>
    <row r="745" spans="1:12" x14ac:dyDescent="0.25">
      <c r="A745" s="11" t="s">
        <v>2144</v>
      </c>
      <c r="B745" s="2" t="str">
        <f t="shared" si="66"/>
        <v>Reg.Kick p R</v>
      </c>
      <c r="C745" s="3">
        <v>744</v>
      </c>
      <c r="D745" s="17" t="s">
        <v>743</v>
      </c>
      <c r="E745" s="2" t="str">
        <f t="shared" si="67"/>
        <v>Org Click 1</v>
      </c>
      <c r="F745" s="12">
        <v>744</v>
      </c>
      <c r="G745" s="17">
        <f t="shared" si="68"/>
        <v>883</v>
      </c>
      <c r="H745" s="2">
        <f t="shared" si="69"/>
        <v>139</v>
      </c>
      <c r="I745" s="3" t="s">
        <v>3714</v>
      </c>
      <c r="J745" s="17">
        <f t="shared" si="70"/>
        <v>620</v>
      </c>
      <c r="K745" s="2">
        <f t="shared" si="71"/>
        <v>-124</v>
      </c>
      <c r="L745" s="12" t="s">
        <v>3714</v>
      </c>
    </row>
    <row r="746" spans="1:12" x14ac:dyDescent="0.25">
      <c r="A746" s="11" t="s">
        <v>2145</v>
      </c>
      <c r="B746" s="2" t="str">
        <f t="shared" si="66"/>
        <v>Reg.Kick f L</v>
      </c>
      <c r="C746" s="3">
        <v>745</v>
      </c>
      <c r="D746" s="17" t="s">
        <v>744</v>
      </c>
      <c r="E746" s="2" t="str">
        <f t="shared" si="67"/>
        <v>Org Click 2</v>
      </c>
      <c r="F746" s="12">
        <v>745</v>
      </c>
      <c r="G746" s="17">
        <f t="shared" si="68"/>
        <v>884</v>
      </c>
      <c r="H746" s="2">
        <f t="shared" si="69"/>
        <v>139</v>
      </c>
      <c r="I746" s="3" t="s">
        <v>3714</v>
      </c>
      <c r="J746" s="17">
        <f t="shared" si="70"/>
        <v>621</v>
      </c>
      <c r="K746" s="2">
        <f t="shared" si="71"/>
        <v>-124</v>
      </c>
      <c r="L746" s="12" t="s">
        <v>3714</v>
      </c>
    </row>
    <row r="747" spans="1:12" x14ac:dyDescent="0.25">
      <c r="A747" s="11" t="s">
        <v>2146</v>
      </c>
      <c r="B747" s="2" t="str">
        <f t="shared" si="66"/>
        <v>Reg.Kick f R</v>
      </c>
      <c r="C747" s="3">
        <v>746</v>
      </c>
      <c r="D747" s="17" t="s">
        <v>745</v>
      </c>
      <c r="E747" s="2" t="str">
        <f t="shared" si="67"/>
        <v>Org Click 3</v>
      </c>
      <c r="F747" s="12">
        <v>746</v>
      </c>
      <c r="G747" s="17">
        <f t="shared" si="68"/>
        <v>885</v>
      </c>
      <c r="H747" s="2">
        <f t="shared" si="69"/>
        <v>139</v>
      </c>
      <c r="I747" s="3" t="s">
        <v>3714</v>
      </c>
      <c r="J747" s="17">
        <f t="shared" si="70"/>
        <v>622</v>
      </c>
      <c r="K747" s="2">
        <f t="shared" si="71"/>
        <v>-124</v>
      </c>
      <c r="L747" s="12" t="s">
        <v>3714</v>
      </c>
    </row>
    <row r="748" spans="1:12" x14ac:dyDescent="0.25">
      <c r="A748" s="11" t="s">
        <v>2147</v>
      </c>
      <c r="B748" s="2" t="str">
        <f t="shared" si="66"/>
        <v>Reg.Kick ffL</v>
      </c>
      <c r="C748" s="3">
        <v>747</v>
      </c>
      <c r="D748" s="17" t="s">
        <v>746</v>
      </c>
      <c r="E748" s="2" t="str">
        <f t="shared" si="67"/>
        <v>Org Click 4</v>
      </c>
      <c r="F748" s="12">
        <v>747</v>
      </c>
      <c r="G748" s="17">
        <f t="shared" si="68"/>
        <v>886</v>
      </c>
      <c r="H748" s="2">
        <f t="shared" si="69"/>
        <v>139</v>
      </c>
      <c r="I748" s="3" t="s">
        <v>3714</v>
      </c>
      <c r="J748" s="17">
        <f t="shared" si="70"/>
        <v>623</v>
      </c>
      <c r="K748" s="2">
        <f t="shared" si="71"/>
        <v>-124</v>
      </c>
      <c r="L748" s="12" t="s">
        <v>3714</v>
      </c>
    </row>
    <row r="749" spans="1:12" x14ac:dyDescent="0.25">
      <c r="A749" s="11" t="s">
        <v>2148</v>
      </c>
      <c r="B749" s="2" t="str">
        <f t="shared" si="66"/>
        <v>Reg.Kick ffR</v>
      </c>
      <c r="C749" s="3">
        <v>748</v>
      </c>
      <c r="D749" s="17" t="s">
        <v>747</v>
      </c>
      <c r="E749" s="2" t="str">
        <f t="shared" si="67"/>
        <v>Org Click 5</v>
      </c>
      <c r="F749" s="12">
        <v>748</v>
      </c>
      <c r="G749" s="17">
        <f t="shared" si="68"/>
        <v>887</v>
      </c>
      <c r="H749" s="2">
        <f t="shared" si="69"/>
        <v>139</v>
      </c>
      <c r="I749" s="3" t="s">
        <v>3714</v>
      </c>
      <c r="J749" s="17">
        <f t="shared" si="70"/>
        <v>624</v>
      </c>
      <c r="K749" s="2">
        <f t="shared" si="71"/>
        <v>-124</v>
      </c>
      <c r="L749" s="12" t="s">
        <v>3714</v>
      </c>
    </row>
    <row r="750" spans="1:12" x14ac:dyDescent="0.25">
      <c r="A750" s="11" t="s">
        <v>2149</v>
      </c>
      <c r="B750" s="2" t="str">
        <f t="shared" si="66"/>
        <v>Rock Kick p</v>
      </c>
      <c r="C750" s="3">
        <v>749</v>
      </c>
      <c r="D750" s="17" t="s">
        <v>748</v>
      </c>
      <c r="E750" s="2" t="str">
        <f t="shared" si="67"/>
        <v>JD Sm Metal</v>
      </c>
      <c r="F750" s="12">
        <v>749</v>
      </c>
      <c r="G750" s="17">
        <f t="shared" si="68"/>
        <v>888</v>
      </c>
      <c r="H750" s="2">
        <f t="shared" si="69"/>
        <v>139</v>
      </c>
      <c r="I750" s="3" t="s">
        <v>3714</v>
      </c>
      <c r="J750" s="17">
        <f t="shared" si="70"/>
        <v>627</v>
      </c>
      <c r="K750" s="2">
        <f t="shared" si="71"/>
        <v>-122</v>
      </c>
      <c r="L750" s="12" t="s">
        <v>3714</v>
      </c>
    </row>
    <row r="751" spans="1:12" x14ac:dyDescent="0.25">
      <c r="A751" s="11" t="s">
        <v>2150</v>
      </c>
      <c r="B751" s="2" t="str">
        <f t="shared" si="66"/>
        <v>Rock Kick f</v>
      </c>
      <c r="C751" s="3">
        <v>750</v>
      </c>
      <c r="D751" s="17" t="s">
        <v>749</v>
      </c>
      <c r="E751" s="2" t="str">
        <f t="shared" si="67"/>
        <v>Ice Crash</v>
      </c>
      <c r="F751" s="12">
        <v>750</v>
      </c>
      <c r="G751" s="17">
        <f t="shared" si="68"/>
        <v>889</v>
      </c>
      <c r="H751" s="2">
        <f t="shared" si="69"/>
        <v>139</v>
      </c>
      <c r="I751" s="3" t="s">
        <v>3714</v>
      </c>
      <c r="J751" s="17">
        <f t="shared" si="70"/>
        <v>629</v>
      </c>
      <c r="K751" s="2">
        <f t="shared" si="71"/>
        <v>-121</v>
      </c>
      <c r="L751" s="12" t="s">
        <v>3714</v>
      </c>
    </row>
    <row r="752" spans="1:12" x14ac:dyDescent="0.25">
      <c r="A752" s="11" t="s">
        <v>2151</v>
      </c>
      <c r="B752" s="2" t="str">
        <f t="shared" si="66"/>
        <v>Jazz Kick p</v>
      </c>
      <c r="C752" s="3">
        <v>751</v>
      </c>
      <c r="D752" s="17" t="s">
        <v>750</v>
      </c>
      <c r="E752" s="2" t="str">
        <f t="shared" si="67"/>
        <v>JD Switch</v>
      </c>
      <c r="F752" s="12">
        <v>751</v>
      </c>
      <c r="G752" s="17">
        <f t="shared" si="68"/>
        <v>890</v>
      </c>
      <c r="H752" s="2">
        <f t="shared" si="69"/>
        <v>139</v>
      </c>
      <c r="I752" s="3" t="s">
        <v>3714</v>
      </c>
      <c r="J752" s="17">
        <f t="shared" si="70"/>
        <v>630</v>
      </c>
      <c r="K752" s="2">
        <f t="shared" si="71"/>
        <v>-121</v>
      </c>
      <c r="L752" s="12" t="s">
        <v>3714</v>
      </c>
    </row>
    <row r="753" spans="1:12" x14ac:dyDescent="0.25">
      <c r="A753" s="11" t="s">
        <v>2152</v>
      </c>
      <c r="B753" s="2" t="str">
        <f t="shared" si="66"/>
        <v>Jazz Kick mf</v>
      </c>
      <c r="C753" s="3">
        <v>752</v>
      </c>
      <c r="D753" s="17" t="s">
        <v>751</v>
      </c>
      <c r="E753" s="2" t="str">
        <f t="shared" si="67"/>
        <v>JD Tuba Slap</v>
      </c>
      <c r="F753" s="12">
        <v>752</v>
      </c>
      <c r="G753" s="17">
        <f t="shared" si="68"/>
        <v>891</v>
      </c>
      <c r="H753" s="2">
        <f t="shared" si="69"/>
        <v>139</v>
      </c>
      <c r="I753" s="3" t="s">
        <v>3714</v>
      </c>
      <c r="J753" s="17">
        <f t="shared" si="70"/>
        <v>631</v>
      </c>
      <c r="K753" s="2">
        <f t="shared" si="71"/>
        <v>-121</v>
      </c>
      <c r="L753" s="12" t="s">
        <v>3714</v>
      </c>
    </row>
    <row r="754" spans="1:12" x14ac:dyDescent="0.25">
      <c r="A754" s="11" t="s">
        <v>2153</v>
      </c>
      <c r="B754" s="2" t="str">
        <f t="shared" si="66"/>
        <v>Jazz Kick f</v>
      </c>
      <c r="C754" s="3">
        <v>753</v>
      </c>
      <c r="D754" s="17" t="s">
        <v>752</v>
      </c>
      <c r="E754" s="2" t="str">
        <f t="shared" si="67"/>
        <v>JD Plink</v>
      </c>
      <c r="F754" s="12">
        <v>753</v>
      </c>
      <c r="G754" s="17">
        <f t="shared" si="68"/>
        <v>892</v>
      </c>
      <c r="H754" s="2">
        <f t="shared" si="69"/>
        <v>139</v>
      </c>
      <c r="I754" s="3" t="s">
        <v>3714</v>
      </c>
      <c r="J754" s="17">
        <f t="shared" si="70"/>
        <v>632</v>
      </c>
      <c r="K754" s="2">
        <f t="shared" si="71"/>
        <v>-121</v>
      </c>
      <c r="L754" s="12" t="s">
        <v>3714</v>
      </c>
    </row>
    <row r="755" spans="1:12" x14ac:dyDescent="0.25">
      <c r="A755" s="11" t="s">
        <v>2154</v>
      </c>
      <c r="B755" s="2" t="str">
        <f t="shared" si="66"/>
        <v>Dry Kick 1</v>
      </c>
      <c r="C755" s="3">
        <v>754</v>
      </c>
      <c r="D755" s="17" t="s">
        <v>753</v>
      </c>
      <c r="E755" s="2" t="str">
        <f t="shared" si="67"/>
        <v>JD Plunk</v>
      </c>
      <c r="F755" s="12">
        <v>754</v>
      </c>
      <c r="G755" s="17">
        <f t="shared" si="68"/>
        <v>893</v>
      </c>
      <c r="H755" s="2">
        <f t="shared" si="69"/>
        <v>139</v>
      </c>
      <c r="I755" s="3" t="s">
        <v>3714</v>
      </c>
      <c r="J755" s="17">
        <f t="shared" si="70"/>
        <v>633</v>
      </c>
      <c r="K755" s="2">
        <f t="shared" si="71"/>
        <v>-121</v>
      </c>
      <c r="L755" s="12" t="s">
        <v>3714</v>
      </c>
    </row>
    <row r="756" spans="1:12" x14ac:dyDescent="0.25">
      <c r="A756" s="11" t="s">
        <v>2155</v>
      </c>
      <c r="B756" s="2" t="str">
        <f t="shared" si="66"/>
        <v>Tight Kick 1</v>
      </c>
      <c r="C756" s="3">
        <v>755</v>
      </c>
      <c r="D756" s="17" t="s">
        <v>754</v>
      </c>
      <c r="E756" s="2" t="str">
        <f t="shared" si="67"/>
        <v>TVF Trigger</v>
      </c>
      <c r="F756" s="12">
        <v>755</v>
      </c>
      <c r="G756" s="17">
        <f t="shared" si="68"/>
        <v>0</v>
      </c>
      <c r="H756" s="2">
        <f t="shared" si="69"/>
        <v>0</v>
      </c>
      <c r="I756" s="3" t="s">
        <v>3714</v>
      </c>
      <c r="J756" s="17">
        <f t="shared" si="70"/>
        <v>634</v>
      </c>
      <c r="K756" s="2">
        <f t="shared" si="71"/>
        <v>-121</v>
      </c>
      <c r="L756" s="12" t="s">
        <v>3714</v>
      </c>
    </row>
    <row r="757" spans="1:12" x14ac:dyDescent="0.25">
      <c r="A757" s="11" t="s">
        <v>2156</v>
      </c>
      <c r="B757" s="2" t="str">
        <f t="shared" si="66"/>
        <v>Tight Kick 2</v>
      </c>
      <c r="C757" s="3">
        <v>756</v>
      </c>
      <c r="D757" s="17" t="s">
        <v>755</v>
      </c>
      <c r="E757" s="2" t="str">
        <f t="shared" si="67"/>
        <v>Hi Q</v>
      </c>
      <c r="F757" s="12">
        <v>756</v>
      </c>
      <c r="G757" s="17">
        <f t="shared" si="68"/>
        <v>0</v>
      </c>
      <c r="H757" s="2">
        <f t="shared" si="69"/>
        <v>0</v>
      </c>
      <c r="I757" s="3" t="s">
        <v>3714</v>
      </c>
      <c r="J757" s="17">
        <f t="shared" si="70"/>
        <v>0</v>
      </c>
      <c r="K757" s="2">
        <f t="shared" si="71"/>
        <v>0</v>
      </c>
      <c r="L757" s="12" t="s">
        <v>3714</v>
      </c>
    </row>
    <row r="758" spans="1:12" x14ac:dyDescent="0.25">
      <c r="A758" s="11" t="s">
        <v>2157</v>
      </c>
      <c r="B758" s="2" t="str">
        <f t="shared" si="66"/>
        <v>Old Kick</v>
      </c>
      <c r="C758" s="3">
        <v>757</v>
      </c>
      <c r="D758" s="17" t="s">
        <v>756</v>
      </c>
      <c r="E758" s="2" t="str">
        <f t="shared" si="67"/>
        <v>Slap</v>
      </c>
      <c r="F758" s="12">
        <v>757</v>
      </c>
      <c r="G758" s="17">
        <f t="shared" si="68"/>
        <v>895</v>
      </c>
      <c r="H758" s="2">
        <f t="shared" si="69"/>
        <v>138</v>
      </c>
      <c r="I758" s="3" t="s">
        <v>3714</v>
      </c>
      <c r="J758" s="17">
        <f t="shared" si="70"/>
        <v>0</v>
      </c>
      <c r="K758" s="2">
        <f t="shared" si="71"/>
        <v>0</v>
      </c>
      <c r="L758" s="12" t="s">
        <v>3714</v>
      </c>
    </row>
    <row r="759" spans="1:12" x14ac:dyDescent="0.25">
      <c r="A759" s="11" t="s">
        <v>2158</v>
      </c>
      <c r="B759" s="2" t="str">
        <f t="shared" si="66"/>
        <v>Jz Dry Kick</v>
      </c>
      <c r="C759" s="3">
        <v>758</v>
      </c>
      <c r="D759" s="17" t="s">
        <v>757</v>
      </c>
      <c r="E759" s="2" t="str">
        <f t="shared" si="67"/>
        <v>Stick</v>
      </c>
      <c r="F759" s="12">
        <v>758</v>
      </c>
      <c r="G759" s="17">
        <f t="shared" si="68"/>
        <v>896</v>
      </c>
      <c r="H759" s="2">
        <f t="shared" si="69"/>
        <v>138</v>
      </c>
      <c r="I759" s="3" t="s">
        <v>3714</v>
      </c>
      <c r="J759" s="17">
        <f t="shared" si="70"/>
        <v>0</v>
      </c>
      <c r="K759" s="2">
        <f t="shared" si="71"/>
        <v>0</v>
      </c>
      <c r="L759" s="12" t="s">
        <v>3714</v>
      </c>
    </row>
    <row r="760" spans="1:12" x14ac:dyDescent="0.25">
      <c r="A760" s="11" t="s">
        <v>2159</v>
      </c>
      <c r="B760" s="2" t="str">
        <f t="shared" si="66"/>
        <v>Bright Kick</v>
      </c>
      <c r="C760" s="3">
        <v>759</v>
      </c>
      <c r="D760" s="17" t="s">
        <v>758</v>
      </c>
      <c r="E760" s="2" t="str">
        <f t="shared" si="67"/>
        <v>Click</v>
      </c>
      <c r="F760" s="12">
        <v>759</v>
      </c>
      <c r="G760" s="17">
        <f t="shared" si="68"/>
        <v>0</v>
      </c>
      <c r="H760" s="2">
        <f t="shared" si="69"/>
        <v>0</v>
      </c>
      <c r="I760" s="3" t="s">
        <v>3714</v>
      </c>
      <c r="J760" s="17">
        <f t="shared" si="70"/>
        <v>0</v>
      </c>
      <c r="K760" s="2">
        <f t="shared" si="71"/>
        <v>0</v>
      </c>
      <c r="L760" s="12" t="s">
        <v>3714</v>
      </c>
    </row>
    <row r="761" spans="1:12" x14ac:dyDescent="0.25">
      <c r="A761" s="11" t="s">
        <v>2160</v>
      </c>
      <c r="B761" s="2" t="str">
        <f t="shared" si="66"/>
        <v>Dry Kick 2</v>
      </c>
      <c r="C761" s="3">
        <v>760</v>
      </c>
      <c r="D761" s="17" t="s">
        <v>759</v>
      </c>
      <c r="E761" s="2" t="str">
        <f t="shared" si="67"/>
        <v>Cutting Nz</v>
      </c>
      <c r="F761" s="12">
        <v>760</v>
      </c>
      <c r="G761" s="17">
        <f t="shared" si="68"/>
        <v>897</v>
      </c>
      <c r="H761" s="2">
        <f t="shared" si="69"/>
        <v>137</v>
      </c>
      <c r="I761" s="3" t="s">
        <v>3714</v>
      </c>
      <c r="J761" s="17">
        <f t="shared" si="70"/>
        <v>635</v>
      </c>
      <c r="K761" s="2">
        <f t="shared" si="71"/>
        <v>-125</v>
      </c>
      <c r="L761" s="12" t="s">
        <v>3714</v>
      </c>
    </row>
    <row r="762" spans="1:12" x14ac:dyDescent="0.25">
      <c r="A762" s="11" t="s">
        <v>2161</v>
      </c>
      <c r="B762" s="2" t="str">
        <f t="shared" si="66"/>
        <v>Dry Kick 3</v>
      </c>
      <c r="C762" s="3">
        <v>761</v>
      </c>
      <c r="D762" s="17" t="s">
        <v>760</v>
      </c>
      <c r="E762" s="2" t="str">
        <f t="shared" si="67"/>
        <v>Ac.Bass Body</v>
      </c>
      <c r="F762" s="12">
        <v>761</v>
      </c>
      <c r="G762" s="17">
        <f t="shared" si="68"/>
        <v>898</v>
      </c>
      <c r="H762" s="2">
        <f t="shared" si="69"/>
        <v>137</v>
      </c>
      <c r="I762" s="3" t="s">
        <v>3714</v>
      </c>
      <c r="J762" s="17">
        <f t="shared" si="70"/>
        <v>636</v>
      </c>
      <c r="K762" s="2">
        <f t="shared" si="71"/>
        <v>-125</v>
      </c>
      <c r="L762" s="12" t="s">
        <v>3714</v>
      </c>
    </row>
    <row r="763" spans="1:12" x14ac:dyDescent="0.25">
      <c r="A763" s="11" t="s">
        <v>2162</v>
      </c>
      <c r="B763" s="2" t="str">
        <f t="shared" si="66"/>
        <v>Power Kick</v>
      </c>
      <c r="C763" s="3">
        <v>762</v>
      </c>
      <c r="D763" s="17" t="s">
        <v>761</v>
      </c>
      <c r="E763" s="2" t="str">
        <f t="shared" si="67"/>
        <v>Flute Pad Nz</v>
      </c>
      <c r="F763" s="12">
        <v>762</v>
      </c>
      <c r="G763" s="17">
        <f t="shared" si="68"/>
        <v>899</v>
      </c>
      <c r="H763" s="2">
        <f t="shared" si="69"/>
        <v>137</v>
      </c>
      <c r="I763" s="3" t="s">
        <v>3714</v>
      </c>
      <c r="J763" s="17">
        <f t="shared" si="70"/>
        <v>637</v>
      </c>
      <c r="K763" s="2">
        <f t="shared" si="71"/>
        <v>-125</v>
      </c>
      <c r="L763" s="12" t="s">
        <v>3714</v>
      </c>
    </row>
    <row r="764" spans="1:12" x14ac:dyDescent="0.25">
      <c r="A764" s="11" t="s">
        <v>2163</v>
      </c>
      <c r="B764" s="2" t="str">
        <f t="shared" si="66"/>
        <v>R&amp;B Kick L</v>
      </c>
      <c r="C764" s="3">
        <v>763</v>
      </c>
      <c r="D764" s="17" t="s">
        <v>762</v>
      </c>
      <c r="E764" s="2" t="str">
        <f t="shared" si="67"/>
        <v>Applause</v>
      </c>
      <c r="F764" s="12">
        <v>763</v>
      </c>
      <c r="G764" s="17">
        <f t="shared" si="68"/>
        <v>900</v>
      </c>
      <c r="H764" s="2">
        <f t="shared" si="69"/>
        <v>137</v>
      </c>
      <c r="I764" s="3" t="s">
        <v>3714</v>
      </c>
      <c r="J764" s="17">
        <f t="shared" si="70"/>
        <v>638</v>
      </c>
      <c r="K764" s="2">
        <f t="shared" si="71"/>
        <v>-125</v>
      </c>
      <c r="L764" s="12" t="s">
        <v>3714</v>
      </c>
    </row>
    <row r="765" spans="1:12" x14ac:dyDescent="0.25">
      <c r="A765" s="11" t="s">
        <v>2164</v>
      </c>
      <c r="B765" s="2" t="str">
        <f t="shared" si="66"/>
        <v>R&amp;B Kick R</v>
      </c>
      <c r="C765" s="3">
        <v>764</v>
      </c>
      <c r="D765" s="17" t="s">
        <v>763</v>
      </c>
      <c r="E765" s="2" t="str">
        <f t="shared" si="67"/>
        <v>River</v>
      </c>
      <c r="F765" s="12">
        <v>764</v>
      </c>
      <c r="G765" s="17">
        <f t="shared" si="68"/>
        <v>901</v>
      </c>
      <c r="H765" s="2">
        <f t="shared" si="69"/>
        <v>137</v>
      </c>
      <c r="I765" s="3" t="s">
        <v>3714</v>
      </c>
      <c r="J765" s="17">
        <f t="shared" si="70"/>
        <v>639</v>
      </c>
      <c r="K765" s="2">
        <f t="shared" si="71"/>
        <v>-125</v>
      </c>
      <c r="L765" s="12" t="s">
        <v>3714</v>
      </c>
    </row>
    <row r="766" spans="1:12" x14ac:dyDescent="0.25">
      <c r="A766" s="11" t="s">
        <v>2165</v>
      </c>
      <c r="B766" s="2" t="str">
        <f t="shared" si="66"/>
        <v>Rk CmpKick L</v>
      </c>
      <c r="C766" s="3">
        <v>765</v>
      </c>
      <c r="D766" s="17" t="s">
        <v>764</v>
      </c>
      <c r="E766" s="2" t="str">
        <f t="shared" si="67"/>
        <v>Thunder</v>
      </c>
      <c r="F766" s="12">
        <v>765</v>
      </c>
      <c r="G766" s="17">
        <f t="shared" si="68"/>
        <v>902</v>
      </c>
      <c r="H766" s="2">
        <f t="shared" si="69"/>
        <v>137</v>
      </c>
      <c r="I766" s="3" t="s">
        <v>3714</v>
      </c>
      <c r="J766" s="17">
        <f t="shared" si="70"/>
        <v>640</v>
      </c>
      <c r="K766" s="2">
        <f t="shared" si="71"/>
        <v>-125</v>
      </c>
      <c r="L766" s="12" t="s">
        <v>3714</v>
      </c>
    </row>
    <row r="767" spans="1:12" x14ac:dyDescent="0.25">
      <c r="A767" s="11" t="s">
        <v>2166</v>
      </c>
      <c r="B767" s="2" t="str">
        <f t="shared" si="66"/>
        <v>Rk CmpKick R</v>
      </c>
      <c r="C767" s="3">
        <v>766</v>
      </c>
      <c r="D767" s="17" t="s">
        <v>765</v>
      </c>
      <c r="E767" s="2" t="str">
        <f t="shared" si="67"/>
        <v>Monsoon</v>
      </c>
      <c r="F767" s="12">
        <v>766</v>
      </c>
      <c r="G767" s="17">
        <f t="shared" si="68"/>
        <v>903</v>
      </c>
      <c r="H767" s="2">
        <f t="shared" si="69"/>
        <v>137</v>
      </c>
      <c r="I767" s="3" t="s">
        <v>3714</v>
      </c>
      <c r="J767" s="17">
        <f t="shared" si="70"/>
        <v>641</v>
      </c>
      <c r="K767" s="2">
        <f t="shared" si="71"/>
        <v>-125</v>
      </c>
      <c r="L767" s="12" t="s">
        <v>3714</v>
      </c>
    </row>
    <row r="768" spans="1:12" x14ac:dyDescent="0.25">
      <c r="A768" s="11" t="s">
        <v>2167</v>
      </c>
      <c r="B768" s="2" t="str">
        <f t="shared" si="66"/>
        <v>MaxLow Kick1</v>
      </c>
      <c r="C768" s="3">
        <v>767</v>
      </c>
      <c r="D768" s="17" t="s">
        <v>766</v>
      </c>
      <c r="E768" s="2" t="str">
        <f t="shared" si="67"/>
        <v>Stream</v>
      </c>
      <c r="F768" s="12">
        <v>767</v>
      </c>
      <c r="G768" s="17">
        <f t="shared" si="68"/>
        <v>904</v>
      </c>
      <c r="H768" s="2">
        <f t="shared" si="69"/>
        <v>137</v>
      </c>
      <c r="I768" s="3" t="s">
        <v>3714</v>
      </c>
      <c r="J768" s="17">
        <f t="shared" si="70"/>
        <v>642</v>
      </c>
      <c r="K768" s="2">
        <f t="shared" si="71"/>
        <v>-125</v>
      </c>
      <c r="L768" s="12" t="s">
        <v>3714</v>
      </c>
    </row>
    <row r="769" spans="1:12" x14ac:dyDescent="0.25">
      <c r="A769" s="11" t="s">
        <v>2168</v>
      </c>
      <c r="B769" s="2" t="str">
        <f t="shared" si="66"/>
        <v>MaxLow Kick2</v>
      </c>
      <c r="C769" s="3">
        <v>768</v>
      </c>
      <c r="D769" s="17" t="s">
        <v>767</v>
      </c>
      <c r="E769" s="2" t="str">
        <f t="shared" si="67"/>
        <v>Bubble</v>
      </c>
      <c r="F769" s="12">
        <v>768</v>
      </c>
      <c r="G769" s="17">
        <f t="shared" si="68"/>
        <v>905</v>
      </c>
      <c r="H769" s="2">
        <f t="shared" si="69"/>
        <v>137</v>
      </c>
      <c r="I769" s="3" t="s">
        <v>3714</v>
      </c>
      <c r="J769" s="17">
        <f t="shared" si="70"/>
        <v>643</v>
      </c>
      <c r="K769" s="2">
        <f t="shared" si="71"/>
        <v>-125</v>
      </c>
      <c r="L769" s="12" t="s">
        <v>3714</v>
      </c>
    </row>
    <row r="770" spans="1:12" x14ac:dyDescent="0.25">
      <c r="A770" s="11" t="s">
        <v>2169</v>
      </c>
      <c r="B770" s="2" t="str">
        <f t="shared" ref="B770:B833" si="72">_xlfn.TEXTAFTER(A770," ",1)</f>
        <v>MaxLow Kick3</v>
      </c>
      <c r="C770" s="3">
        <v>769</v>
      </c>
      <c r="D770" s="17" t="s">
        <v>768</v>
      </c>
      <c r="E770" s="2" t="str">
        <f t="shared" ref="E770:E833" si="73">_xlfn.TEXTAFTER(D770," ",1)</f>
        <v>Bird Song</v>
      </c>
      <c r="F770" s="12">
        <v>769</v>
      </c>
      <c r="G770" s="17">
        <f t="shared" si="68"/>
        <v>0</v>
      </c>
      <c r="H770" s="2">
        <f t="shared" si="69"/>
        <v>0</v>
      </c>
      <c r="I770" s="3" t="s">
        <v>3714</v>
      </c>
      <c r="J770" s="17">
        <f t="shared" si="70"/>
        <v>644</v>
      </c>
      <c r="K770" s="2">
        <f t="shared" si="71"/>
        <v>-125</v>
      </c>
      <c r="L770" s="12" t="s">
        <v>3714</v>
      </c>
    </row>
    <row r="771" spans="1:12" x14ac:dyDescent="0.25">
      <c r="A771" s="11" t="s">
        <v>2170</v>
      </c>
      <c r="B771" s="2" t="str">
        <f t="shared" si="72"/>
        <v>Dist Kick</v>
      </c>
      <c r="C771" s="3">
        <v>770</v>
      </c>
      <c r="D771" s="17" t="s">
        <v>769</v>
      </c>
      <c r="E771" s="2" t="str">
        <f t="shared" si="73"/>
        <v>Dog Bark</v>
      </c>
      <c r="F771" s="12">
        <v>770</v>
      </c>
      <c r="G771" s="17">
        <f t="shared" ref="G771:G834" si="74">_xlfn.IFNA(_xlfn.XMATCH(B771,E$2:E$1402,0,1),0)</f>
        <v>906</v>
      </c>
      <c r="H771" s="2">
        <f t="shared" ref="H771:H834" si="75">IF(G771=0,0,G771-C771)</f>
        <v>136</v>
      </c>
      <c r="I771" s="3" t="s">
        <v>3714</v>
      </c>
      <c r="J771" s="17">
        <f t="shared" ref="J771:J834" si="76">_xlfn.IFNA(_xlfn.XMATCH(E771,B$2:B$1229,0,1),0)</f>
        <v>645</v>
      </c>
      <c r="K771" s="2">
        <f t="shared" ref="K771:K834" si="77">IF(J771=0,0,J771-F771)</f>
        <v>-125</v>
      </c>
      <c r="L771" s="12" t="s">
        <v>3714</v>
      </c>
    </row>
    <row r="772" spans="1:12" x14ac:dyDescent="0.25">
      <c r="A772" s="11" t="s">
        <v>2171</v>
      </c>
      <c r="B772" s="2" t="str">
        <f t="shared" si="72"/>
        <v>FB Kick</v>
      </c>
      <c r="C772" s="3">
        <v>771</v>
      </c>
      <c r="D772" s="17" t="s">
        <v>770</v>
      </c>
      <c r="E772" s="2" t="str">
        <f t="shared" si="73"/>
        <v>Gallop</v>
      </c>
      <c r="F772" s="12">
        <v>771</v>
      </c>
      <c r="G772" s="17">
        <f t="shared" si="74"/>
        <v>907</v>
      </c>
      <c r="H772" s="2">
        <f t="shared" si="75"/>
        <v>136</v>
      </c>
      <c r="I772" s="3" t="s">
        <v>3714</v>
      </c>
      <c r="J772" s="17">
        <f t="shared" si="76"/>
        <v>646</v>
      </c>
      <c r="K772" s="2">
        <f t="shared" si="77"/>
        <v>-125</v>
      </c>
      <c r="L772" s="12" t="s">
        <v>3714</v>
      </c>
    </row>
    <row r="773" spans="1:12" x14ac:dyDescent="0.25">
      <c r="A773" s="11" t="s">
        <v>2172</v>
      </c>
      <c r="B773" s="2" t="str">
        <f t="shared" si="72"/>
        <v>Rough Kick1</v>
      </c>
      <c r="C773" s="3">
        <v>772</v>
      </c>
      <c r="D773" s="17" t="s">
        <v>771</v>
      </c>
      <c r="E773" s="2" t="str">
        <f t="shared" si="73"/>
        <v>Vint.Phone</v>
      </c>
      <c r="F773" s="12">
        <v>772</v>
      </c>
      <c r="G773" s="17">
        <f t="shared" si="74"/>
        <v>908</v>
      </c>
      <c r="H773" s="2">
        <f t="shared" si="75"/>
        <v>136</v>
      </c>
      <c r="I773" s="3" t="s">
        <v>3714</v>
      </c>
      <c r="J773" s="17">
        <f t="shared" si="76"/>
        <v>647</v>
      </c>
      <c r="K773" s="2">
        <f t="shared" si="77"/>
        <v>-125</v>
      </c>
      <c r="L773" s="12" t="s">
        <v>3714</v>
      </c>
    </row>
    <row r="774" spans="1:12" x14ac:dyDescent="0.25">
      <c r="A774" s="11" t="s">
        <v>2173</v>
      </c>
      <c r="B774" s="2" t="str">
        <f t="shared" si="72"/>
        <v>Rough Kick2</v>
      </c>
      <c r="C774" s="3">
        <v>773</v>
      </c>
      <c r="D774" s="17" t="s">
        <v>772</v>
      </c>
      <c r="E774" s="2" t="str">
        <f t="shared" si="73"/>
        <v>Office Phone</v>
      </c>
      <c r="F774" s="12">
        <v>773</v>
      </c>
      <c r="G774" s="17">
        <f t="shared" si="74"/>
        <v>909</v>
      </c>
      <c r="H774" s="2">
        <f t="shared" si="75"/>
        <v>136</v>
      </c>
      <c r="I774" s="3" t="s">
        <v>3714</v>
      </c>
      <c r="J774" s="17">
        <f t="shared" si="76"/>
        <v>648</v>
      </c>
      <c r="K774" s="2">
        <f t="shared" si="77"/>
        <v>-125</v>
      </c>
      <c r="L774" s="12" t="s">
        <v>3714</v>
      </c>
    </row>
    <row r="775" spans="1:12" x14ac:dyDescent="0.25">
      <c r="A775" s="11" t="s">
        <v>2174</v>
      </c>
      <c r="B775" s="2" t="str">
        <f t="shared" si="72"/>
        <v>Rough Kick3</v>
      </c>
      <c r="C775" s="3">
        <v>774</v>
      </c>
      <c r="D775" s="17" t="s">
        <v>773</v>
      </c>
      <c r="E775" s="2" t="str">
        <f t="shared" si="73"/>
        <v>Mobile Phone</v>
      </c>
      <c r="F775" s="12">
        <v>774</v>
      </c>
      <c r="G775" s="17">
        <f t="shared" si="74"/>
        <v>910</v>
      </c>
      <c r="H775" s="2">
        <f t="shared" si="75"/>
        <v>136</v>
      </c>
      <c r="I775" s="3" t="s">
        <v>3714</v>
      </c>
      <c r="J775" s="17">
        <f t="shared" si="76"/>
        <v>649</v>
      </c>
      <c r="K775" s="2">
        <f t="shared" si="77"/>
        <v>-125</v>
      </c>
      <c r="L775" s="12" t="s">
        <v>3714</v>
      </c>
    </row>
    <row r="776" spans="1:12" x14ac:dyDescent="0.25">
      <c r="A776" s="11" t="s">
        <v>2175</v>
      </c>
      <c r="B776" s="2" t="str">
        <f t="shared" si="72"/>
        <v>Click Kick</v>
      </c>
      <c r="C776" s="3">
        <v>775</v>
      </c>
      <c r="D776" s="17" t="s">
        <v>774</v>
      </c>
      <c r="E776" s="2" t="str">
        <f t="shared" si="73"/>
        <v>Door Creak</v>
      </c>
      <c r="F776" s="12">
        <v>775</v>
      </c>
      <c r="G776" s="17">
        <f t="shared" si="74"/>
        <v>0</v>
      </c>
      <c r="H776" s="2">
        <f t="shared" si="75"/>
        <v>0</v>
      </c>
      <c r="I776" s="3" t="s">
        <v>3714</v>
      </c>
      <c r="J776" s="17">
        <f t="shared" si="76"/>
        <v>650</v>
      </c>
      <c r="K776" s="2">
        <f t="shared" si="77"/>
        <v>-125</v>
      </c>
      <c r="L776" s="12" t="s">
        <v>3714</v>
      </c>
    </row>
    <row r="777" spans="1:12" x14ac:dyDescent="0.25">
      <c r="A777" s="11" t="s">
        <v>2176</v>
      </c>
      <c r="B777" s="2" t="str">
        <f t="shared" si="72"/>
        <v>Pick Kick</v>
      </c>
      <c r="C777" s="3">
        <v>776</v>
      </c>
      <c r="D777" s="17" t="s">
        <v>775</v>
      </c>
      <c r="E777" s="2" t="str">
        <f t="shared" si="73"/>
        <v>Door Slam</v>
      </c>
      <c r="F777" s="12">
        <v>776</v>
      </c>
      <c r="G777" s="17">
        <f t="shared" si="74"/>
        <v>0</v>
      </c>
      <c r="H777" s="2">
        <f t="shared" si="75"/>
        <v>0</v>
      </c>
      <c r="I777" s="3" t="s">
        <v>3714</v>
      </c>
      <c r="J777" s="17">
        <f t="shared" si="76"/>
        <v>651</v>
      </c>
      <c r="K777" s="2">
        <f t="shared" si="77"/>
        <v>-125</v>
      </c>
      <c r="L777" s="12" t="s">
        <v>3714</v>
      </c>
    </row>
    <row r="778" spans="1:12" x14ac:dyDescent="0.25">
      <c r="A778" s="11" t="s">
        <v>2177</v>
      </c>
      <c r="B778" s="2" t="str">
        <f t="shared" si="72"/>
        <v>Back Kick</v>
      </c>
      <c r="C778" s="3">
        <v>777</v>
      </c>
      <c r="D778" s="17" t="s">
        <v>776</v>
      </c>
      <c r="E778" s="2" t="str">
        <f t="shared" si="73"/>
        <v>Car Engine</v>
      </c>
      <c r="F778" s="12">
        <v>777</v>
      </c>
      <c r="G778" s="17">
        <f t="shared" si="74"/>
        <v>0</v>
      </c>
      <c r="H778" s="2">
        <f t="shared" si="75"/>
        <v>0</v>
      </c>
      <c r="I778" s="3" t="s">
        <v>3714</v>
      </c>
      <c r="J778" s="17">
        <f t="shared" si="76"/>
        <v>652</v>
      </c>
      <c r="K778" s="2">
        <f t="shared" si="77"/>
        <v>-125</v>
      </c>
      <c r="L778" s="12" t="s">
        <v>3714</v>
      </c>
    </row>
    <row r="779" spans="1:12" x14ac:dyDescent="0.25">
      <c r="A779" s="11" t="s">
        <v>2178</v>
      </c>
      <c r="B779" s="2" t="str">
        <f t="shared" si="72"/>
        <v>Vinyl Kick</v>
      </c>
      <c r="C779" s="3">
        <v>778</v>
      </c>
      <c r="D779" s="17" t="s">
        <v>777</v>
      </c>
      <c r="E779" s="2" t="str">
        <f t="shared" si="73"/>
        <v>Car Slip</v>
      </c>
      <c r="F779" s="12">
        <v>778</v>
      </c>
      <c r="G779" s="17">
        <f t="shared" si="74"/>
        <v>0</v>
      </c>
      <c r="H779" s="2">
        <f t="shared" si="75"/>
        <v>0</v>
      </c>
      <c r="I779" s="3" t="s">
        <v>3714</v>
      </c>
      <c r="J779" s="17">
        <f t="shared" si="76"/>
        <v>653</v>
      </c>
      <c r="K779" s="2">
        <f t="shared" si="77"/>
        <v>-125</v>
      </c>
      <c r="L779" s="12" t="s">
        <v>3714</v>
      </c>
    </row>
    <row r="780" spans="1:12" x14ac:dyDescent="0.25">
      <c r="A780" s="11" t="s">
        <v>2179</v>
      </c>
      <c r="B780" s="2" t="str">
        <f t="shared" si="72"/>
        <v>Low Kick 1</v>
      </c>
      <c r="C780" s="3">
        <v>779</v>
      </c>
      <c r="D780" s="17" t="s">
        <v>778</v>
      </c>
      <c r="E780" s="2" t="str">
        <f t="shared" si="73"/>
        <v>Car Pass</v>
      </c>
      <c r="F780" s="12">
        <v>779</v>
      </c>
      <c r="G780" s="17">
        <f t="shared" si="74"/>
        <v>0</v>
      </c>
      <c r="H780" s="2">
        <f t="shared" si="75"/>
        <v>0</v>
      </c>
      <c r="I780" s="3" t="s">
        <v>3714</v>
      </c>
      <c r="J780" s="17">
        <f t="shared" si="76"/>
        <v>654</v>
      </c>
      <c r="K780" s="2">
        <f t="shared" si="77"/>
        <v>-125</v>
      </c>
      <c r="L780" s="12" t="s">
        <v>3714</v>
      </c>
    </row>
    <row r="781" spans="1:12" x14ac:dyDescent="0.25">
      <c r="A781" s="11" t="s">
        <v>2180</v>
      </c>
      <c r="B781" s="2" t="str">
        <f t="shared" si="72"/>
        <v>Boys Kick</v>
      </c>
      <c r="C781" s="3">
        <v>780</v>
      </c>
      <c r="D781" s="17" t="s">
        <v>779</v>
      </c>
      <c r="E781" s="2" t="str">
        <f t="shared" si="73"/>
        <v>Crash Seq.</v>
      </c>
      <c r="F781" s="12">
        <v>780</v>
      </c>
      <c r="G781" s="17">
        <f t="shared" si="74"/>
        <v>0</v>
      </c>
      <c r="H781" s="2">
        <f t="shared" si="75"/>
        <v>0</v>
      </c>
      <c r="I781" s="3" t="s">
        <v>3714</v>
      </c>
      <c r="J781" s="17">
        <f t="shared" si="76"/>
        <v>655</v>
      </c>
      <c r="K781" s="2">
        <f t="shared" si="77"/>
        <v>-125</v>
      </c>
      <c r="L781" s="12" t="s">
        <v>3714</v>
      </c>
    </row>
    <row r="782" spans="1:12" x14ac:dyDescent="0.25">
      <c r="A782" s="11" t="s">
        <v>2181</v>
      </c>
      <c r="B782" s="2" t="str">
        <f t="shared" si="72"/>
        <v>Hippie Kick</v>
      </c>
      <c r="C782" s="3">
        <v>781</v>
      </c>
      <c r="D782" s="17" t="s">
        <v>780</v>
      </c>
      <c r="E782" s="2" t="str">
        <f t="shared" si="73"/>
        <v>Gun Shot</v>
      </c>
      <c r="F782" s="12">
        <v>781</v>
      </c>
      <c r="G782" s="17">
        <f t="shared" si="74"/>
        <v>0</v>
      </c>
      <c r="H782" s="2">
        <f t="shared" si="75"/>
        <v>0</v>
      </c>
      <c r="I782" s="3" t="s">
        <v>3714</v>
      </c>
      <c r="J782" s="17">
        <f t="shared" si="76"/>
        <v>656</v>
      </c>
      <c r="K782" s="2">
        <f t="shared" si="77"/>
        <v>-125</v>
      </c>
      <c r="L782" s="12" t="s">
        <v>3714</v>
      </c>
    </row>
    <row r="783" spans="1:12" x14ac:dyDescent="0.25">
      <c r="A783" s="11" t="s">
        <v>2182</v>
      </c>
      <c r="B783" s="2" t="str">
        <f t="shared" si="72"/>
        <v>Frenzy Kick</v>
      </c>
      <c r="C783" s="3">
        <v>782</v>
      </c>
      <c r="D783" s="17" t="s">
        <v>781</v>
      </c>
      <c r="E783" s="2" t="str">
        <f t="shared" si="73"/>
        <v>Siren</v>
      </c>
      <c r="F783" s="12">
        <v>782</v>
      </c>
      <c r="G783" s="17">
        <f t="shared" si="74"/>
        <v>0</v>
      </c>
      <c r="H783" s="2">
        <f t="shared" si="75"/>
        <v>0</v>
      </c>
      <c r="I783" s="3" t="s">
        <v>3714</v>
      </c>
      <c r="J783" s="17">
        <f t="shared" si="76"/>
        <v>657</v>
      </c>
      <c r="K783" s="2">
        <f t="shared" si="77"/>
        <v>-125</v>
      </c>
      <c r="L783" s="12" t="s">
        <v>3714</v>
      </c>
    </row>
    <row r="784" spans="1:12" x14ac:dyDescent="0.25">
      <c r="A784" s="11" t="s">
        <v>2183</v>
      </c>
      <c r="B784" s="2" t="str">
        <f t="shared" si="72"/>
        <v>PlasticKick1</v>
      </c>
      <c r="C784" s="3">
        <v>783</v>
      </c>
      <c r="D784" s="17" t="s">
        <v>782</v>
      </c>
      <c r="E784" s="2" t="str">
        <f t="shared" si="73"/>
        <v>Train Pass</v>
      </c>
      <c r="F784" s="12">
        <v>783</v>
      </c>
      <c r="G784" s="17">
        <f t="shared" si="74"/>
        <v>911</v>
      </c>
      <c r="H784" s="2">
        <f t="shared" si="75"/>
        <v>128</v>
      </c>
      <c r="I784" s="3" t="s">
        <v>3714</v>
      </c>
      <c r="J784" s="17">
        <f t="shared" si="76"/>
        <v>658</v>
      </c>
      <c r="K784" s="2">
        <f t="shared" si="77"/>
        <v>-125</v>
      </c>
      <c r="L784" s="12" t="s">
        <v>3714</v>
      </c>
    </row>
    <row r="785" spans="1:12" x14ac:dyDescent="0.25">
      <c r="A785" s="11" t="s">
        <v>2184</v>
      </c>
      <c r="B785" s="2" t="str">
        <f t="shared" si="72"/>
        <v>Swallow Kick</v>
      </c>
      <c r="C785" s="3">
        <v>784</v>
      </c>
      <c r="D785" s="17" t="s">
        <v>783</v>
      </c>
      <c r="E785" s="2" t="str">
        <f t="shared" si="73"/>
        <v>Airplane</v>
      </c>
      <c r="F785" s="12">
        <v>784</v>
      </c>
      <c r="G785" s="17">
        <f t="shared" si="74"/>
        <v>0</v>
      </c>
      <c r="H785" s="2">
        <f t="shared" si="75"/>
        <v>0</v>
      </c>
      <c r="I785" s="3" t="s">
        <v>3714</v>
      </c>
      <c r="J785" s="17">
        <f t="shared" si="76"/>
        <v>659</v>
      </c>
      <c r="K785" s="2">
        <f t="shared" si="77"/>
        <v>-125</v>
      </c>
      <c r="L785" s="12" t="s">
        <v>3714</v>
      </c>
    </row>
    <row r="786" spans="1:12" x14ac:dyDescent="0.25">
      <c r="A786" s="11" t="s">
        <v>2185</v>
      </c>
      <c r="B786" s="2" t="str">
        <f t="shared" si="72"/>
        <v>Neck Kick</v>
      </c>
      <c r="C786" s="3">
        <v>785</v>
      </c>
      <c r="D786" s="17" t="s">
        <v>784</v>
      </c>
      <c r="E786" s="2" t="str">
        <f t="shared" si="73"/>
        <v>Helicopter</v>
      </c>
      <c r="F786" s="12">
        <v>785</v>
      </c>
      <c r="G786" s="17">
        <f t="shared" si="74"/>
        <v>0</v>
      </c>
      <c r="H786" s="2">
        <f t="shared" si="75"/>
        <v>0</v>
      </c>
      <c r="I786" s="3" t="s">
        <v>3714</v>
      </c>
      <c r="J786" s="17">
        <f t="shared" si="76"/>
        <v>0</v>
      </c>
      <c r="K786" s="2">
        <f t="shared" si="77"/>
        <v>0</v>
      </c>
      <c r="L786" s="12" t="s">
        <v>3714</v>
      </c>
    </row>
    <row r="787" spans="1:12" x14ac:dyDescent="0.25">
      <c r="A787" s="11" t="s">
        <v>2186</v>
      </c>
      <c r="B787" s="2" t="str">
        <f t="shared" si="72"/>
        <v>70's Kick</v>
      </c>
      <c r="C787" s="3">
        <v>786</v>
      </c>
      <c r="D787" s="17" t="s">
        <v>785</v>
      </c>
      <c r="E787" s="2" t="str">
        <f t="shared" si="73"/>
        <v>Space Voyage</v>
      </c>
      <c r="F787" s="12">
        <v>786</v>
      </c>
      <c r="G787" s="17">
        <f t="shared" si="74"/>
        <v>912</v>
      </c>
      <c r="H787" s="2">
        <f t="shared" si="75"/>
        <v>126</v>
      </c>
      <c r="I787" s="3" t="s">
        <v>3714</v>
      </c>
      <c r="J787" s="17">
        <f t="shared" si="76"/>
        <v>660</v>
      </c>
      <c r="K787" s="2">
        <f t="shared" si="77"/>
        <v>-126</v>
      </c>
      <c r="L787" s="12" t="s">
        <v>3714</v>
      </c>
    </row>
    <row r="788" spans="1:12" x14ac:dyDescent="0.25">
      <c r="A788" s="11" t="s">
        <v>2187</v>
      </c>
      <c r="B788" s="2" t="str">
        <f t="shared" si="72"/>
        <v>Skool Kick</v>
      </c>
      <c r="C788" s="3">
        <v>787</v>
      </c>
      <c r="D788" s="17" t="s">
        <v>786</v>
      </c>
      <c r="E788" s="2" t="str">
        <f t="shared" si="73"/>
        <v>Blow Loop</v>
      </c>
      <c r="F788" s="12">
        <v>787</v>
      </c>
      <c r="G788" s="17">
        <f t="shared" si="74"/>
        <v>0</v>
      </c>
      <c r="H788" s="2">
        <f t="shared" si="75"/>
        <v>0</v>
      </c>
      <c r="I788" s="3" t="s">
        <v>3714</v>
      </c>
      <c r="J788" s="17">
        <f t="shared" si="76"/>
        <v>661</v>
      </c>
      <c r="K788" s="2">
        <f t="shared" si="77"/>
        <v>-126</v>
      </c>
      <c r="L788" s="12" t="s">
        <v>3714</v>
      </c>
    </row>
    <row r="789" spans="1:12" x14ac:dyDescent="0.25">
      <c r="A789" s="11" t="s">
        <v>2188</v>
      </c>
      <c r="B789" s="2" t="str">
        <f t="shared" si="72"/>
        <v>Dance Kick</v>
      </c>
      <c r="C789" s="3">
        <v>788</v>
      </c>
      <c r="D789" s="17" t="s">
        <v>787</v>
      </c>
      <c r="E789" s="2" t="str">
        <f t="shared" si="73"/>
        <v>Laugh</v>
      </c>
      <c r="F789" s="12">
        <v>788</v>
      </c>
      <c r="G789" s="17">
        <f t="shared" si="74"/>
        <v>913</v>
      </c>
      <c r="H789" s="2">
        <f t="shared" si="75"/>
        <v>125</v>
      </c>
      <c r="I789" s="3" t="s">
        <v>3714</v>
      </c>
      <c r="J789" s="17">
        <f t="shared" si="76"/>
        <v>662</v>
      </c>
      <c r="K789" s="2">
        <f t="shared" si="77"/>
        <v>-126</v>
      </c>
      <c r="L789" s="12" t="s">
        <v>3714</v>
      </c>
    </row>
    <row r="790" spans="1:12" x14ac:dyDescent="0.25">
      <c r="A790" s="11" t="s">
        <v>2189</v>
      </c>
      <c r="B790" s="2" t="str">
        <f t="shared" si="72"/>
        <v>HipHop Kick1</v>
      </c>
      <c r="C790" s="3">
        <v>789</v>
      </c>
      <c r="D790" s="17" t="s">
        <v>788</v>
      </c>
      <c r="E790" s="2" t="str">
        <f t="shared" si="73"/>
        <v>Scream</v>
      </c>
      <c r="F790" s="12">
        <v>789</v>
      </c>
      <c r="G790" s="17">
        <f t="shared" si="74"/>
        <v>914</v>
      </c>
      <c r="H790" s="2">
        <f t="shared" si="75"/>
        <v>125</v>
      </c>
      <c r="I790" s="3" t="s">
        <v>3714</v>
      </c>
      <c r="J790" s="17">
        <f t="shared" si="76"/>
        <v>663</v>
      </c>
      <c r="K790" s="2">
        <f t="shared" si="77"/>
        <v>-126</v>
      </c>
      <c r="L790" s="12" t="s">
        <v>3714</v>
      </c>
    </row>
    <row r="791" spans="1:12" x14ac:dyDescent="0.25">
      <c r="A791" s="11" t="s">
        <v>2190</v>
      </c>
      <c r="B791" s="2" t="str">
        <f t="shared" si="72"/>
        <v>HipHop Kick2</v>
      </c>
      <c r="C791" s="3">
        <v>790</v>
      </c>
      <c r="D791" s="17" t="s">
        <v>789</v>
      </c>
      <c r="E791" s="2" t="str">
        <f t="shared" si="73"/>
        <v>Punch</v>
      </c>
      <c r="F791" s="12">
        <v>790</v>
      </c>
      <c r="G791" s="17">
        <f t="shared" si="74"/>
        <v>915</v>
      </c>
      <c r="H791" s="2">
        <f t="shared" si="75"/>
        <v>125</v>
      </c>
      <c r="I791" s="3" t="s">
        <v>3714</v>
      </c>
      <c r="J791" s="17">
        <f t="shared" si="76"/>
        <v>664</v>
      </c>
      <c r="K791" s="2">
        <f t="shared" si="77"/>
        <v>-126</v>
      </c>
      <c r="L791" s="12" t="s">
        <v>3714</v>
      </c>
    </row>
    <row r="792" spans="1:12" x14ac:dyDescent="0.25">
      <c r="A792" s="11" t="s">
        <v>2191</v>
      </c>
      <c r="B792" s="2" t="str">
        <f t="shared" si="72"/>
        <v>Pin Kick</v>
      </c>
      <c r="C792" s="3">
        <v>791</v>
      </c>
      <c r="D792" s="17" t="s">
        <v>790</v>
      </c>
      <c r="E792" s="2" t="str">
        <f t="shared" si="73"/>
        <v>Heartbeat</v>
      </c>
      <c r="F792" s="12">
        <v>791</v>
      </c>
      <c r="G792" s="17">
        <f t="shared" si="74"/>
        <v>0</v>
      </c>
      <c r="H792" s="2">
        <f t="shared" si="75"/>
        <v>0</v>
      </c>
      <c r="I792" s="3" t="s">
        <v>3714</v>
      </c>
      <c r="J792" s="17">
        <f t="shared" si="76"/>
        <v>665</v>
      </c>
      <c r="K792" s="2">
        <f t="shared" si="77"/>
        <v>-126</v>
      </c>
      <c r="L792" s="12" t="s">
        <v>3714</v>
      </c>
    </row>
    <row r="793" spans="1:12" x14ac:dyDescent="0.25">
      <c r="A793" s="11" t="s">
        <v>2192</v>
      </c>
      <c r="B793" s="2" t="str">
        <f t="shared" si="72"/>
        <v>Low Kick 2</v>
      </c>
      <c r="C793" s="3">
        <v>792</v>
      </c>
      <c r="D793" s="17" t="s">
        <v>791</v>
      </c>
      <c r="E793" s="2" t="str">
        <f t="shared" si="73"/>
        <v>Footsteps</v>
      </c>
      <c r="F793" s="12">
        <v>792</v>
      </c>
      <c r="G793" s="17">
        <f t="shared" si="74"/>
        <v>0</v>
      </c>
      <c r="H793" s="2">
        <f t="shared" si="75"/>
        <v>0</v>
      </c>
      <c r="I793" s="3" t="s">
        <v>3714</v>
      </c>
      <c r="J793" s="17">
        <f t="shared" si="76"/>
        <v>666</v>
      </c>
      <c r="K793" s="2">
        <f t="shared" si="77"/>
        <v>-126</v>
      </c>
      <c r="L793" s="12" t="s">
        <v>3714</v>
      </c>
    </row>
    <row r="794" spans="1:12" x14ac:dyDescent="0.25">
      <c r="A794" s="11" t="s">
        <v>2193</v>
      </c>
      <c r="B794" s="2" t="str">
        <f t="shared" si="72"/>
        <v>Low Kick 3</v>
      </c>
      <c r="C794" s="3">
        <v>793</v>
      </c>
      <c r="D794" s="17" t="s">
        <v>792</v>
      </c>
      <c r="E794" s="2" t="str">
        <f t="shared" si="73"/>
        <v>Machine Gun</v>
      </c>
      <c r="F794" s="12">
        <v>793</v>
      </c>
      <c r="G794" s="17">
        <f t="shared" si="74"/>
        <v>0</v>
      </c>
      <c r="H794" s="2">
        <f t="shared" si="75"/>
        <v>0</v>
      </c>
      <c r="I794" s="3" t="s">
        <v>3714</v>
      </c>
      <c r="J794" s="17">
        <f t="shared" si="76"/>
        <v>667</v>
      </c>
      <c r="K794" s="2">
        <f t="shared" si="77"/>
        <v>-126</v>
      </c>
      <c r="L794" s="12" t="s">
        <v>3714</v>
      </c>
    </row>
    <row r="795" spans="1:12" x14ac:dyDescent="0.25">
      <c r="A795" s="11" t="s">
        <v>2194</v>
      </c>
      <c r="B795" s="2" t="str">
        <f t="shared" si="72"/>
        <v>AnalogKick 1</v>
      </c>
      <c r="C795" s="3">
        <v>794</v>
      </c>
      <c r="D795" s="17" t="s">
        <v>793</v>
      </c>
      <c r="E795" s="2" t="str">
        <f t="shared" si="73"/>
        <v>Laser</v>
      </c>
      <c r="F795" s="12">
        <v>794</v>
      </c>
      <c r="G795" s="17">
        <f t="shared" si="74"/>
        <v>916</v>
      </c>
      <c r="H795" s="2">
        <f t="shared" si="75"/>
        <v>122</v>
      </c>
      <c r="I795" s="3" t="s">
        <v>3714</v>
      </c>
      <c r="J795" s="17">
        <f t="shared" si="76"/>
        <v>668</v>
      </c>
      <c r="K795" s="2">
        <f t="shared" si="77"/>
        <v>-126</v>
      </c>
      <c r="L795" s="12" t="s">
        <v>3714</v>
      </c>
    </row>
    <row r="796" spans="1:12" x14ac:dyDescent="0.25">
      <c r="A796" s="11" t="s">
        <v>2195</v>
      </c>
      <c r="B796" s="2" t="str">
        <f t="shared" si="72"/>
        <v>PlasticKick2</v>
      </c>
      <c r="C796" s="3">
        <v>795</v>
      </c>
      <c r="D796" s="17" t="s">
        <v>794</v>
      </c>
      <c r="E796" s="2" t="str">
        <f t="shared" si="73"/>
        <v>Thunder Lp</v>
      </c>
      <c r="F796" s="12">
        <v>795</v>
      </c>
      <c r="G796" s="17">
        <f t="shared" si="74"/>
        <v>917</v>
      </c>
      <c r="H796" s="2">
        <f t="shared" si="75"/>
        <v>122</v>
      </c>
      <c r="I796" s="3" t="s">
        <v>3714</v>
      </c>
      <c r="J796" s="17">
        <f t="shared" si="76"/>
        <v>669</v>
      </c>
      <c r="K796" s="2">
        <f t="shared" si="77"/>
        <v>-126</v>
      </c>
      <c r="L796" s="12" t="s">
        <v>3714</v>
      </c>
    </row>
    <row r="797" spans="1:12" x14ac:dyDescent="0.25">
      <c r="A797" s="11" t="s">
        <v>2196</v>
      </c>
      <c r="B797" s="2" t="str">
        <f t="shared" si="72"/>
        <v>PlasticKick3</v>
      </c>
      <c r="C797" s="3">
        <v>796</v>
      </c>
      <c r="D797" s="17" t="s">
        <v>795</v>
      </c>
      <c r="E797" s="2" t="str">
        <f t="shared" si="73"/>
        <v>Ac.Bass Nz</v>
      </c>
      <c r="F797" s="12">
        <v>796</v>
      </c>
      <c r="G797" s="17">
        <f t="shared" si="74"/>
        <v>918</v>
      </c>
      <c r="H797" s="2">
        <f t="shared" si="75"/>
        <v>122</v>
      </c>
      <c r="I797" s="3" t="s">
        <v>3714</v>
      </c>
      <c r="J797" s="17">
        <f t="shared" si="76"/>
        <v>0</v>
      </c>
      <c r="K797" s="2">
        <f t="shared" si="77"/>
        <v>0</v>
      </c>
      <c r="L797" s="12" t="s">
        <v>3714</v>
      </c>
    </row>
    <row r="798" spans="1:12" x14ac:dyDescent="0.25">
      <c r="A798" s="11" t="s">
        <v>2197</v>
      </c>
      <c r="B798" s="2" t="str">
        <f t="shared" si="72"/>
        <v>TR909 Kick 1</v>
      </c>
      <c r="C798" s="3">
        <v>797</v>
      </c>
      <c r="D798" s="17" t="s">
        <v>796</v>
      </c>
      <c r="E798" s="2" t="str">
        <f t="shared" si="73"/>
        <v>E.Bass Nz 1</v>
      </c>
      <c r="F798" s="12">
        <v>797</v>
      </c>
      <c r="G798" s="17">
        <f t="shared" si="74"/>
        <v>919</v>
      </c>
      <c r="H798" s="2">
        <f t="shared" si="75"/>
        <v>122</v>
      </c>
      <c r="I798" s="3" t="s">
        <v>3714</v>
      </c>
      <c r="J798" s="17">
        <f t="shared" si="76"/>
        <v>672</v>
      </c>
      <c r="K798" s="2">
        <f t="shared" si="77"/>
        <v>-125</v>
      </c>
      <c r="L798" s="12" t="s">
        <v>3714</v>
      </c>
    </row>
    <row r="799" spans="1:12" x14ac:dyDescent="0.25">
      <c r="A799" s="11" t="s">
        <v>2198</v>
      </c>
      <c r="B799" s="2" t="str">
        <f t="shared" si="72"/>
        <v>TR909 Kick 2</v>
      </c>
      <c r="C799" s="3">
        <v>798</v>
      </c>
      <c r="D799" s="17" t="s">
        <v>797</v>
      </c>
      <c r="E799" s="2" t="str">
        <f t="shared" si="73"/>
        <v>E.Bass Nz 2</v>
      </c>
      <c r="F799" s="12">
        <v>798</v>
      </c>
      <c r="G799" s="17">
        <f t="shared" si="74"/>
        <v>920</v>
      </c>
      <c r="H799" s="2">
        <f t="shared" si="75"/>
        <v>122</v>
      </c>
      <c r="I799" s="3" t="s">
        <v>3714</v>
      </c>
      <c r="J799" s="17">
        <f t="shared" si="76"/>
        <v>673</v>
      </c>
      <c r="K799" s="2">
        <f t="shared" si="77"/>
        <v>-125</v>
      </c>
      <c r="L799" s="12" t="s">
        <v>3714</v>
      </c>
    </row>
    <row r="800" spans="1:12" x14ac:dyDescent="0.25">
      <c r="A800" s="11" t="s">
        <v>2199</v>
      </c>
      <c r="B800" s="2" t="str">
        <f t="shared" si="72"/>
        <v>AnalogKick 2</v>
      </c>
      <c r="C800" s="3">
        <v>799</v>
      </c>
      <c r="D800" s="17" t="s">
        <v>798</v>
      </c>
      <c r="E800" s="2" t="str">
        <f t="shared" si="73"/>
        <v>E.Bass Slide</v>
      </c>
      <c r="F800" s="12">
        <v>799</v>
      </c>
      <c r="G800" s="17">
        <f t="shared" si="74"/>
        <v>921</v>
      </c>
      <c r="H800" s="2">
        <f t="shared" si="75"/>
        <v>122</v>
      </c>
      <c r="I800" s="3" t="s">
        <v>3714</v>
      </c>
      <c r="J800" s="17">
        <f t="shared" si="76"/>
        <v>674</v>
      </c>
      <c r="K800" s="2">
        <f t="shared" si="77"/>
        <v>-125</v>
      </c>
      <c r="L800" s="12" t="s">
        <v>3714</v>
      </c>
    </row>
    <row r="801" spans="1:12" x14ac:dyDescent="0.25">
      <c r="A801" s="11" t="s">
        <v>2200</v>
      </c>
      <c r="B801" s="2" t="str">
        <f t="shared" si="72"/>
        <v>TR909 Kick 3</v>
      </c>
      <c r="C801" s="3">
        <v>800</v>
      </c>
      <c r="D801" s="17" t="s">
        <v>799</v>
      </c>
      <c r="E801" s="2" t="str">
        <f t="shared" si="73"/>
        <v>Fng.EB2 Sld</v>
      </c>
      <c r="F801" s="12">
        <v>800</v>
      </c>
      <c r="G801" s="17">
        <f t="shared" si="74"/>
        <v>922</v>
      </c>
      <c r="H801" s="2">
        <f t="shared" si="75"/>
        <v>122</v>
      </c>
      <c r="I801" s="3" t="s">
        <v>3714</v>
      </c>
      <c r="J801" s="17">
        <f t="shared" si="76"/>
        <v>0</v>
      </c>
      <c r="K801" s="2">
        <f t="shared" si="77"/>
        <v>0</v>
      </c>
      <c r="L801" s="12" t="s">
        <v>3714</v>
      </c>
    </row>
    <row r="802" spans="1:12" x14ac:dyDescent="0.25">
      <c r="A802" s="11" t="s">
        <v>2201</v>
      </c>
      <c r="B802" s="2" t="str">
        <f t="shared" si="72"/>
        <v>AnalogKick 3</v>
      </c>
      <c r="C802" s="3">
        <v>801</v>
      </c>
      <c r="D802" s="17" t="s">
        <v>800</v>
      </c>
      <c r="E802" s="2" t="str">
        <f t="shared" si="73"/>
        <v>DistGtr Nz 1</v>
      </c>
      <c r="F802" s="12">
        <v>801</v>
      </c>
      <c r="G802" s="17">
        <f t="shared" si="74"/>
        <v>923</v>
      </c>
      <c r="H802" s="2">
        <f t="shared" si="75"/>
        <v>122</v>
      </c>
      <c r="I802" s="3" t="s">
        <v>3714</v>
      </c>
      <c r="J802" s="17">
        <f t="shared" si="76"/>
        <v>675</v>
      </c>
      <c r="K802" s="2">
        <f t="shared" si="77"/>
        <v>-126</v>
      </c>
      <c r="L802" s="12" t="s">
        <v>3714</v>
      </c>
    </row>
    <row r="803" spans="1:12" x14ac:dyDescent="0.25">
      <c r="A803" s="11" t="s">
        <v>2202</v>
      </c>
      <c r="B803" s="2" t="str">
        <f t="shared" si="72"/>
        <v>AnalogKick 4</v>
      </c>
      <c r="C803" s="3">
        <v>802</v>
      </c>
      <c r="D803" s="17" t="s">
        <v>801</v>
      </c>
      <c r="E803" s="2" t="str">
        <f t="shared" si="73"/>
        <v>DistGtr Nz 2</v>
      </c>
      <c r="F803" s="12">
        <v>802</v>
      </c>
      <c r="G803" s="17">
        <f t="shared" si="74"/>
        <v>924</v>
      </c>
      <c r="H803" s="2">
        <f t="shared" si="75"/>
        <v>122</v>
      </c>
      <c r="I803" s="3" t="s">
        <v>3714</v>
      </c>
      <c r="J803" s="17">
        <f t="shared" si="76"/>
        <v>676</v>
      </c>
      <c r="K803" s="2">
        <f t="shared" si="77"/>
        <v>-126</v>
      </c>
      <c r="L803" s="12" t="s">
        <v>3714</v>
      </c>
    </row>
    <row r="804" spans="1:12" x14ac:dyDescent="0.25">
      <c r="A804" s="11" t="s">
        <v>2203</v>
      </c>
      <c r="B804" s="2" t="str">
        <f t="shared" si="72"/>
        <v>AnalogKick 5</v>
      </c>
      <c r="C804" s="3">
        <v>803</v>
      </c>
      <c r="D804" s="17" t="s">
        <v>802</v>
      </c>
      <c r="E804" s="2" t="str">
        <f t="shared" si="73"/>
        <v>DistGtr Nz 3</v>
      </c>
      <c r="F804" s="12">
        <v>803</v>
      </c>
      <c r="G804" s="17">
        <f t="shared" si="74"/>
        <v>925</v>
      </c>
      <c r="H804" s="2">
        <f t="shared" si="75"/>
        <v>122</v>
      </c>
      <c r="I804" s="3" t="s">
        <v>3714</v>
      </c>
      <c r="J804" s="17">
        <f t="shared" si="76"/>
        <v>677</v>
      </c>
      <c r="K804" s="2">
        <f t="shared" si="77"/>
        <v>-126</v>
      </c>
      <c r="L804" s="12" t="s">
        <v>3714</v>
      </c>
    </row>
    <row r="805" spans="1:12" x14ac:dyDescent="0.25">
      <c r="A805" s="11" t="s">
        <v>2204</v>
      </c>
      <c r="B805" s="2" t="str">
        <f t="shared" si="72"/>
        <v>AnalogKick 6</v>
      </c>
      <c r="C805" s="3">
        <v>804</v>
      </c>
      <c r="D805" s="17" t="s">
        <v>803</v>
      </c>
      <c r="E805" s="2" t="str">
        <f t="shared" si="73"/>
        <v>Gtr Fret Nz1</v>
      </c>
      <c r="F805" s="12">
        <v>804</v>
      </c>
      <c r="G805" s="17">
        <f t="shared" si="74"/>
        <v>926</v>
      </c>
      <c r="H805" s="2">
        <f t="shared" si="75"/>
        <v>122</v>
      </c>
      <c r="I805" s="3" t="s">
        <v>3714</v>
      </c>
      <c r="J805" s="17">
        <f t="shared" si="76"/>
        <v>679</v>
      </c>
      <c r="K805" s="2">
        <f t="shared" si="77"/>
        <v>-125</v>
      </c>
      <c r="L805" s="12" t="s">
        <v>3714</v>
      </c>
    </row>
    <row r="806" spans="1:12" x14ac:dyDescent="0.25">
      <c r="A806" s="11" t="s">
        <v>2205</v>
      </c>
      <c r="B806" s="2" t="str">
        <f t="shared" si="72"/>
        <v>TR606DstKick</v>
      </c>
      <c r="C806" s="3">
        <v>805</v>
      </c>
      <c r="D806" s="17" t="s">
        <v>804</v>
      </c>
      <c r="E806" s="2" t="str">
        <f t="shared" si="73"/>
        <v>Gtr Fret Nz2</v>
      </c>
      <c r="F806" s="12">
        <v>805</v>
      </c>
      <c r="G806" s="17">
        <f t="shared" si="74"/>
        <v>927</v>
      </c>
      <c r="H806" s="2">
        <f t="shared" si="75"/>
        <v>122</v>
      </c>
      <c r="I806" s="3" t="s">
        <v>3714</v>
      </c>
      <c r="J806" s="17">
        <f t="shared" si="76"/>
        <v>680</v>
      </c>
      <c r="K806" s="2">
        <f t="shared" si="77"/>
        <v>-125</v>
      </c>
      <c r="L806" s="12" t="s">
        <v>3714</v>
      </c>
    </row>
    <row r="807" spans="1:12" x14ac:dyDescent="0.25">
      <c r="A807" s="11" t="s">
        <v>2206</v>
      </c>
      <c r="B807" s="2" t="str">
        <f t="shared" si="72"/>
        <v>TR808 Kick</v>
      </c>
      <c r="C807" s="3">
        <v>806</v>
      </c>
      <c r="D807" s="17" t="s">
        <v>805</v>
      </c>
      <c r="E807" s="2" t="str">
        <f t="shared" si="73"/>
        <v>ClassicHseHt</v>
      </c>
      <c r="F807" s="12">
        <v>806</v>
      </c>
      <c r="G807" s="17">
        <f t="shared" si="74"/>
        <v>928</v>
      </c>
      <c r="H807" s="2">
        <f t="shared" si="75"/>
        <v>122</v>
      </c>
      <c r="I807" s="3" t="s">
        <v>3714</v>
      </c>
      <c r="J807" s="17">
        <f t="shared" si="76"/>
        <v>682</v>
      </c>
      <c r="K807" s="2">
        <f t="shared" si="77"/>
        <v>-124</v>
      </c>
      <c r="L807" s="12" t="s">
        <v>3714</v>
      </c>
    </row>
    <row r="808" spans="1:12" x14ac:dyDescent="0.25">
      <c r="A808" s="11" t="s">
        <v>2207</v>
      </c>
      <c r="B808" s="2" t="str">
        <f t="shared" si="72"/>
        <v>TR909 Kick 4</v>
      </c>
      <c r="C808" s="3">
        <v>807</v>
      </c>
      <c r="D808" s="17" t="s">
        <v>806</v>
      </c>
      <c r="E808" s="2" t="str">
        <f t="shared" si="73"/>
        <v>Narrow Hit 1</v>
      </c>
      <c r="F808" s="12">
        <v>807</v>
      </c>
      <c r="G808" s="17">
        <f t="shared" si="74"/>
        <v>929</v>
      </c>
      <c r="H808" s="2">
        <f t="shared" si="75"/>
        <v>122</v>
      </c>
      <c r="I808" s="3" t="s">
        <v>3714</v>
      </c>
      <c r="J808" s="17">
        <f t="shared" si="76"/>
        <v>691</v>
      </c>
      <c r="K808" s="2">
        <f t="shared" si="77"/>
        <v>-116</v>
      </c>
      <c r="L808" s="12" t="s">
        <v>3714</v>
      </c>
    </row>
    <row r="809" spans="1:12" x14ac:dyDescent="0.25">
      <c r="A809" s="11" t="s">
        <v>2208</v>
      </c>
      <c r="B809" s="2" t="str">
        <f t="shared" si="72"/>
        <v>TR909 Kick 5</v>
      </c>
      <c r="C809" s="3">
        <v>808</v>
      </c>
      <c r="D809" s="17" t="s">
        <v>807</v>
      </c>
      <c r="E809" s="2" t="str">
        <f t="shared" si="73"/>
        <v>Narrow Hit 2</v>
      </c>
      <c r="F809" s="12">
        <v>808</v>
      </c>
      <c r="G809" s="17">
        <f t="shared" si="74"/>
        <v>930</v>
      </c>
      <c r="H809" s="2">
        <f t="shared" si="75"/>
        <v>122</v>
      </c>
      <c r="I809" s="3" t="s">
        <v>3714</v>
      </c>
      <c r="J809" s="17">
        <f t="shared" si="76"/>
        <v>692</v>
      </c>
      <c r="K809" s="2">
        <f t="shared" si="77"/>
        <v>-116</v>
      </c>
      <c r="L809" s="12" t="s">
        <v>3714</v>
      </c>
    </row>
    <row r="810" spans="1:12" x14ac:dyDescent="0.25">
      <c r="A810" s="11" t="s">
        <v>2209</v>
      </c>
      <c r="B810" s="2" t="str">
        <f t="shared" si="72"/>
        <v>SH32 Kick</v>
      </c>
      <c r="C810" s="3">
        <v>809</v>
      </c>
      <c r="D810" s="17" t="s">
        <v>808</v>
      </c>
      <c r="E810" s="2" t="str">
        <f t="shared" si="73"/>
        <v>Euro Hit</v>
      </c>
      <c r="F810" s="12">
        <v>809</v>
      </c>
      <c r="G810" s="17">
        <f t="shared" si="74"/>
        <v>931</v>
      </c>
      <c r="H810" s="2">
        <f t="shared" si="75"/>
        <v>122</v>
      </c>
      <c r="I810" s="3" t="s">
        <v>3714</v>
      </c>
      <c r="J810" s="17">
        <f t="shared" si="76"/>
        <v>693</v>
      </c>
      <c r="K810" s="2">
        <f t="shared" si="77"/>
        <v>-116</v>
      </c>
      <c r="L810" s="12" t="s">
        <v>3714</v>
      </c>
    </row>
    <row r="811" spans="1:12" x14ac:dyDescent="0.25">
      <c r="A811" s="11" t="s">
        <v>2210</v>
      </c>
      <c r="B811" s="2" t="str">
        <f t="shared" si="72"/>
        <v>TR707 Kick</v>
      </c>
      <c r="C811" s="3">
        <v>810</v>
      </c>
      <c r="D811" s="17" t="s">
        <v>809</v>
      </c>
      <c r="E811" s="2" t="str">
        <f t="shared" si="73"/>
        <v>Dist Hit</v>
      </c>
      <c r="F811" s="12">
        <v>810</v>
      </c>
      <c r="G811" s="17">
        <f t="shared" si="74"/>
        <v>932</v>
      </c>
      <c r="H811" s="2">
        <f t="shared" si="75"/>
        <v>122</v>
      </c>
      <c r="I811" s="3" t="s">
        <v>3714</v>
      </c>
      <c r="J811" s="17">
        <f t="shared" si="76"/>
        <v>694</v>
      </c>
      <c r="K811" s="2">
        <f t="shared" si="77"/>
        <v>-116</v>
      </c>
      <c r="L811" s="12" t="s">
        <v>3714</v>
      </c>
    </row>
    <row r="812" spans="1:12" x14ac:dyDescent="0.25">
      <c r="A812" s="11" t="s">
        <v>2211</v>
      </c>
      <c r="B812" s="2" t="str">
        <f t="shared" si="72"/>
        <v>TR909 Kick 6</v>
      </c>
      <c r="C812" s="3">
        <v>811</v>
      </c>
      <c r="D812" s="17" t="s">
        <v>810</v>
      </c>
      <c r="E812" s="2" t="str">
        <f t="shared" si="73"/>
        <v>Thin Beef</v>
      </c>
      <c r="F812" s="12">
        <v>811</v>
      </c>
      <c r="G812" s="17">
        <f t="shared" si="74"/>
        <v>933</v>
      </c>
      <c r="H812" s="2">
        <f t="shared" si="75"/>
        <v>122</v>
      </c>
      <c r="I812" s="3" t="s">
        <v>3714</v>
      </c>
      <c r="J812" s="17">
        <f t="shared" si="76"/>
        <v>695</v>
      </c>
      <c r="K812" s="2">
        <f t="shared" si="77"/>
        <v>-116</v>
      </c>
      <c r="L812" s="12" t="s">
        <v>3714</v>
      </c>
    </row>
    <row r="813" spans="1:12" x14ac:dyDescent="0.25">
      <c r="A813" s="11" t="s">
        <v>2212</v>
      </c>
      <c r="B813" s="2" t="str">
        <f t="shared" si="72"/>
        <v>Roll Kick</v>
      </c>
      <c r="C813" s="3">
        <v>812</v>
      </c>
      <c r="D813" s="17" t="s">
        <v>811</v>
      </c>
      <c r="E813" s="2" t="str">
        <f t="shared" si="73"/>
        <v>Tao Hit</v>
      </c>
      <c r="F813" s="12">
        <v>812</v>
      </c>
      <c r="G813" s="17">
        <f t="shared" si="74"/>
        <v>0</v>
      </c>
      <c r="H813" s="2">
        <f t="shared" si="75"/>
        <v>0</v>
      </c>
      <c r="I813" s="3" t="s">
        <v>3714</v>
      </c>
      <c r="J813" s="17">
        <f t="shared" si="76"/>
        <v>696</v>
      </c>
      <c r="K813" s="2">
        <f t="shared" si="77"/>
        <v>-116</v>
      </c>
      <c r="L813" s="12" t="s">
        <v>3714</v>
      </c>
    </row>
    <row r="814" spans="1:12" x14ac:dyDescent="0.25">
      <c r="A814" s="11" t="s">
        <v>2213</v>
      </c>
      <c r="B814" s="2" t="str">
        <f t="shared" si="72"/>
        <v>Reg.Snr1 p L</v>
      </c>
      <c r="C814" s="3">
        <v>813</v>
      </c>
      <c r="D814" s="17" t="s">
        <v>812</v>
      </c>
      <c r="E814" s="2" t="str">
        <f t="shared" si="73"/>
        <v>Smear Hit 1</v>
      </c>
      <c r="F814" s="12">
        <v>813</v>
      </c>
      <c r="G814" s="17">
        <f t="shared" si="74"/>
        <v>1007</v>
      </c>
      <c r="H814" s="2">
        <f t="shared" si="75"/>
        <v>194</v>
      </c>
      <c r="I814" s="3" t="s">
        <v>3714</v>
      </c>
      <c r="J814" s="17">
        <f t="shared" si="76"/>
        <v>697</v>
      </c>
      <c r="K814" s="2">
        <f t="shared" si="77"/>
        <v>-116</v>
      </c>
      <c r="L814" s="12" t="s">
        <v>3714</v>
      </c>
    </row>
    <row r="815" spans="1:12" x14ac:dyDescent="0.25">
      <c r="A815" s="11" t="s">
        <v>2214</v>
      </c>
      <c r="B815" s="2" t="str">
        <f t="shared" si="72"/>
        <v>Reg.Snr1 p R</v>
      </c>
      <c r="C815" s="3">
        <v>814</v>
      </c>
      <c r="D815" s="17" t="s">
        <v>813</v>
      </c>
      <c r="E815" s="2" t="str">
        <f t="shared" si="73"/>
        <v>Smear Hit 2</v>
      </c>
      <c r="F815" s="12">
        <v>814</v>
      </c>
      <c r="G815" s="17">
        <f t="shared" si="74"/>
        <v>1008</v>
      </c>
      <c r="H815" s="2">
        <f t="shared" si="75"/>
        <v>194</v>
      </c>
      <c r="I815" s="3" t="s">
        <v>3714</v>
      </c>
      <c r="J815" s="17">
        <f t="shared" si="76"/>
        <v>698</v>
      </c>
      <c r="K815" s="2">
        <f t="shared" si="77"/>
        <v>-116</v>
      </c>
      <c r="L815" s="12" t="s">
        <v>3714</v>
      </c>
    </row>
    <row r="816" spans="1:12" x14ac:dyDescent="0.25">
      <c r="A816" s="11" t="s">
        <v>2215</v>
      </c>
      <c r="B816" s="2" t="str">
        <f t="shared" si="72"/>
        <v>Reg.Snr1mf L</v>
      </c>
      <c r="C816" s="3">
        <v>815</v>
      </c>
      <c r="D816" s="17" t="s">
        <v>814</v>
      </c>
      <c r="E816" s="2" t="str">
        <f t="shared" si="73"/>
        <v>LoFi Min Hit</v>
      </c>
      <c r="F816" s="12">
        <v>815</v>
      </c>
      <c r="G816" s="17">
        <f t="shared" si="74"/>
        <v>1009</v>
      </c>
      <c r="H816" s="2">
        <f t="shared" si="75"/>
        <v>194</v>
      </c>
      <c r="I816" s="3" t="s">
        <v>3714</v>
      </c>
      <c r="J816" s="17">
        <f t="shared" si="76"/>
        <v>699</v>
      </c>
      <c r="K816" s="2">
        <f t="shared" si="77"/>
        <v>-116</v>
      </c>
      <c r="L816" s="12" t="s">
        <v>3714</v>
      </c>
    </row>
    <row r="817" spans="1:12" x14ac:dyDescent="0.25">
      <c r="A817" s="11" t="s">
        <v>2216</v>
      </c>
      <c r="B817" s="2" t="str">
        <f t="shared" si="72"/>
        <v>Reg.Snr1mf R</v>
      </c>
      <c r="C817" s="3">
        <v>816</v>
      </c>
      <c r="D817" s="17" t="s">
        <v>815</v>
      </c>
      <c r="E817" s="2" t="str">
        <f t="shared" si="73"/>
        <v>Orch. Hit</v>
      </c>
      <c r="F817" s="12">
        <v>816</v>
      </c>
      <c r="G817" s="17">
        <f t="shared" si="74"/>
        <v>1010</v>
      </c>
      <c r="H817" s="2">
        <f t="shared" si="75"/>
        <v>194</v>
      </c>
      <c r="I817" s="3" t="s">
        <v>3714</v>
      </c>
      <c r="J817" s="17">
        <f t="shared" si="76"/>
        <v>700</v>
      </c>
      <c r="K817" s="2">
        <f t="shared" si="77"/>
        <v>-116</v>
      </c>
      <c r="L817" s="12" t="s">
        <v>3714</v>
      </c>
    </row>
    <row r="818" spans="1:12" x14ac:dyDescent="0.25">
      <c r="A818" s="11" t="s">
        <v>2217</v>
      </c>
      <c r="B818" s="2" t="str">
        <f t="shared" si="72"/>
        <v>Reg.Snr1 f L</v>
      </c>
      <c r="C818" s="3">
        <v>817</v>
      </c>
      <c r="D818" s="17" t="s">
        <v>816</v>
      </c>
      <c r="E818" s="2" t="str">
        <f t="shared" si="73"/>
        <v>Punch Hit</v>
      </c>
      <c r="F818" s="12">
        <v>817</v>
      </c>
      <c r="G818" s="17">
        <f t="shared" si="74"/>
        <v>1011</v>
      </c>
      <c r="H818" s="2">
        <f t="shared" si="75"/>
        <v>194</v>
      </c>
      <c r="I818" s="3" t="s">
        <v>3714</v>
      </c>
      <c r="J818" s="17">
        <f t="shared" si="76"/>
        <v>701</v>
      </c>
      <c r="K818" s="2">
        <f t="shared" si="77"/>
        <v>-116</v>
      </c>
      <c r="L818" s="12" t="s">
        <v>3714</v>
      </c>
    </row>
    <row r="819" spans="1:12" x14ac:dyDescent="0.25">
      <c r="A819" s="11" t="s">
        <v>2218</v>
      </c>
      <c r="B819" s="2" t="str">
        <f t="shared" si="72"/>
        <v>Reg.Snr1 f R</v>
      </c>
      <c r="C819" s="3">
        <v>818</v>
      </c>
      <c r="D819" s="17" t="s">
        <v>817</v>
      </c>
      <c r="E819" s="2" t="str">
        <f t="shared" si="73"/>
        <v>O'Skool Hit</v>
      </c>
      <c r="F819" s="12">
        <v>818</v>
      </c>
      <c r="G819" s="17">
        <f t="shared" si="74"/>
        <v>1012</v>
      </c>
      <c r="H819" s="2">
        <f t="shared" si="75"/>
        <v>194</v>
      </c>
      <c r="I819" s="3" t="s">
        <v>3714</v>
      </c>
      <c r="J819" s="17">
        <f t="shared" si="76"/>
        <v>702</v>
      </c>
      <c r="K819" s="2">
        <f t="shared" si="77"/>
        <v>-116</v>
      </c>
      <c r="L819" s="12" t="s">
        <v>3714</v>
      </c>
    </row>
    <row r="820" spans="1:12" x14ac:dyDescent="0.25">
      <c r="A820" s="11" t="s">
        <v>2219</v>
      </c>
      <c r="B820" s="2" t="str">
        <f t="shared" si="72"/>
        <v>Reg.Snr1ff L</v>
      </c>
      <c r="C820" s="3">
        <v>819</v>
      </c>
      <c r="D820" s="17" t="s">
        <v>818</v>
      </c>
      <c r="E820" s="2" t="str">
        <f t="shared" si="73"/>
        <v>Philly Hit</v>
      </c>
      <c r="F820" s="12">
        <v>819</v>
      </c>
      <c r="G820" s="17">
        <f t="shared" si="74"/>
        <v>1013</v>
      </c>
      <c r="H820" s="2">
        <f t="shared" si="75"/>
        <v>194</v>
      </c>
      <c r="I820" s="3" t="s">
        <v>3714</v>
      </c>
      <c r="J820" s="17">
        <f t="shared" si="76"/>
        <v>703</v>
      </c>
      <c r="K820" s="2">
        <f t="shared" si="77"/>
        <v>-116</v>
      </c>
      <c r="L820" s="12" t="s">
        <v>3714</v>
      </c>
    </row>
    <row r="821" spans="1:12" x14ac:dyDescent="0.25">
      <c r="A821" s="11" t="s">
        <v>2220</v>
      </c>
      <c r="B821" s="2" t="str">
        <f t="shared" si="72"/>
        <v>Reg.Snr1ff R</v>
      </c>
      <c r="C821" s="3">
        <v>820</v>
      </c>
      <c r="D821" s="17" t="s">
        <v>819</v>
      </c>
      <c r="E821" s="2" t="str">
        <f t="shared" si="73"/>
        <v>Scratch 1</v>
      </c>
      <c r="F821" s="12">
        <v>820</v>
      </c>
      <c r="G821" s="17">
        <f t="shared" si="74"/>
        <v>1014</v>
      </c>
      <c r="H821" s="2">
        <f t="shared" si="75"/>
        <v>194</v>
      </c>
      <c r="I821" s="3" t="s">
        <v>3714</v>
      </c>
      <c r="J821" s="17">
        <f t="shared" si="76"/>
        <v>704</v>
      </c>
      <c r="K821" s="2">
        <f t="shared" si="77"/>
        <v>-116</v>
      </c>
      <c r="L821" s="12" t="s">
        <v>3714</v>
      </c>
    </row>
    <row r="822" spans="1:12" x14ac:dyDescent="0.25">
      <c r="A822" s="11" t="s">
        <v>2221</v>
      </c>
      <c r="B822" s="2" t="str">
        <f t="shared" si="72"/>
        <v>Reg.Snr2 p L</v>
      </c>
      <c r="C822" s="3">
        <v>821</v>
      </c>
      <c r="D822" s="17" t="s">
        <v>820</v>
      </c>
      <c r="E822" s="2" t="str">
        <f t="shared" si="73"/>
        <v>Scratch 2</v>
      </c>
      <c r="F822" s="12">
        <v>821</v>
      </c>
      <c r="G822" s="17">
        <f t="shared" si="74"/>
        <v>1015</v>
      </c>
      <c r="H822" s="2">
        <f t="shared" si="75"/>
        <v>194</v>
      </c>
      <c r="I822" s="3" t="s">
        <v>3714</v>
      </c>
      <c r="J822" s="17">
        <f t="shared" si="76"/>
        <v>705</v>
      </c>
      <c r="K822" s="2">
        <f t="shared" si="77"/>
        <v>-116</v>
      </c>
      <c r="L822" s="12" t="s">
        <v>3714</v>
      </c>
    </row>
    <row r="823" spans="1:12" x14ac:dyDescent="0.25">
      <c r="A823" s="11" t="s">
        <v>2222</v>
      </c>
      <c r="B823" s="2" t="str">
        <f t="shared" si="72"/>
        <v>Reg.Snr2 p R</v>
      </c>
      <c r="C823" s="3">
        <v>822</v>
      </c>
      <c r="D823" s="17" t="s">
        <v>821</v>
      </c>
      <c r="E823" s="2" t="str">
        <f t="shared" si="73"/>
        <v>Scratch 3</v>
      </c>
      <c r="F823" s="12">
        <v>822</v>
      </c>
      <c r="G823" s="17">
        <f t="shared" si="74"/>
        <v>1016</v>
      </c>
      <c r="H823" s="2">
        <f t="shared" si="75"/>
        <v>194</v>
      </c>
      <c r="I823" s="3" t="s">
        <v>3714</v>
      </c>
      <c r="J823" s="17">
        <f t="shared" si="76"/>
        <v>706</v>
      </c>
      <c r="K823" s="2">
        <f t="shared" si="77"/>
        <v>-116</v>
      </c>
      <c r="L823" s="12" t="s">
        <v>3714</v>
      </c>
    </row>
    <row r="824" spans="1:12" x14ac:dyDescent="0.25">
      <c r="A824" s="11" t="s">
        <v>2223</v>
      </c>
      <c r="B824" s="2" t="str">
        <f t="shared" si="72"/>
        <v>Reg.Snr2 f L</v>
      </c>
      <c r="C824" s="3">
        <v>823</v>
      </c>
      <c r="D824" s="17" t="s">
        <v>822</v>
      </c>
      <c r="E824" s="2" t="str">
        <f t="shared" si="73"/>
        <v>Scratch 4</v>
      </c>
      <c r="F824" s="12">
        <v>823</v>
      </c>
      <c r="G824" s="17">
        <f t="shared" si="74"/>
        <v>1017</v>
      </c>
      <c r="H824" s="2">
        <f t="shared" si="75"/>
        <v>194</v>
      </c>
      <c r="I824" s="3" t="s">
        <v>3714</v>
      </c>
      <c r="J824" s="17">
        <f t="shared" si="76"/>
        <v>707</v>
      </c>
      <c r="K824" s="2">
        <f t="shared" si="77"/>
        <v>-116</v>
      </c>
      <c r="L824" s="12" t="s">
        <v>3714</v>
      </c>
    </row>
    <row r="825" spans="1:12" x14ac:dyDescent="0.25">
      <c r="A825" s="11" t="s">
        <v>2224</v>
      </c>
      <c r="B825" s="2" t="str">
        <f t="shared" si="72"/>
        <v>Reg.Snr2 f R</v>
      </c>
      <c r="C825" s="3">
        <v>824</v>
      </c>
      <c r="D825" s="17" t="s">
        <v>823</v>
      </c>
      <c r="E825" s="2" t="str">
        <f t="shared" si="73"/>
        <v>Scratch 5</v>
      </c>
      <c r="F825" s="12">
        <v>824</v>
      </c>
      <c r="G825" s="17">
        <f t="shared" si="74"/>
        <v>1018</v>
      </c>
      <c r="H825" s="2">
        <f t="shared" si="75"/>
        <v>194</v>
      </c>
      <c r="I825" s="3" t="s">
        <v>3714</v>
      </c>
      <c r="J825" s="17">
        <f t="shared" si="76"/>
        <v>708</v>
      </c>
      <c r="K825" s="2">
        <f t="shared" si="77"/>
        <v>-116</v>
      </c>
      <c r="L825" s="12" t="s">
        <v>3714</v>
      </c>
    </row>
    <row r="826" spans="1:12" x14ac:dyDescent="0.25">
      <c r="A826" s="11" t="s">
        <v>2225</v>
      </c>
      <c r="B826" s="2" t="str">
        <f t="shared" si="72"/>
        <v>Reg.Snr2ff L</v>
      </c>
      <c r="C826" s="3">
        <v>825</v>
      </c>
      <c r="D826" s="17" t="s">
        <v>824</v>
      </c>
      <c r="E826" s="2" t="str">
        <f t="shared" si="73"/>
        <v>Scratch 6</v>
      </c>
      <c r="F826" s="12">
        <v>825</v>
      </c>
      <c r="G826" s="17">
        <f t="shared" si="74"/>
        <v>1019</v>
      </c>
      <c r="H826" s="2">
        <f t="shared" si="75"/>
        <v>194</v>
      </c>
      <c r="I826" s="3" t="s">
        <v>3714</v>
      </c>
      <c r="J826" s="17">
        <f t="shared" si="76"/>
        <v>709</v>
      </c>
      <c r="K826" s="2">
        <f t="shared" si="77"/>
        <v>-116</v>
      </c>
      <c r="L826" s="12" t="s">
        <v>3714</v>
      </c>
    </row>
    <row r="827" spans="1:12" x14ac:dyDescent="0.25">
      <c r="A827" s="11" t="s">
        <v>2226</v>
      </c>
      <c r="B827" s="2" t="str">
        <f t="shared" si="72"/>
        <v>Reg.Snr2ff R</v>
      </c>
      <c r="C827" s="3">
        <v>826</v>
      </c>
      <c r="D827" s="17" t="s">
        <v>825</v>
      </c>
      <c r="E827" s="2" t="str">
        <f t="shared" si="73"/>
        <v>Scratch 7</v>
      </c>
      <c r="F827" s="12">
        <v>826</v>
      </c>
      <c r="G827" s="17">
        <f t="shared" si="74"/>
        <v>1020</v>
      </c>
      <c r="H827" s="2">
        <f t="shared" si="75"/>
        <v>194</v>
      </c>
      <c r="I827" s="3" t="s">
        <v>3714</v>
      </c>
      <c r="J827" s="17">
        <f t="shared" si="76"/>
        <v>710</v>
      </c>
      <c r="K827" s="2">
        <f t="shared" si="77"/>
        <v>-116</v>
      </c>
      <c r="L827" s="12" t="s">
        <v>3714</v>
      </c>
    </row>
    <row r="828" spans="1:12" x14ac:dyDescent="0.25">
      <c r="A828" s="11" t="s">
        <v>2227</v>
      </c>
      <c r="B828" s="2" t="str">
        <f t="shared" si="72"/>
        <v>Reg.SnrFlm L</v>
      </c>
      <c r="C828" s="3">
        <v>827</v>
      </c>
      <c r="D828" s="17" t="s">
        <v>826</v>
      </c>
      <c r="E828" s="2" t="str">
        <f t="shared" si="73"/>
        <v>Scratch 9</v>
      </c>
      <c r="F828" s="12">
        <v>827</v>
      </c>
      <c r="G828" s="17">
        <f t="shared" si="74"/>
        <v>0</v>
      </c>
      <c r="H828" s="2">
        <f t="shared" si="75"/>
        <v>0</v>
      </c>
      <c r="I828" s="3" t="s">
        <v>3714</v>
      </c>
      <c r="J828" s="17">
        <f t="shared" si="76"/>
        <v>712</v>
      </c>
      <c r="K828" s="2">
        <f t="shared" si="77"/>
        <v>-115</v>
      </c>
      <c r="L828" s="12" t="s">
        <v>3714</v>
      </c>
    </row>
    <row r="829" spans="1:12" x14ac:dyDescent="0.25">
      <c r="A829" s="11" t="s">
        <v>2228</v>
      </c>
      <c r="B829" s="2" t="str">
        <f t="shared" si="72"/>
        <v>Reg.SnrFlm R</v>
      </c>
      <c r="C829" s="3">
        <v>828</v>
      </c>
      <c r="D829" s="17" t="s">
        <v>827</v>
      </c>
      <c r="E829" s="2" t="str">
        <f t="shared" si="73"/>
        <v>Scratch 10</v>
      </c>
      <c r="F829" s="12">
        <v>828</v>
      </c>
      <c r="G829" s="17">
        <f t="shared" si="74"/>
        <v>0</v>
      </c>
      <c r="H829" s="2">
        <f t="shared" si="75"/>
        <v>0</v>
      </c>
      <c r="I829" s="3" t="s">
        <v>3714</v>
      </c>
      <c r="J829" s="17">
        <f t="shared" si="76"/>
        <v>713</v>
      </c>
      <c r="K829" s="2">
        <f t="shared" si="77"/>
        <v>-115</v>
      </c>
      <c r="L829" s="12" t="s">
        <v>3714</v>
      </c>
    </row>
    <row r="830" spans="1:12" x14ac:dyDescent="0.25">
      <c r="A830" s="11" t="s">
        <v>2229</v>
      </c>
      <c r="B830" s="2" t="str">
        <f t="shared" si="72"/>
        <v>Amb.Snr1 p L</v>
      </c>
      <c r="C830" s="3">
        <v>829</v>
      </c>
      <c r="D830" s="17" t="s">
        <v>828</v>
      </c>
      <c r="E830" s="2" t="str">
        <f t="shared" si="73"/>
        <v>Scratch Push</v>
      </c>
      <c r="F830" s="12">
        <v>829</v>
      </c>
      <c r="G830" s="17">
        <f t="shared" si="74"/>
        <v>1021</v>
      </c>
      <c r="H830" s="2">
        <f t="shared" si="75"/>
        <v>192</v>
      </c>
      <c r="I830" s="3" t="s">
        <v>3714</v>
      </c>
      <c r="J830" s="17">
        <f t="shared" si="76"/>
        <v>0</v>
      </c>
      <c r="K830" s="2">
        <f t="shared" si="77"/>
        <v>0</v>
      </c>
      <c r="L830" s="12" t="s">
        <v>3714</v>
      </c>
    </row>
    <row r="831" spans="1:12" x14ac:dyDescent="0.25">
      <c r="A831" s="11" t="s">
        <v>2230</v>
      </c>
      <c r="B831" s="2" t="str">
        <f t="shared" si="72"/>
        <v>Amb.Snr1 p R</v>
      </c>
      <c r="C831" s="3">
        <v>830</v>
      </c>
      <c r="D831" s="17" t="s">
        <v>829</v>
      </c>
      <c r="E831" s="2" t="str">
        <f t="shared" si="73"/>
        <v>Scratch Pull</v>
      </c>
      <c r="F831" s="12">
        <v>830</v>
      </c>
      <c r="G831" s="17">
        <f t="shared" si="74"/>
        <v>1022</v>
      </c>
      <c r="H831" s="2">
        <f t="shared" si="75"/>
        <v>192</v>
      </c>
      <c r="I831" s="3" t="s">
        <v>3714</v>
      </c>
      <c r="J831" s="17">
        <f t="shared" si="76"/>
        <v>0</v>
      </c>
      <c r="K831" s="2">
        <f t="shared" si="77"/>
        <v>0</v>
      </c>
      <c r="L831" s="12" t="s">
        <v>3714</v>
      </c>
    </row>
    <row r="832" spans="1:12" x14ac:dyDescent="0.25">
      <c r="A832" s="11" t="s">
        <v>2231</v>
      </c>
      <c r="B832" s="2" t="str">
        <f t="shared" si="72"/>
        <v>Amb.Snr1 f L</v>
      </c>
      <c r="C832" s="3">
        <v>831</v>
      </c>
      <c r="D832" s="17" t="s">
        <v>830</v>
      </c>
      <c r="E832" s="2" t="str">
        <f t="shared" si="73"/>
        <v>MG Zap 1</v>
      </c>
      <c r="F832" s="12">
        <v>831</v>
      </c>
      <c r="G832" s="17">
        <f t="shared" si="74"/>
        <v>1023</v>
      </c>
      <c r="H832" s="2">
        <f t="shared" si="75"/>
        <v>192</v>
      </c>
      <c r="I832" s="3" t="s">
        <v>3714</v>
      </c>
      <c r="J832" s="17">
        <f t="shared" si="76"/>
        <v>714</v>
      </c>
      <c r="K832" s="2">
        <f t="shared" si="77"/>
        <v>-117</v>
      </c>
      <c r="L832" s="12" t="s">
        <v>3714</v>
      </c>
    </row>
    <row r="833" spans="1:12" x14ac:dyDescent="0.25">
      <c r="A833" s="11" t="s">
        <v>2232</v>
      </c>
      <c r="B833" s="2" t="str">
        <f t="shared" si="72"/>
        <v>Amb.Snr1 f R</v>
      </c>
      <c r="C833" s="3">
        <v>832</v>
      </c>
      <c r="D833" s="17" t="s">
        <v>831</v>
      </c>
      <c r="E833" s="2" t="str">
        <f t="shared" si="73"/>
        <v>MG Zap 2</v>
      </c>
      <c r="F833" s="12">
        <v>832</v>
      </c>
      <c r="G833" s="17">
        <f t="shared" si="74"/>
        <v>1024</v>
      </c>
      <c r="H833" s="2">
        <f t="shared" si="75"/>
        <v>192</v>
      </c>
      <c r="I833" s="3" t="s">
        <v>3714</v>
      </c>
      <c r="J833" s="17">
        <f t="shared" si="76"/>
        <v>715</v>
      </c>
      <c r="K833" s="2">
        <f t="shared" si="77"/>
        <v>-117</v>
      </c>
      <c r="L833" s="12" t="s">
        <v>3714</v>
      </c>
    </row>
    <row r="834" spans="1:12" x14ac:dyDescent="0.25">
      <c r="A834" s="11" t="s">
        <v>2233</v>
      </c>
      <c r="B834" s="2" t="str">
        <f t="shared" ref="B834:B897" si="78">_xlfn.TEXTAFTER(A834," ",1)</f>
        <v>Amb.Snr2 p L</v>
      </c>
      <c r="C834" s="3">
        <v>833</v>
      </c>
      <c r="D834" s="17" t="s">
        <v>832</v>
      </c>
      <c r="E834" s="2" t="str">
        <f t="shared" ref="E834:E897" si="79">_xlfn.TEXTAFTER(D834," ",1)</f>
        <v>MG Zap 3</v>
      </c>
      <c r="F834" s="12">
        <v>833</v>
      </c>
      <c r="G834" s="17">
        <f t="shared" si="74"/>
        <v>1025</v>
      </c>
      <c r="H834" s="2">
        <f t="shared" si="75"/>
        <v>192</v>
      </c>
      <c r="I834" s="3" t="s">
        <v>3714</v>
      </c>
      <c r="J834" s="17">
        <f t="shared" si="76"/>
        <v>716</v>
      </c>
      <c r="K834" s="2">
        <f t="shared" si="77"/>
        <v>-117</v>
      </c>
      <c r="L834" s="12" t="s">
        <v>3714</v>
      </c>
    </row>
    <row r="835" spans="1:12" x14ac:dyDescent="0.25">
      <c r="A835" s="11" t="s">
        <v>2234</v>
      </c>
      <c r="B835" s="2" t="str">
        <f t="shared" si="78"/>
        <v>Amb.Snr2 p R</v>
      </c>
      <c r="C835" s="3">
        <v>834</v>
      </c>
      <c r="D835" s="17" t="s">
        <v>833</v>
      </c>
      <c r="E835" s="2" t="str">
        <f t="shared" si="79"/>
        <v>MG Zap 4</v>
      </c>
      <c r="F835" s="12">
        <v>834</v>
      </c>
      <c r="G835" s="17">
        <f t="shared" ref="G835:G898" si="80">_xlfn.IFNA(_xlfn.XMATCH(B835,E$2:E$1402,0,1),0)</f>
        <v>1026</v>
      </c>
      <c r="H835" s="2">
        <f t="shared" ref="H835:H898" si="81">IF(G835=0,0,G835-C835)</f>
        <v>192</v>
      </c>
      <c r="I835" s="3" t="s">
        <v>3714</v>
      </c>
      <c r="J835" s="17">
        <f t="shared" ref="J835:J898" si="82">_xlfn.IFNA(_xlfn.XMATCH(E835,B$2:B$1229,0,1),0)</f>
        <v>717</v>
      </c>
      <c r="K835" s="2">
        <f t="shared" ref="K835:K898" si="83">IF(J835=0,0,J835-F835)</f>
        <v>-117</v>
      </c>
      <c r="L835" s="12" t="s">
        <v>3714</v>
      </c>
    </row>
    <row r="836" spans="1:12" x14ac:dyDescent="0.25">
      <c r="A836" s="11" t="s">
        <v>2235</v>
      </c>
      <c r="B836" s="2" t="str">
        <f t="shared" si="78"/>
        <v>Amb.Snr2 f L</v>
      </c>
      <c r="C836" s="3">
        <v>835</v>
      </c>
      <c r="D836" s="17" t="s">
        <v>834</v>
      </c>
      <c r="E836" s="2" t="str">
        <f t="shared" si="79"/>
        <v>MG Zap 5</v>
      </c>
      <c r="F836" s="12">
        <v>835</v>
      </c>
      <c r="G836" s="17">
        <f t="shared" si="80"/>
        <v>1027</v>
      </c>
      <c r="H836" s="2">
        <f t="shared" si="81"/>
        <v>192</v>
      </c>
      <c r="I836" s="3" t="s">
        <v>3714</v>
      </c>
      <c r="J836" s="17">
        <f t="shared" si="82"/>
        <v>718</v>
      </c>
      <c r="K836" s="2">
        <f t="shared" si="83"/>
        <v>-117</v>
      </c>
      <c r="L836" s="12" t="s">
        <v>3714</v>
      </c>
    </row>
    <row r="837" spans="1:12" x14ac:dyDescent="0.25">
      <c r="A837" s="11" t="s">
        <v>2236</v>
      </c>
      <c r="B837" s="2" t="str">
        <f t="shared" si="78"/>
        <v>Amb.Snr2 f R</v>
      </c>
      <c r="C837" s="3">
        <v>836</v>
      </c>
      <c r="D837" s="17" t="s">
        <v>835</v>
      </c>
      <c r="E837" s="2" t="str">
        <f t="shared" si="79"/>
        <v>MG Zap 6</v>
      </c>
      <c r="F837" s="12">
        <v>836</v>
      </c>
      <c r="G837" s="17">
        <f t="shared" si="80"/>
        <v>1028</v>
      </c>
      <c r="H837" s="2">
        <f t="shared" si="81"/>
        <v>192</v>
      </c>
      <c r="I837" s="3" t="s">
        <v>3714</v>
      </c>
      <c r="J837" s="17">
        <f t="shared" si="82"/>
        <v>719</v>
      </c>
      <c r="K837" s="2">
        <f t="shared" si="83"/>
        <v>-117</v>
      </c>
      <c r="L837" s="12" t="s">
        <v>3714</v>
      </c>
    </row>
    <row r="838" spans="1:12" x14ac:dyDescent="0.25">
      <c r="A838" s="11" t="s">
        <v>2237</v>
      </c>
      <c r="B838" s="2" t="str">
        <f t="shared" si="78"/>
        <v>Piccolo Snr</v>
      </c>
      <c r="C838" s="3">
        <v>837</v>
      </c>
      <c r="D838" s="17" t="s">
        <v>836</v>
      </c>
      <c r="E838" s="2" t="str">
        <f t="shared" si="79"/>
        <v>MG Zap 7</v>
      </c>
      <c r="F838" s="12">
        <v>837</v>
      </c>
      <c r="G838" s="17">
        <f t="shared" si="80"/>
        <v>1029</v>
      </c>
      <c r="H838" s="2">
        <f t="shared" si="81"/>
        <v>192</v>
      </c>
      <c r="I838" s="3" t="s">
        <v>3714</v>
      </c>
      <c r="J838" s="17">
        <f t="shared" si="82"/>
        <v>720</v>
      </c>
      <c r="K838" s="2">
        <f t="shared" si="83"/>
        <v>-117</v>
      </c>
      <c r="L838" s="12" t="s">
        <v>3714</v>
      </c>
    </row>
    <row r="839" spans="1:12" x14ac:dyDescent="0.25">
      <c r="A839" s="11" t="s">
        <v>2238</v>
      </c>
      <c r="B839" s="2" t="str">
        <f t="shared" si="78"/>
        <v>Maple Snr</v>
      </c>
      <c r="C839" s="3">
        <v>838</v>
      </c>
      <c r="D839" s="17" t="s">
        <v>837</v>
      </c>
      <c r="E839" s="2" t="str">
        <f t="shared" si="79"/>
        <v>MG Zap 8</v>
      </c>
      <c r="F839" s="12">
        <v>838</v>
      </c>
      <c r="G839" s="17">
        <f t="shared" si="80"/>
        <v>1030</v>
      </c>
      <c r="H839" s="2">
        <f t="shared" si="81"/>
        <v>192</v>
      </c>
      <c r="I839" s="3" t="s">
        <v>3714</v>
      </c>
      <c r="J839" s="17">
        <f t="shared" si="82"/>
        <v>721</v>
      </c>
      <c r="K839" s="2">
        <f t="shared" si="83"/>
        <v>-117</v>
      </c>
      <c r="L839" s="12" t="s">
        <v>3714</v>
      </c>
    </row>
    <row r="840" spans="1:12" x14ac:dyDescent="0.25">
      <c r="A840" s="11" t="s">
        <v>2239</v>
      </c>
      <c r="B840" s="2" t="str">
        <f t="shared" si="78"/>
        <v>Natural Snr1</v>
      </c>
      <c r="C840" s="3">
        <v>839</v>
      </c>
      <c r="D840" s="17" t="s">
        <v>838</v>
      </c>
      <c r="E840" s="2" t="str">
        <f t="shared" si="79"/>
        <v>MG Zap 9</v>
      </c>
      <c r="F840" s="12">
        <v>839</v>
      </c>
      <c r="G840" s="17">
        <f t="shared" si="80"/>
        <v>0</v>
      </c>
      <c r="H840" s="2">
        <f t="shared" si="81"/>
        <v>0</v>
      </c>
      <c r="I840" s="3" t="s">
        <v>3714</v>
      </c>
      <c r="J840" s="17">
        <f t="shared" si="82"/>
        <v>722</v>
      </c>
      <c r="K840" s="2">
        <f t="shared" si="83"/>
        <v>-117</v>
      </c>
      <c r="L840" s="12" t="s">
        <v>3714</v>
      </c>
    </row>
    <row r="841" spans="1:12" x14ac:dyDescent="0.25">
      <c r="A841" s="11" t="s">
        <v>2240</v>
      </c>
      <c r="B841" s="2" t="str">
        <f t="shared" si="78"/>
        <v>Natural Snr2</v>
      </c>
      <c r="C841" s="3">
        <v>840</v>
      </c>
      <c r="D841" s="17" t="s">
        <v>839</v>
      </c>
      <c r="E841" s="2" t="str">
        <f t="shared" si="79"/>
        <v>MG Zap 10</v>
      </c>
      <c r="F841" s="12">
        <v>840</v>
      </c>
      <c r="G841" s="17">
        <f t="shared" si="80"/>
        <v>0</v>
      </c>
      <c r="H841" s="2">
        <f t="shared" si="81"/>
        <v>0</v>
      </c>
      <c r="I841" s="3" t="s">
        <v>3714</v>
      </c>
      <c r="J841" s="17">
        <f t="shared" si="82"/>
        <v>723</v>
      </c>
      <c r="K841" s="2">
        <f t="shared" si="83"/>
        <v>-117</v>
      </c>
      <c r="L841" s="12" t="s">
        <v>3714</v>
      </c>
    </row>
    <row r="842" spans="1:12" x14ac:dyDescent="0.25">
      <c r="A842" s="11" t="s">
        <v>2241</v>
      </c>
      <c r="B842" s="2" t="str">
        <f t="shared" si="78"/>
        <v>Dry Snr p</v>
      </c>
      <c r="C842" s="3">
        <v>841</v>
      </c>
      <c r="D842" s="17" t="s">
        <v>840</v>
      </c>
      <c r="E842" s="2" t="str">
        <f t="shared" si="79"/>
        <v>MG Zap 11</v>
      </c>
      <c r="F842" s="12">
        <v>841</v>
      </c>
      <c r="G842" s="17">
        <f t="shared" si="80"/>
        <v>0</v>
      </c>
      <c r="H842" s="2">
        <f t="shared" si="81"/>
        <v>0</v>
      </c>
      <c r="I842" s="3" t="s">
        <v>3714</v>
      </c>
      <c r="J842" s="17">
        <f t="shared" si="82"/>
        <v>724</v>
      </c>
      <c r="K842" s="2">
        <f t="shared" si="83"/>
        <v>-117</v>
      </c>
      <c r="L842" s="12" t="s">
        <v>3714</v>
      </c>
    </row>
    <row r="843" spans="1:12" x14ac:dyDescent="0.25">
      <c r="A843" s="11" t="s">
        <v>2242</v>
      </c>
      <c r="B843" s="2" t="str">
        <f t="shared" si="78"/>
        <v>Dry Snr f</v>
      </c>
      <c r="C843" s="3">
        <v>842</v>
      </c>
      <c r="D843" s="17" t="s">
        <v>841</v>
      </c>
      <c r="E843" s="2" t="str">
        <f t="shared" si="79"/>
        <v>MG Blip</v>
      </c>
      <c r="F843" s="12">
        <v>842</v>
      </c>
      <c r="G843" s="17">
        <f t="shared" si="80"/>
        <v>0</v>
      </c>
      <c r="H843" s="2">
        <f t="shared" si="81"/>
        <v>0</v>
      </c>
      <c r="I843" s="3" t="s">
        <v>3714</v>
      </c>
      <c r="J843" s="17">
        <f t="shared" si="82"/>
        <v>725</v>
      </c>
      <c r="K843" s="2">
        <f t="shared" si="83"/>
        <v>-117</v>
      </c>
      <c r="L843" s="12" t="s">
        <v>3714</v>
      </c>
    </row>
    <row r="844" spans="1:12" x14ac:dyDescent="0.25">
      <c r="A844" s="11" t="s">
        <v>2243</v>
      </c>
      <c r="B844" s="2" t="str">
        <f t="shared" si="78"/>
        <v>Ballad Snr</v>
      </c>
      <c r="C844" s="3">
        <v>843</v>
      </c>
      <c r="D844" s="17" t="s">
        <v>842</v>
      </c>
      <c r="E844" s="2" t="str">
        <f t="shared" si="79"/>
        <v>Beam HiQ</v>
      </c>
      <c r="F844" s="12">
        <v>843</v>
      </c>
      <c r="G844" s="17">
        <f t="shared" si="80"/>
        <v>0</v>
      </c>
      <c r="H844" s="2">
        <f t="shared" si="81"/>
        <v>0</v>
      </c>
      <c r="I844" s="3" t="s">
        <v>3714</v>
      </c>
      <c r="J844" s="17">
        <f t="shared" si="82"/>
        <v>726</v>
      </c>
      <c r="K844" s="2">
        <f t="shared" si="83"/>
        <v>-117</v>
      </c>
      <c r="L844" s="12" t="s">
        <v>3714</v>
      </c>
    </row>
    <row r="845" spans="1:12" x14ac:dyDescent="0.25">
      <c r="A845" s="11" t="s">
        <v>2244</v>
      </c>
      <c r="B845" s="2" t="str">
        <f t="shared" si="78"/>
        <v>Light Snr p</v>
      </c>
      <c r="C845" s="3">
        <v>844</v>
      </c>
      <c r="D845" s="17" t="s">
        <v>843</v>
      </c>
      <c r="E845" s="2" t="str">
        <f t="shared" si="79"/>
        <v>MG Attack</v>
      </c>
      <c r="F845" s="12">
        <v>844</v>
      </c>
      <c r="G845" s="17">
        <f t="shared" si="80"/>
        <v>0</v>
      </c>
      <c r="H845" s="2">
        <f t="shared" si="81"/>
        <v>0</v>
      </c>
      <c r="I845" s="3" t="s">
        <v>3714</v>
      </c>
      <c r="J845" s="17">
        <f t="shared" si="82"/>
        <v>727</v>
      </c>
      <c r="K845" s="2">
        <f t="shared" si="83"/>
        <v>-117</v>
      </c>
      <c r="L845" s="12" t="s">
        <v>3714</v>
      </c>
    </row>
    <row r="846" spans="1:12" x14ac:dyDescent="0.25">
      <c r="A846" s="11" t="s">
        <v>2245</v>
      </c>
      <c r="B846" s="2" t="str">
        <f t="shared" si="78"/>
        <v>Light Snr f</v>
      </c>
      <c r="C846" s="3">
        <v>845</v>
      </c>
      <c r="D846" s="17" t="s">
        <v>844</v>
      </c>
      <c r="E846" s="2" t="str">
        <f t="shared" si="79"/>
        <v>Syn Low Atk1</v>
      </c>
      <c r="F846" s="12">
        <v>845</v>
      </c>
      <c r="G846" s="17">
        <f t="shared" si="80"/>
        <v>0</v>
      </c>
      <c r="H846" s="2">
        <f t="shared" si="81"/>
        <v>0</v>
      </c>
      <c r="I846" s="3" t="s">
        <v>3714</v>
      </c>
      <c r="J846" s="17">
        <f t="shared" si="82"/>
        <v>728</v>
      </c>
      <c r="K846" s="2">
        <f t="shared" si="83"/>
        <v>-117</v>
      </c>
      <c r="L846" s="12" t="s">
        <v>3714</v>
      </c>
    </row>
    <row r="847" spans="1:12" x14ac:dyDescent="0.25">
      <c r="A847" s="11" t="s">
        <v>2246</v>
      </c>
      <c r="B847" s="2" t="str">
        <f t="shared" si="78"/>
        <v>Light Snr ff</v>
      </c>
      <c r="C847" s="3">
        <v>846</v>
      </c>
      <c r="D847" s="17" t="s">
        <v>845</v>
      </c>
      <c r="E847" s="2" t="str">
        <f t="shared" si="79"/>
        <v>Syn Low Atk2</v>
      </c>
      <c r="F847" s="12">
        <v>846</v>
      </c>
      <c r="G847" s="17">
        <f t="shared" si="80"/>
        <v>1031</v>
      </c>
      <c r="H847" s="2">
        <f t="shared" si="81"/>
        <v>185</v>
      </c>
      <c r="I847" s="3" t="s">
        <v>3714</v>
      </c>
      <c r="J847" s="17">
        <f t="shared" si="82"/>
        <v>729</v>
      </c>
      <c r="K847" s="2">
        <f t="shared" si="83"/>
        <v>-117</v>
      </c>
      <c r="L847" s="12" t="s">
        <v>3714</v>
      </c>
    </row>
    <row r="848" spans="1:12" x14ac:dyDescent="0.25">
      <c r="A848" s="11" t="s">
        <v>2247</v>
      </c>
      <c r="B848" s="2" t="str">
        <f t="shared" si="78"/>
        <v>Light SnrRim</v>
      </c>
      <c r="C848" s="3">
        <v>847</v>
      </c>
      <c r="D848" s="17" t="s">
        <v>846</v>
      </c>
      <c r="E848" s="2" t="str">
        <f t="shared" si="79"/>
        <v>Syn Hrd Atk1</v>
      </c>
      <c r="F848" s="12">
        <v>847</v>
      </c>
      <c r="G848" s="17">
        <f t="shared" si="80"/>
        <v>0</v>
      </c>
      <c r="H848" s="2">
        <f t="shared" si="81"/>
        <v>0</v>
      </c>
      <c r="I848" s="3" t="s">
        <v>3714</v>
      </c>
      <c r="J848" s="17">
        <f t="shared" si="82"/>
        <v>730</v>
      </c>
      <c r="K848" s="2">
        <f t="shared" si="83"/>
        <v>-117</v>
      </c>
      <c r="L848" s="12" t="s">
        <v>3714</v>
      </c>
    </row>
    <row r="849" spans="1:12" x14ac:dyDescent="0.25">
      <c r="A849" s="11" t="s">
        <v>2248</v>
      </c>
      <c r="B849" s="2" t="str">
        <f t="shared" si="78"/>
        <v>Click Snr p</v>
      </c>
      <c r="C849" s="3">
        <v>848</v>
      </c>
      <c r="D849" s="17" t="s">
        <v>847</v>
      </c>
      <c r="E849" s="2" t="str">
        <f t="shared" si="79"/>
        <v>Syn Hrd Atk2</v>
      </c>
      <c r="F849" s="12">
        <v>848</v>
      </c>
      <c r="G849" s="17">
        <f t="shared" si="80"/>
        <v>1032</v>
      </c>
      <c r="H849" s="2">
        <f t="shared" si="81"/>
        <v>184</v>
      </c>
      <c r="I849" s="3" t="s">
        <v>3714</v>
      </c>
      <c r="J849" s="17">
        <f t="shared" si="82"/>
        <v>731</v>
      </c>
      <c r="K849" s="2">
        <f t="shared" si="83"/>
        <v>-117</v>
      </c>
      <c r="L849" s="12" t="s">
        <v>3714</v>
      </c>
    </row>
    <row r="850" spans="1:12" x14ac:dyDescent="0.25">
      <c r="A850" s="11" t="s">
        <v>2249</v>
      </c>
      <c r="B850" s="2" t="str">
        <f t="shared" si="78"/>
        <v>Click Snr f</v>
      </c>
      <c r="C850" s="3">
        <v>849</v>
      </c>
      <c r="D850" s="17" t="s">
        <v>848</v>
      </c>
      <c r="E850" s="2" t="str">
        <f t="shared" si="79"/>
        <v>Syn Hrd Atk3</v>
      </c>
      <c r="F850" s="12">
        <v>849</v>
      </c>
      <c r="G850" s="17">
        <f t="shared" si="80"/>
        <v>0</v>
      </c>
      <c r="H850" s="2">
        <f t="shared" si="81"/>
        <v>0</v>
      </c>
      <c r="I850" s="3" t="s">
        <v>3714</v>
      </c>
      <c r="J850" s="17">
        <f t="shared" si="82"/>
        <v>732</v>
      </c>
      <c r="K850" s="2">
        <f t="shared" si="83"/>
        <v>-117</v>
      </c>
      <c r="L850" s="12" t="s">
        <v>3714</v>
      </c>
    </row>
    <row r="851" spans="1:12" x14ac:dyDescent="0.25">
      <c r="A851" s="11" t="s">
        <v>2250</v>
      </c>
      <c r="B851" s="2" t="str">
        <f t="shared" si="78"/>
        <v>Click Snr ff</v>
      </c>
      <c r="C851" s="3">
        <v>850</v>
      </c>
      <c r="D851" s="17" t="s">
        <v>849</v>
      </c>
      <c r="E851" s="2" t="str">
        <f t="shared" si="79"/>
        <v>Syn Hrd Atk4</v>
      </c>
      <c r="F851" s="12">
        <v>850</v>
      </c>
      <c r="G851" s="17">
        <f t="shared" si="80"/>
        <v>1033</v>
      </c>
      <c r="H851" s="2">
        <f t="shared" si="81"/>
        <v>183</v>
      </c>
      <c r="I851" s="3" t="s">
        <v>3714</v>
      </c>
      <c r="J851" s="17">
        <f t="shared" si="82"/>
        <v>733</v>
      </c>
      <c r="K851" s="2">
        <f t="shared" si="83"/>
        <v>-117</v>
      </c>
      <c r="L851" s="12" t="s">
        <v>3714</v>
      </c>
    </row>
    <row r="852" spans="1:12" x14ac:dyDescent="0.25">
      <c r="A852" s="11" t="s">
        <v>2251</v>
      </c>
      <c r="B852" s="2" t="str">
        <f t="shared" si="78"/>
        <v>Rock Snr p</v>
      </c>
      <c r="C852" s="3">
        <v>851</v>
      </c>
      <c r="D852" s="17" t="s">
        <v>850</v>
      </c>
      <c r="E852" s="2" t="str">
        <f t="shared" si="79"/>
        <v>Syn Mtl Atk1</v>
      </c>
      <c r="F852" s="12">
        <v>851</v>
      </c>
      <c r="G852" s="17">
        <f t="shared" si="80"/>
        <v>0</v>
      </c>
      <c r="H852" s="2">
        <f t="shared" si="81"/>
        <v>0</v>
      </c>
      <c r="I852" s="3" t="s">
        <v>3714</v>
      </c>
      <c r="J852" s="17">
        <f t="shared" si="82"/>
        <v>734</v>
      </c>
      <c r="K852" s="2">
        <f t="shared" si="83"/>
        <v>-117</v>
      </c>
      <c r="L852" s="12" t="s">
        <v>3714</v>
      </c>
    </row>
    <row r="853" spans="1:12" x14ac:dyDescent="0.25">
      <c r="A853" s="11" t="s">
        <v>2252</v>
      </c>
      <c r="B853" s="2" t="str">
        <f t="shared" si="78"/>
        <v>Rock Snr mf</v>
      </c>
      <c r="C853" s="3">
        <v>852</v>
      </c>
      <c r="D853" s="17" t="s">
        <v>851</v>
      </c>
      <c r="E853" s="2" t="str">
        <f t="shared" si="79"/>
        <v>Syn Mtl Atk2</v>
      </c>
      <c r="F853" s="12">
        <v>852</v>
      </c>
      <c r="G853" s="17">
        <f t="shared" si="80"/>
        <v>0</v>
      </c>
      <c r="H853" s="2">
        <f t="shared" si="81"/>
        <v>0</v>
      </c>
      <c r="I853" s="3" t="s">
        <v>3714</v>
      </c>
      <c r="J853" s="17">
        <f t="shared" si="82"/>
        <v>735</v>
      </c>
      <c r="K853" s="2">
        <f t="shared" si="83"/>
        <v>-117</v>
      </c>
      <c r="L853" s="12" t="s">
        <v>3714</v>
      </c>
    </row>
    <row r="854" spans="1:12" x14ac:dyDescent="0.25">
      <c r="A854" s="11" t="s">
        <v>2253</v>
      </c>
      <c r="B854" s="2" t="str">
        <f t="shared" si="78"/>
        <v>Rock Snr f</v>
      </c>
      <c r="C854" s="3">
        <v>853</v>
      </c>
      <c r="D854" s="17" t="s">
        <v>852</v>
      </c>
      <c r="E854" s="2" t="str">
        <f t="shared" si="79"/>
        <v>Syn Swt Atk1</v>
      </c>
      <c r="F854" s="12">
        <v>853</v>
      </c>
      <c r="G854" s="17">
        <f t="shared" si="80"/>
        <v>0</v>
      </c>
      <c r="H854" s="2">
        <f t="shared" si="81"/>
        <v>0</v>
      </c>
      <c r="I854" s="3" t="s">
        <v>3714</v>
      </c>
      <c r="J854" s="17">
        <f t="shared" si="82"/>
        <v>736</v>
      </c>
      <c r="K854" s="2">
        <f t="shared" si="83"/>
        <v>-117</v>
      </c>
      <c r="L854" s="12" t="s">
        <v>3714</v>
      </c>
    </row>
    <row r="855" spans="1:12" x14ac:dyDescent="0.25">
      <c r="A855" s="11" t="s">
        <v>2254</v>
      </c>
      <c r="B855" s="2" t="str">
        <f t="shared" si="78"/>
        <v>Rock Rim p</v>
      </c>
      <c r="C855" s="3">
        <v>854</v>
      </c>
      <c r="D855" s="17" t="s">
        <v>853</v>
      </c>
      <c r="E855" s="2" t="str">
        <f t="shared" si="79"/>
        <v>Syn Swt Atk2</v>
      </c>
      <c r="F855" s="12">
        <v>854</v>
      </c>
      <c r="G855" s="17">
        <f t="shared" si="80"/>
        <v>0</v>
      </c>
      <c r="H855" s="2">
        <f t="shared" si="81"/>
        <v>0</v>
      </c>
      <c r="I855" s="3" t="s">
        <v>3714</v>
      </c>
      <c r="J855" s="17">
        <f t="shared" si="82"/>
        <v>737</v>
      </c>
      <c r="K855" s="2">
        <f t="shared" si="83"/>
        <v>-117</v>
      </c>
      <c r="L855" s="12" t="s">
        <v>3714</v>
      </c>
    </row>
    <row r="856" spans="1:12" x14ac:dyDescent="0.25">
      <c r="A856" s="11" t="s">
        <v>2255</v>
      </c>
      <c r="B856" s="2" t="str">
        <f t="shared" si="78"/>
        <v>Rock Rim mf</v>
      </c>
      <c r="C856" s="3">
        <v>855</v>
      </c>
      <c r="D856" s="17" t="s">
        <v>854</v>
      </c>
      <c r="E856" s="2" t="str">
        <f t="shared" si="79"/>
        <v>Syn Swt Atk3</v>
      </c>
      <c r="F856" s="12">
        <v>855</v>
      </c>
      <c r="G856" s="17">
        <f t="shared" si="80"/>
        <v>0</v>
      </c>
      <c r="H856" s="2">
        <f t="shared" si="81"/>
        <v>0</v>
      </c>
      <c r="I856" s="3" t="s">
        <v>3714</v>
      </c>
      <c r="J856" s="17">
        <f t="shared" si="82"/>
        <v>738</v>
      </c>
      <c r="K856" s="2">
        <f t="shared" si="83"/>
        <v>-117</v>
      </c>
      <c r="L856" s="12" t="s">
        <v>3714</v>
      </c>
    </row>
    <row r="857" spans="1:12" x14ac:dyDescent="0.25">
      <c r="A857" s="11" t="s">
        <v>2256</v>
      </c>
      <c r="B857" s="2" t="str">
        <f t="shared" si="78"/>
        <v>Rock Rim f</v>
      </c>
      <c r="C857" s="3">
        <v>856</v>
      </c>
      <c r="D857" s="17" t="s">
        <v>855</v>
      </c>
      <c r="E857" s="2" t="str">
        <f t="shared" si="79"/>
        <v>Syn Swt Atk4</v>
      </c>
      <c r="F857" s="12">
        <v>856</v>
      </c>
      <c r="G857" s="17">
        <f t="shared" si="80"/>
        <v>0</v>
      </c>
      <c r="H857" s="2">
        <f t="shared" si="81"/>
        <v>0</v>
      </c>
      <c r="I857" s="3" t="s">
        <v>3714</v>
      </c>
      <c r="J857" s="17">
        <f t="shared" si="82"/>
        <v>739</v>
      </c>
      <c r="K857" s="2">
        <f t="shared" si="83"/>
        <v>-117</v>
      </c>
      <c r="L857" s="12" t="s">
        <v>3714</v>
      </c>
    </row>
    <row r="858" spans="1:12" x14ac:dyDescent="0.25">
      <c r="A858" s="11" t="s">
        <v>2257</v>
      </c>
      <c r="B858" s="2" t="str">
        <f t="shared" si="78"/>
        <v>Reg.SnrGst L</v>
      </c>
      <c r="C858" s="3">
        <v>857</v>
      </c>
      <c r="D858" s="17" t="s">
        <v>856</v>
      </c>
      <c r="E858" s="2" t="str">
        <f t="shared" si="79"/>
        <v>Syn Swt Atk5</v>
      </c>
      <c r="F858" s="12">
        <v>857</v>
      </c>
      <c r="G858" s="17">
        <f t="shared" si="80"/>
        <v>1038</v>
      </c>
      <c r="H858" s="2">
        <f t="shared" si="81"/>
        <v>181</v>
      </c>
      <c r="I858" s="3" t="s">
        <v>3714</v>
      </c>
      <c r="J858" s="17">
        <f t="shared" si="82"/>
        <v>740</v>
      </c>
      <c r="K858" s="2">
        <f t="shared" si="83"/>
        <v>-117</v>
      </c>
      <c r="L858" s="12" t="s">
        <v>3714</v>
      </c>
    </row>
    <row r="859" spans="1:12" x14ac:dyDescent="0.25">
      <c r="A859" s="11" t="s">
        <v>2258</v>
      </c>
      <c r="B859" s="2" t="str">
        <f t="shared" si="78"/>
        <v>Reg.SnrGst R</v>
      </c>
      <c r="C859" s="3">
        <v>858</v>
      </c>
      <c r="D859" s="17" t="s">
        <v>857</v>
      </c>
      <c r="E859" s="2" t="str">
        <f t="shared" si="79"/>
        <v>Syn Swt Atk6</v>
      </c>
      <c r="F859" s="12">
        <v>858</v>
      </c>
      <c r="G859" s="17">
        <f t="shared" si="80"/>
        <v>1039</v>
      </c>
      <c r="H859" s="2">
        <f t="shared" si="81"/>
        <v>181</v>
      </c>
      <c r="I859" s="3" t="s">
        <v>3714</v>
      </c>
      <c r="J859" s="17">
        <f t="shared" si="82"/>
        <v>741</v>
      </c>
      <c r="K859" s="2">
        <f t="shared" si="83"/>
        <v>-117</v>
      </c>
      <c r="L859" s="12" t="s">
        <v>3714</v>
      </c>
    </row>
    <row r="860" spans="1:12" x14ac:dyDescent="0.25">
      <c r="A860" s="11" t="s">
        <v>2259</v>
      </c>
      <c r="B860" s="2" t="str">
        <f t="shared" si="78"/>
        <v>Rock Snr Gst</v>
      </c>
      <c r="C860" s="3">
        <v>859</v>
      </c>
      <c r="D860" s="17" t="s">
        <v>858</v>
      </c>
      <c r="E860" s="2" t="str">
        <f t="shared" si="79"/>
        <v>Syn Swt Atk7</v>
      </c>
      <c r="F860" s="12">
        <v>859</v>
      </c>
      <c r="G860" s="17">
        <f t="shared" si="80"/>
        <v>0</v>
      </c>
      <c r="H860" s="2">
        <f t="shared" si="81"/>
        <v>0</v>
      </c>
      <c r="I860" s="3" t="s">
        <v>3714</v>
      </c>
      <c r="J860" s="17">
        <f t="shared" si="82"/>
        <v>742</v>
      </c>
      <c r="K860" s="2">
        <f t="shared" si="83"/>
        <v>-117</v>
      </c>
      <c r="L860" s="12" t="s">
        <v>3714</v>
      </c>
    </row>
    <row r="861" spans="1:12" x14ac:dyDescent="0.25">
      <c r="A861" s="11" t="s">
        <v>2260</v>
      </c>
      <c r="B861" s="2" t="str">
        <f t="shared" si="78"/>
        <v>Sft Snr Gst</v>
      </c>
      <c r="C861" s="3">
        <v>860</v>
      </c>
      <c r="D861" s="17" t="s">
        <v>859</v>
      </c>
      <c r="E861" s="2" t="str">
        <f t="shared" si="79"/>
        <v>WD Kick mf L</v>
      </c>
      <c r="F861" s="12">
        <v>860</v>
      </c>
      <c r="G861" s="17">
        <f t="shared" si="80"/>
        <v>1040</v>
      </c>
      <c r="H861" s="2">
        <f t="shared" si="81"/>
        <v>180</v>
      </c>
      <c r="I861" s="3" t="s">
        <v>3714</v>
      </c>
      <c r="J861" s="17">
        <f t="shared" si="82"/>
        <v>0</v>
      </c>
      <c r="K861" s="2">
        <f t="shared" si="83"/>
        <v>0</v>
      </c>
      <c r="L861" s="12" t="s">
        <v>3714</v>
      </c>
    </row>
    <row r="862" spans="1:12" x14ac:dyDescent="0.25">
      <c r="A862" s="11" t="s">
        <v>2261</v>
      </c>
      <c r="B862" s="2" t="str">
        <f t="shared" si="78"/>
        <v>Jazz Snr p</v>
      </c>
      <c r="C862" s="3">
        <v>861</v>
      </c>
      <c r="D862" s="17" t="s">
        <v>860</v>
      </c>
      <c r="E862" s="2" t="str">
        <f t="shared" si="79"/>
        <v>WD Kick mf R</v>
      </c>
      <c r="F862" s="12">
        <v>861</v>
      </c>
      <c r="G862" s="17">
        <f t="shared" si="80"/>
        <v>1041</v>
      </c>
      <c r="H862" s="2">
        <f t="shared" si="81"/>
        <v>180</v>
      </c>
      <c r="I862" s="3" t="s">
        <v>3714</v>
      </c>
      <c r="J862" s="17">
        <f t="shared" si="82"/>
        <v>0</v>
      </c>
      <c r="K862" s="2">
        <f t="shared" si="83"/>
        <v>0</v>
      </c>
      <c r="L862" s="12" t="s">
        <v>3714</v>
      </c>
    </row>
    <row r="863" spans="1:12" x14ac:dyDescent="0.25">
      <c r="A863" s="11" t="s">
        <v>2262</v>
      </c>
      <c r="B863" s="2" t="str">
        <f t="shared" si="78"/>
        <v>Jazz Snr mf</v>
      </c>
      <c r="C863" s="3">
        <v>862</v>
      </c>
      <c r="D863" s="17" t="s">
        <v>861</v>
      </c>
      <c r="E863" s="2" t="str">
        <f t="shared" si="79"/>
        <v>WD Kick f L</v>
      </c>
      <c r="F863" s="12">
        <v>862</v>
      </c>
      <c r="G863" s="17">
        <f t="shared" si="80"/>
        <v>1042</v>
      </c>
      <c r="H863" s="2">
        <f t="shared" si="81"/>
        <v>180</v>
      </c>
      <c r="I863" s="3" t="s">
        <v>3714</v>
      </c>
      <c r="J863" s="17">
        <f t="shared" si="82"/>
        <v>0</v>
      </c>
      <c r="K863" s="2">
        <f t="shared" si="83"/>
        <v>0</v>
      </c>
      <c r="L863" s="12" t="s">
        <v>3714</v>
      </c>
    </row>
    <row r="864" spans="1:12" x14ac:dyDescent="0.25">
      <c r="A864" s="11" t="s">
        <v>2263</v>
      </c>
      <c r="B864" s="2" t="str">
        <f t="shared" si="78"/>
        <v>Jazz Snr f</v>
      </c>
      <c r="C864" s="3">
        <v>863</v>
      </c>
      <c r="D864" s="17" t="s">
        <v>862</v>
      </c>
      <c r="E864" s="2" t="str">
        <f t="shared" si="79"/>
        <v>WD Kick f R</v>
      </c>
      <c r="F864" s="12">
        <v>863</v>
      </c>
      <c r="G864" s="17">
        <f t="shared" si="80"/>
        <v>1043</v>
      </c>
      <c r="H864" s="2">
        <f t="shared" si="81"/>
        <v>180</v>
      </c>
      <c r="I864" s="3" t="s">
        <v>3714</v>
      </c>
      <c r="J864" s="17">
        <f t="shared" si="82"/>
        <v>0</v>
      </c>
      <c r="K864" s="2">
        <f t="shared" si="83"/>
        <v>0</v>
      </c>
      <c r="L864" s="12" t="s">
        <v>3714</v>
      </c>
    </row>
    <row r="865" spans="1:12" x14ac:dyDescent="0.25">
      <c r="A865" s="11" t="s">
        <v>2264</v>
      </c>
      <c r="B865" s="2" t="str">
        <f t="shared" si="78"/>
        <v>Jazz Snr ff</v>
      </c>
      <c r="C865" s="3">
        <v>864</v>
      </c>
      <c r="D865" s="17" t="s">
        <v>863</v>
      </c>
      <c r="E865" s="2" t="str">
        <f t="shared" si="79"/>
        <v>WD Kick ff L</v>
      </c>
      <c r="F865" s="12">
        <v>864</v>
      </c>
      <c r="G865" s="17">
        <f t="shared" si="80"/>
        <v>0</v>
      </c>
      <c r="H865" s="2">
        <f t="shared" si="81"/>
        <v>0</v>
      </c>
      <c r="I865" s="3" t="s">
        <v>3714</v>
      </c>
      <c r="J865" s="17">
        <f t="shared" si="82"/>
        <v>0</v>
      </c>
      <c r="K865" s="2">
        <f t="shared" si="83"/>
        <v>0</v>
      </c>
      <c r="L865" s="12" t="s">
        <v>3714</v>
      </c>
    </row>
    <row r="866" spans="1:12" x14ac:dyDescent="0.25">
      <c r="A866" s="11" t="s">
        <v>2265</v>
      </c>
      <c r="B866" s="2" t="str">
        <f t="shared" si="78"/>
        <v>Jazz Rim p</v>
      </c>
      <c r="C866" s="3">
        <v>865</v>
      </c>
      <c r="D866" s="17" t="s">
        <v>864</v>
      </c>
      <c r="E866" s="2" t="str">
        <f t="shared" si="79"/>
        <v>WD Kick ff R</v>
      </c>
      <c r="F866" s="12">
        <v>865</v>
      </c>
      <c r="G866" s="17">
        <f t="shared" si="80"/>
        <v>1044</v>
      </c>
      <c r="H866" s="2">
        <f t="shared" si="81"/>
        <v>179</v>
      </c>
      <c r="I866" s="3" t="s">
        <v>3714</v>
      </c>
      <c r="J866" s="17">
        <f t="shared" si="82"/>
        <v>0</v>
      </c>
      <c r="K866" s="2">
        <f t="shared" si="83"/>
        <v>0</v>
      </c>
      <c r="L866" s="12" t="s">
        <v>3714</v>
      </c>
    </row>
    <row r="867" spans="1:12" x14ac:dyDescent="0.25">
      <c r="A867" s="11" t="s">
        <v>2266</v>
      </c>
      <c r="B867" s="2" t="str">
        <f t="shared" si="78"/>
        <v>Jazz Rim mf</v>
      </c>
      <c r="C867" s="3">
        <v>866</v>
      </c>
      <c r="D867" s="17" t="s">
        <v>865</v>
      </c>
      <c r="E867" s="2" t="str">
        <f t="shared" si="79"/>
        <v>LD Kick mf L</v>
      </c>
      <c r="F867" s="12">
        <v>866</v>
      </c>
      <c r="G867" s="17">
        <f t="shared" si="80"/>
        <v>0</v>
      </c>
      <c r="H867" s="2">
        <f t="shared" si="81"/>
        <v>0</v>
      </c>
      <c r="I867" s="3" t="s">
        <v>3714</v>
      </c>
      <c r="J867" s="17">
        <f t="shared" si="82"/>
        <v>0</v>
      </c>
      <c r="K867" s="2">
        <f t="shared" si="83"/>
        <v>0</v>
      </c>
      <c r="L867" s="12" t="s">
        <v>3714</v>
      </c>
    </row>
    <row r="868" spans="1:12" x14ac:dyDescent="0.25">
      <c r="A868" s="11" t="s">
        <v>2267</v>
      </c>
      <c r="B868" s="2" t="str">
        <f t="shared" si="78"/>
        <v>Jazz Rim f</v>
      </c>
      <c r="C868" s="3">
        <v>867</v>
      </c>
      <c r="D868" s="17" t="s">
        <v>866</v>
      </c>
      <c r="E868" s="2" t="str">
        <f t="shared" si="79"/>
        <v>LD Kick mf R</v>
      </c>
      <c r="F868" s="12">
        <v>867</v>
      </c>
      <c r="G868" s="17">
        <f t="shared" si="80"/>
        <v>0</v>
      </c>
      <c r="H868" s="2">
        <f t="shared" si="81"/>
        <v>0</v>
      </c>
      <c r="I868" s="3" t="s">
        <v>3714</v>
      </c>
      <c r="J868" s="17">
        <f t="shared" si="82"/>
        <v>0</v>
      </c>
      <c r="K868" s="2">
        <f t="shared" si="83"/>
        <v>0</v>
      </c>
      <c r="L868" s="12" t="s">
        <v>3714</v>
      </c>
    </row>
    <row r="869" spans="1:12" x14ac:dyDescent="0.25">
      <c r="A869" s="11" t="s">
        <v>2268</v>
      </c>
      <c r="B869" s="2" t="str">
        <f t="shared" si="78"/>
        <v>Jazz Rim ff</v>
      </c>
      <c r="C869" s="3">
        <v>868</v>
      </c>
      <c r="D869" s="17" t="s">
        <v>867</v>
      </c>
      <c r="E869" s="2" t="str">
        <f t="shared" si="79"/>
        <v>LD Kick f L</v>
      </c>
      <c r="F869" s="12">
        <v>868</v>
      </c>
      <c r="G869" s="17">
        <f t="shared" si="80"/>
        <v>0</v>
      </c>
      <c r="H869" s="2">
        <f t="shared" si="81"/>
        <v>0</v>
      </c>
      <c r="I869" s="3" t="s">
        <v>3714</v>
      </c>
      <c r="J869" s="17">
        <f t="shared" si="82"/>
        <v>0</v>
      </c>
      <c r="K869" s="2">
        <f t="shared" si="83"/>
        <v>0</v>
      </c>
      <c r="L869" s="12" t="s">
        <v>3714</v>
      </c>
    </row>
    <row r="870" spans="1:12" x14ac:dyDescent="0.25">
      <c r="A870" s="11" t="s">
        <v>2269</v>
      </c>
      <c r="B870" s="2" t="str">
        <f t="shared" si="78"/>
        <v>Jz Brsh Slap</v>
      </c>
      <c r="C870" s="3">
        <v>869</v>
      </c>
      <c r="D870" s="17" t="s">
        <v>868</v>
      </c>
      <c r="E870" s="2" t="str">
        <f t="shared" si="79"/>
        <v>LD Kick f R</v>
      </c>
      <c r="F870" s="12">
        <v>869</v>
      </c>
      <c r="G870" s="17">
        <f t="shared" si="80"/>
        <v>1045</v>
      </c>
      <c r="H870" s="2">
        <f t="shared" si="81"/>
        <v>176</v>
      </c>
      <c r="I870" s="3" t="s">
        <v>3714</v>
      </c>
      <c r="J870" s="17">
        <f t="shared" si="82"/>
        <v>0</v>
      </c>
      <c r="K870" s="2">
        <f t="shared" si="83"/>
        <v>0</v>
      </c>
      <c r="L870" s="12" t="s">
        <v>3714</v>
      </c>
    </row>
    <row r="871" spans="1:12" x14ac:dyDescent="0.25">
      <c r="A871" s="11" t="s">
        <v>2270</v>
      </c>
      <c r="B871" s="2" t="str">
        <f t="shared" si="78"/>
        <v>Jz Brsh Swsh</v>
      </c>
      <c r="C871" s="3">
        <v>870</v>
      </c>
      <c r="D871" s="17" t="s">
        <v>869</v>
      </c>
      <c r="E871" s="2" t="str">
        <f t="shared" si="79"/>
        <v>LD Kick ff L</v>
      </c>
      <c r="F871" s="12">
        <v>870</v>
      </c>
      <c r="G871" s="17">
        <f t="shared" si="80"/>
        <v>1046</v>
      </c>
      <c r="H871" s="2">
        <f t="shared" si="81"/>
        <v>176</v>
      </c>
      <c r="I871" s="3" t="s">
        <v>3714</v>
      </c>
      <c r="J871" s="17">
        <f t="shared" si="82"/>
        <v>0</v>
      </c>
      <c r="K871" s="2">
        <f t="shared" si="83"/>
        <v>0</v>
      </c>
      <c r="L871" s="12" t="s">
        <v>3714</v>
      </c>
    </row>
    <row r="872" spans="1:12" x14ac:dyDescent="0.25">
      <c r="A872" s="11" t="s">
        <v>2271</v>
      </c>
      <c r="B872" s="2" t="str">
        <f t="shared" si="78"/>
        <v>Swish&amp;Turn p</v>
      </c>
      <c r="C872" s="3">
        <v>871</v>
      </c>
      <c r="D872" s="17" t="s">
        <v>870</v>
      </c>
      <c r="E872" s="2" t="str">
        <f t="shared" si="79"/>
        <v>LD Kick ff R</v>
      </c>
      <c r="F872" s="12">
        <v>871</v>
      </c>
      <c r="G872" s="17">
        <f t="shared" si="80"/>
        <v>1047</v>
      </c>
      <c r="H872" s="2">
        <f t="shared" si="81"/>
        <v>176</v>
      </c>
      <c r="I872" s="3" t="s">
        <v>3714</v>
      </c>
      <c r="J872" s="17">
        <f t="shared" si="82"/>
        <v>0</v>
      </c>
      <c r="K872" s="2">
        <f t="shared" si="83"/>
        <v>0</v>
      </c>
      <c r="L872" s="12" t="s">
        <v>3714</v>
      </c>
    </row>
    <row r="873" spans="1:12" x14ac:dyDescent="0.25">
      <c r="A873" s="11" t="s">
        <v>2272</v>
      </c>
      <c r="B873" s="2" t="str">
        <f t="shared" si="78"/>
        <v>Swish&amp;Turn f</v>
      </c>
      <c r="C873" s="3">
        <v>872</v>
      </c>
      <c r="D873" s="17" t="s">
        <v>871</v>
      </c>
      <c r="E873" s="2" t="str">
        <f t="shared" si="79"/>
        <v>TY Kick mf L</v>
      </c>
      <c r="F873" s="12">
        <v>872</v>
      </c>
      <c r="G873" s="17">
        <f t="shared" si="80"/>
        <v>1048</v>
      </c>
      <c r="H873" s="2">
        <f t="shared" si="81"/>
        <v>176</v>
      </c>
      <c r="I873" s="3" t="s">
        <v>3714</v>
      </c>
      <c r="J873" s="17">
        <f t="shared" si="82"/>
        <v>0</v>
      </c>
      <c r="K873" s="2">
        <f t="shared" si="83"/>
        <v>0</v>
      </c>
      <c r="L873" s="12" t="s">
        <v>3714</v>
      </c>
    </row>
    <row r="874" spans="1:12" x14ac:dyDescent="0.25">
      <c r="A874" s="11" t="s">
        <v>2273</v>
      </c>
      <c r="B874" s="2" t="str">
        <f t="shared" si="78"/>
        <v>Snr Roll</v>
      </c>
      <c r="C874" s="3">
        <v>873</v>
      </c>
      <c r="D874" s="17" t="s">
        <v>872</v>
      </c>
      <c r="E874" s="2" t="str">
        <f t="shared" si="79"/>
        <v>TY Kick mf R</v>
      </c>
      <c r="F874" s="12">
        <v>873</v>
      </c>
      <c r="G874" s="17">
        <f t="shared" si="80"/>
        <v>0</v>
      </c>
      <c r="H874" s="2">
        <f t="shared" si="81"/>
        <v>0</v>
      </c>
      <c r="I874" s="3" t="s">
        <v>3714</v>
      </c>
      <c r="J874" s="17">
        <f t="shared" si="82"/>
        <v>0</v>
      </c>
      <c r="K874" s="2">
        <f t="shared" si="83"/>
        <v>0</v>
      </c>
      <c r="L874" s="12" t="s">
        <v>3714</v>
      </c>
    </row>
    <row r="875" spans="1:12" x14ac:dyDescent="0.25">
      <c r="A875" s="11" t="s">
        <v>2274</v>
      </c>
      <c r="B875" s="2" t="str">
        <f t="shared" si="78"/>
        <v>Snr Roll Lp</v>
      </c>
      <c r="C875" s="3">
        <v>874</v>
      </c>
      <c r="D875" s="17" t="s">
        <v>873</v>
      </c>
      <c r="E875" s="2" t="str">
        <f t="shared" si="79"/>
        <v>TY Kick f L</v>
      </c>
      <c r="F875" s="12">
        <v>874</v>
      </c>
      <c r="G875" s="17">
        <f t="shared" si="80"/>
        <v>1049</v>
      </c>
      <c r="H875" s="2">
        <f t="shared" si="81"/>
        <v>175</v>
      </c>
      <c r="I875" s="3" t="s">
        <v>3714</v>
      </c>
      <c r="J875" s="17">
        <f t="shared" si="82"/>
        <v>0</v>
      </c>
      <c r="K875" s="2">
        <f t="shared" si="83"/>
        <v>0</v>
      </c>
      <c r="L875" s="12" t="s">
        <v>3714</v>
      </c>
    </row>
    <row r="876" spans="1:12" x14ac:dyDescent="0.25">
      <c r="A876" s="11" t="s">
        <v>2275</v>
      </c>
      <c r="B876" s="2" t="str">
        <f t="shared" si="78"/>
        <v>Soft Jz Roll</v>
      </c>
      <c r="C876" s="3">
        <v>875</v>
      </c>
      <c r="D876" s="17" t="s">
        <v>874</v>
      </c>
      <c r="E876" s="2" t="str">
        <f t="shared" si="79"/>
        <v>TY Kick f R</v>
      </c>
      <c r="F876" s="12">
        <v>875</v>
      </c>
      <c r="G876" s="17">
        <f t="shared" si="80"/>
        <v>1051</v>
      </c>
      <c r="H876" s="2">
        <f t="shared" si="81"/>
        <v>176</v>
      </c>
      <c r="I876" s="3" t="s">
        <v>3714</v>
      </c>
      <c r="J876" s="17">
        <f t="shared" si="82"/>
        <v>0</v>
      </c>
      <c r="K876" s="2">
        <f t="shared" si="83"/>
        <v>0</v>
      </c>
      <c r="L876" s="12" t="s">
        <v>3714</v>
      </c>
    </row>
    <row r="877" spans="1:12" x14ac:dyDescent="0.25">
      <c r="A877" s="11" t="s">
        <v>2276</v>
      </c>
      <c r="B877" s="2" t="str">
        <f t="shared" si="78"/>
        <v>BrushRoll Lp</v>
      </c>
      <c r="C877" s="3">
        <v>876</v>
      </c>
      <c r="D877" s="17" t="s">
        <v>875</v>
      </c>
      <c r="E877" s="2" t="str">
        <f t="shared" si="79"/>
        <v>TY Kick ff L</v>
      </c>
      <c r="F877" s="12">
        <v>876</v>
      </c>
      <c r="G877" s="17">
        <f t="shared" si="80"/>
        <v>1050</v>
      </c>
      <c r="H877" s="2">
        <f t="shared" si="81"/>
        <v>174</v>
      </c>
      <c r="I877" s="3" t="s">
        <v>3714</v>
      </c>
      <c r="J877" s="17">
        <f t="shared" si="82"/>
        <v>0</v>
      </c>
      <c r="K877" s="2">
        <f t="shared" si="83"/>
        <v>0</v>
      </c>
      <c r="L877" s="12" t="s">
        <v>3714</v>
      </c>
    </row>
    <row r="878" spans="1:12" x14ac:dyDescent="0.25">
      <c r="A878" s="11" t="s">
        <v>2277</v>
      </c>
      <c r="B878" s="2" t="str">
        <f t="shared" si="78"/>
        <v>GoodOld Snr1</v>
      </c>
      <c r="C878" s="3">
        <v>877</v>
      </c>
      <c r="D878" s="17" t="s">
        <v>876</v>
      </c>
      <c r="E878" s="2" t="str">
        <f t="shared" si="79"/>
        <v>TY Kick ff R</v>
      </c>
      <c r="F878" s="12">
        <v>877</v>
      </c>
      <c r="G878" s="17">
        <f t="shared" si="80"/>
        <v>1053</v>
      </c>
      <c r="H878" s="2">
        <f t="shared" si="81"/>
        <v>176</v>
      </c>
      <c r="I878" s="3" t="s">
        <v>3714</v>
      </c>
      <c r="J878" s="17">
        <f t="shared" si="82"/>
        <v>0</v>
      </c>
      <c r="K878" s="2">
        <f t="shared" si="83"/>
        <v>0</v>
      </c>
      <c r="L878" s="12" t="s">
        <v>3714</v>
      </c>
    </row>
    <row r="879" spans="1:12" x14ac:dyDescent="0.25">
      <c r="A879" s="11" t="s">
        <v>2278</v>
      </c>
      <c r="B879" s="2" t="str">
        <f t="shared" si="78"/>
        <v>GoodOld Snr2</v>
      </c>
      <c r="C879" s="3">
        <v>878</v>
      </c>
      <c r="D879" s="17" t="s">
        <v>877</v>
      </c>
      <c r="E879" s="2" t="str">
        <f t="shared" si="79"/>
        <v>SF Kick 1 L</v>
      </c>
      <c r="F879" s="12">
        <v>878</v>
      </c>
      <c r="G879" s="17">
        <f t="shared" si="80"/>
        <v>1054</v>
      </c>
      <c r="H879" s="2">
        <f t="shared" si="81"/>
        <v>176</v>
      </c>
      <c r="I879" s="3" t="s">
        <v>3714</v>
      </c>
      <c r="J879" s="17">
        <f t="shared" si="82"/>
        <v>0</v>
      </c>
      <c r="K879" s="2">
        <f t="shared" si="83"/>
        <v>0</v>
      </c>
      <c r="L879" s="12" t="s">
        <v>3714</v>
      </c>
    </row>
    <row r="880" spans="1:12" x14ac:dyDescent="0.25">
      <c r="A880" s="11" t="s">
        <v>2279</v>
      </c>
      <c r="B880" s="2" t="str">
        <f t="shared" si="78"/>
        <v>GoodOld Snr3</v>
      </c>
      <c r="C880" s="3">
        <v>879</v>
      </c>
      <c r="D880" s="17" t="s">
        <v>878</v>
      </c>
      <c r="E880" s="2" t="str">
        <f t="shared" si="79"/>
        <v>SF Kick 1 R</v>
      </c>
      <c r="F880" s="12">
        <v>879</v>
      </c>
      <c r="G880" s="17">
        <f t="shared" si="80"/>
        <v>1055</v>
      </c>
      <c r="H880" s="2">
        <f t="shared" si="81"/>
        <v>176</v>
      </c>
      <c r="I880" s="3" t="s">
        <v>3714</v>
      </c>
      <c r="J880" s="17">
        <f t="shared" si="82"/>
        <v>0</v>
      </c>
      <c r="K880" s="2">
        <f t="shared" si="83"/>
        <v>0</v>
      </c>
      <c r="L880" s="12" t="s">
        <v>3714</v>
      </c>
    </row>
    <row r="881" spans="1:12" x14ac:dyDescent="0.25">
      <c r="A881" s="11" t="s">
        <v>2280</v>
      </c>
      <c r="B881" s="2" t="str">
        <f t="shared" si="78"/>
        <v>GoodOld Snr4</v>
      </c>
      <c r="C881" s="3">
        <v>880</v>
      </c>
      <c r="D881" s="17" t="s">
        <v>879</v>
      </c>
      <c r="E881" s="2" t="str">
        <f t="shared" si="79"/>
        <v>SF Kick 2 L</v>
      </c>
      <c r="F881" s="12">
        <v>880</v>
      </c>
      <c r="G881" s="17">
        <f t="shared" si="80"/>
        <v>1056</v>
      </c>
      <c r="H881" s="2">
        <f t="shared" si="81"/>
        <v>176</v>
      </c>
      <c r="I881" s="3" t="s">
        <v>3714</v>
      </c>
      <c r="J881" s="17">
        <f t="shared" si="82"/>
        <v>0</v>
      </c>
      <c r="K881" s="2">
        <f t="shared" si="83"/>
        <v>0</v>
      </c>
      <c r="L881" s="12" t="s">
        <v>3714</v>
      </c>
    </row>
    <row r="882" spans="1:12" x14ac:dyDescent="0.25">
      <c r="A882" s="11" t="s">
        <v>2281</v>
      </c>
      <c r="B882" s="2" t="str">
        <f t="shared" si="78"/>
        <v>GoodOld Snr5</v>
      </c>
      <c r="C882" s="3">
        <v>881</v>
      </c>
      <c r="D882" s="17" t="s">
        <v>880</v>
      </c>
      <c r="E882" s="2" t="str">
        <f t="shared" si="79"/>
        <v>SF Kick 2 R</v>
      </c>
      <c r="F882" s="12">
        <v>881</v>
      </c>
      <c r="G882" s="17">
        <f t="shared" si="80"/>
        <v>1057</v>
      </c>
      <c r="H882" s="2">
        <f t="shared" si="81"/>
        <v>176</v>
      </c>
      <c r="I882" s="3" t="s">
        <v>3714</v>
      </c>
      <c r="J882" s="17">
        <f t="shared" si="82"/>
        <v>0</v>
      </c>
      <c r="K882" s="2">
        <f t="shared" si="83"/>
        <v>0</v>
      </c>
      <c r="L882" s="12" t="s">
        <v>3714</v>
      </c>
    </row>
    <row r="883" spans="1:12" x14ac:dyDescent="0.25">
      <c r="A883" s="11" t="s">
        <v>2282</v>
      </c>
      <c r="B883" s="2" t="str">
        <f t="shared" si="78"/>
        <v>GoodOld Snr6</v>
      </c>
      <c r="C883" s="3">
        <v>882</v>
      </c>
      <c r="D883" s="17" t="s">
        <v>881</v>
      </c>
      <c r="E883" s="2" t="str">
        <f t="shared" si="79"/>
        <v>Reg.Kick p L</v>
      </c>
      <c r="F883" s="12">
        <v>882</v>
      </c>
      <c r="G883" s="17">
        <f t="shared" si="80"/>
        <v>1058</v>
      </c>
      <c r="H883" s="2">
        <f t="shared" si="81"/>
        <v>176</v>
      </c>
      <c r="I883" s="3" t="s">
        <v>3714</v>
      </c>
      <c r="J883" s="17">
        <f t="shared" si="82"/>
        <v>743</v>
      </c>
      <c r="K883" s="2">
        <f t="shared" si="83"/>
        <v>-139</v>
      </c>
      <c r="L883" s="12" t="s">
        <v>3714</v>
      </c>
    </row>
    <row r="884" spans="1:12" x14ac:dyDescent="0.25">
      <c r="A884" s="11" t="s">
        <v>2283</v>
      </c>
      <c r="B884" s="2" t="str">
        <f t="shared" si="78"/>
        <v>Dirty Snr 1</v>
      </c>
      <c r="C884" s="3">
        <v>883</v>
      </c>
      <c r="D884" s="17" t="s">
        <v>882</v>
      </c>
      <c r="E884" s="2" t="str">
        <f t="shared" si="79"/>
        <v>Reg.Kick p R</v>
      </c>
      <c r="F884" s="12">
        <v>883</v>
      </c>
      <c r="G884" s="17">
        <f t="shared" si="80"/>
        <v>1059</v>
      </c>
      <c r="H884" s="2">
        <f t="shared" si="81"/>
        <v>176</v>
      </c>
      <c r="I884" s="3" t="s">
        <v>3714</v>
      </c>
      <c r="J884" s="17">
        <f t="shared" si="82"/>
        <v>744</v>
      </c>
      <c r="K884" s="2">
        <f t="shared" si="83"/>
        <v>-139</v>
      </c>
      <c r="L884" s="12" t="s">
        <v>3714</v>
      </c>
    </row>
    <row r="885" spans="1:12" x14ac:dyDescent="0.25">
      <c r="A885" s="11" t="s">
        <v>2284</v>
      </c>
      <c r="B885" s="2" t="str">
        <f t="shared" si="78"/>
        <v>Dirty Snr 2</v>
      </c>
      <c r="C885" s="3">
        <v>884</v>
      </c>
      <c r="D885" s="17" t="s">
        <v>883</v>
      </c>
      <c r="E885" s="2" t="str">
        <f t="shared" si="79"/>
        <v>Reg.Kick f L</v>
      </c>
      <c r="F885" s="12">
        <v>884</v>
      </c>
      <c r="G885" s="17">
        <f t="shared" si="80"/>
        <v>1060</v>
      </c>
      <c r="H885" s="2">
        <f t="shared" si="81"/>
        <v>176</v>
      </c>
      <c r="I885" s="3" t="s">
        <v>3714</v>
      </c>
      <c r="J885" s="17">
        <f t="shared" si="82"/>
        <v>745</v>
      </c>
      <c r="K885" s="2">
        <f t="shared" si="83"/>
        <v>-139</v>
      </c>
      <c r="L885" s="12" t="s">
        <v>3714</v>
      </c>
    </row>
    <row r="886" spans="1:12" x14ac:dyDescent="0.25">
      <c r="A886" s="11" t="s">
        <v>2285</v>
      </c>
      <c r="B886" s="2" t="str">
        <f t="shared" si="78"/>
        <v>Dirty Snr 3</v>
      </c>
      <c r="C886" s="3">
        <v>885</v>
      </c>
      <c r="D886" s="17" t="s">
        <v>884</v>
      </c>
      <c r="E886" s="2" t="str">
        <f t="shared" si="79"/>
        <v>Reg.Kick f R</v>
      </c>
      <c r="F886" s="12">
        <v>885</v>
      </c>
      <c r="G886" s="17">
        <f t="shared" si="80"/>
        <v>1061</v>
      </c>
      <c r="H886" s="2">
        <f t="shared" si="81"/>
        <v>176</v>
      </c>
      <c r="I886" s="3" t="s">
        <v>3714</v>
      </c>
      <c r="J886" s="17">
        <f t="shared" si="82"/>
        <v>746</v>
      </c>
      <c r="K886" s="2">
        <f t="shared" si="83"/>
        <v>-139</v>
      </c>
      <c r="L886" s="12" t="s">
        <v>3714</v>
      </c>
    </row>
    <row r="887" spans="1:12" x14ac:dyDescent="0.25">
      <c r="A887" s="11" t="s">
        <v>2286</v>
      </c>
      <c r="B887" s="2" t="str">
        <f t="shared" si="78"/>
        <v>Dirty Snr 4</v>
      </c>
      <c r="C887" s="3">
        <v>886</v>
      </c>
      <c r="D887" s="17" t="s">
        <v>885</v>
      </c>
      <c r="E887" s="2" t="str">
        <f t="shared" si="79"/>
        <v>Reg.Kick ffL</v>
      </c>
      <c r="F887" s="12">
        <v>886</v>
      </c>
      <c r="G887" s="17">
        <f t="shared" si="80"/>
        <v>1062</v>
      </c>
      <c r="H887" s="2">
        <f t="shared" si="81"/>
        <v>176</v>
      </c>
      <c r="I887" s="3" t="s">
        <v>3714</v>
      </c>
      <c r="J887" s="17">
        <f t="shared" si="82"/>
        <v>747</v>
      </c>
      <c r="K887" s="2">
        <f t="shared" si="83"/>
        <v>-139</v>
      </c>
      <c r="L887" s="12" t="s">
        <v>3714</v>
      </c>
    </row>
    <row r="888" spans="1:12" x14ac:dyDescent="0.25">
      <c r="A888" s="11" t="s">
        <v>2287</v>
      </c>
      <c r="B888" s="2" t="str">
        <f t="shared" si="78"/>
        <v>Dirty Snr 5</v>
      </c>
      <c r="C888" s="3">
        <v>887</v>
      </c>
      <c r="D888" s="17" t="s">
        <v>886</v>
      </c>
      <c r="E888" s="2" t="str">
        <f t="shared" si="79"/>
        <v>Reg.Kick ffR</v>
      </c>
      <c r="F888" s="12">
        <v>887</v>
      </c>
      <c r="G888" s="17">
        <f t="shared" si="80"/>
        <v>1063</v>
      </c>
      <c r="H888" s="2">
        <f t="shared" si="81"/>
        <v>176</v>
      </c>
      <c r="I888" s="3" t="s">
        <v>3714</v>
      </c>
      <c r="J888" s="17">
        <f t="shared" si="82"/>
        <v>748</v>
      </c>
      <c r="K888" s="2">
        <f t="shared" si="83"/>
        <v>-139</v>
      </c>
      <c r="L888" s="12" t="s">
        <v>3714</v>
      </c>
    </row>
    <row r="889" spans="1:12" x14ac:dyDescent="0.25">
      <c r="A889" s="11" t="s">
        <v>2288</v>
      </c>
      <c r="B889" s="2" t="str">
        <f t="shared" si="78"/>
        <v>Dirty Snr 6</v>
      </c>
      <c r="C889" s="3">
        <v>888</v>
      </c>
      <c r="D889" s="17" t="s">
        <v>887</v>
      </c>
      <c r="E889" s="2" t="str">
        <f t="shared" si="79"/>
        <v>Rock Kick p</v>
      </c>
      <c r="F889" s="12">
        <v>888</v>
      </c>
      <c r="G889" s="17">
        <f t="shared" si="80"/>
        <v>1064</v>
      </c>
      <c r="H889" s="2">
        <f t="shared" si="81"/>
        <v>176</v>
      </c>
      <c r="I889" s="3" t="s">
        <v>3714</v>
      </c>
      <c r="J889" s="17">
        <f t="shared" si="82"/>
        <v>749</v>
      </c>
      <c r="K889" s="2">
        <f t="shared" si="83"/>
        <v>-139</v>
      </c>
      <c r="L889" s="12" t="s">
        <v>3714</v>
      </c>
    </row>
    <row r="890" spans="1:12" x14ac:dyDescent="0.25">
      <c r="A890" s="11" t="s">
        <v>2289</v>
      </c>
      <c r="B890" s="2" t="str">
        <f t="shared" si="78"/>
        <v>Dirty Snr 7</v>
      </c>
      <c r="C890" s="3">
        <v>889</v>
      </c>
      <c r="D890" s="17" t="s">
        <v>888</v>
      </c>
      <c r="E890" s="2" t="str">
        <f t="shared" si="79"/>
        <v>Rock Kick f</v>
      </c>
      <c r="F890" s="12">
        <v>889</v>
      </c>
      <c r="G890" s="17">
        <f t="shared" si="80"/>
        <v>1065</v>
      </c>
      <c r="H890" s="2">
        <f t="shared" si="81"/>
        <v>176</v>
      </c>
      <c r="I890" s="3" t="s">
        <v>3714</v>
      </c>
      <c r="J890" s="17">
        <f t="shared" si="82"/>
        <v>750</v>
      </c>
      <c r="K890" s="2">
        <f t="shared" si="83"/>
        <v>-139</v>
      </c>
      <c r="L890" s="12" t="s">
        <v>3714</v>
      </c>
    </row>
    <row r="891" spans="1:12" x14ac:dyDescent="0.25">
      <c r="A891" s="11" t="s">
        <v>2290</v>
      </c>
      <c r="B891" s="2" t="str">
        <f t="shared" si="78"/>
        <v>Dirty Snr 8</v>
      </c>
      <c r="C891" s="3">
        <v>890</v>
      </c>
      <c r="D891" s="17" t="s">
        <v>889</v>
      </c>
      <c r="E891" s="2" t="str">
        <f t="shared" si="79"/>
        <v>Jazz Kick p</v>
      </c>
      <c r="F891" s="12">
        <v>890</v>
      </c>
      <c r="G891" s="17">
        <f t="shared" si="80"/>
        <v>0</v>
      </c>
      <c r="H891" s="2">
        <f t="shared" si="81"/>
        <v>0</v>
      </c>
      <c r="I891" s="3" t="s">
        <v>3714</v>
      </c>
      <c r="J891" s="17">
        <f t="shared" si="82"/>
        <v>751</v>
      </c>
      <c r="K891" s="2">
        <f t="shared" si="83"/>
        <v>-139</v>
      </c>
      <c r="L891" s="12" t="s">
        <v>3714</v>
      </c>
    </row>
    <row r="892" spans="1:12" x14ac:dyDescent="0.25">
      <c r="A892" s="11" t="s">
        <v>2291</v>
      </c>
      <c r="B892" s="2" t="str">
        <f t="shared" si="78"/>
        <v>Dirty Snr 9</v>
      </c>
      <c r="C892" s="3">
        <v>891</v>
      </c>
      <c r="D892" s="17" t="s">
        <v>890</v>
      </c>
      <c r="E892" s="2" t="str">
        <f t="shared" si="79"/>
        <v>Jazz Kick mf</v>
      </c>
      <c r="F892" s="12">
        <v>891</v>
      </c>
      <c r="G892" s="17">
        <f t="shared" si="80"/>
        <v>0</v>
      </c>
      <c r="H892" s="2">
        <f t="shared" si="81"/>
        <v>0</v>
      </c>
      <c r="I892" s="3" t="s">
        <v>3714</v>
      </c>
      <c r="J892" s="17">
        <f t="shared" si="82"/>
        <v>752</v>
      </c>
      <c r="K892" s="2">
        <f t="shared" si="83"/>
        <v>-139</v>
      </c>
      <c r="L892" s="12" t="s">
        <v>3714</v>
      </c>
    </row>
    <row r="893" spans="1:12" x14ac:dyDescent="0.25">
      <c r="A893" s="11" t="s">
        <v>2292</v>
      </c>
      <c r="B893" s="2" t="str">
        <f t="shared" si="78"/>
        <v>Dirty Snr 10</v>
      </c>
      <c r="C893" s="3">
        <v>892</v>
      </c>
      <c r="D893" s="17" t="s">
        <v>891</v>
      </c>
      <c r="E893" s="2" t="str">
        <f t="shared" si="79"/>
        <v>Jazz Kick f</v>
      </c>
      <c r="F893" s="12">
        <v>892</v>
      </c>
      <c r="G893" s="17">
        <f t="shared" si="80"/>
        <v>0</v>
      </c>
      <c r="H893" s="2">
        <f t="shared" si="81"/>
        <v>0</v>
      </c>
      <c r="I893" s="3" t="s">
        <v>3714</v>
      </c>
      <c r="J893" s="17">
        <f t="shared" si="82"/>
        <v>753</v>
      </c>
      <c r="K893" s="2">
        <f t="shared" si="83"/>
        <v>-139</v>
      </c>
      <c r="L893" s="12" t="s">
        <v>3714</v>
      </c>
    </row>
    <row r="894" spans="1:12" x14ac:dyDescent="0.25">
      <c r="A894" s="11" t="s">
        <v>2293</v>
      </c>
      <c r="B894" s="2" t="str">
        <f t="shared" si="78"/>
        <v>Grit Snr 1</v>
      </c>
      <c r="C894" s="3">
        <v>893</v>
      </c>
      <c r="D894" s="17" t="s">
        <v>892</v>
      </c>
      <c r="E894" s="2" t="str">
        <f t="shared" si="79"/>
        <v>Dry Kick 1</v>
      </c>
      <c r="F894" s="12">
        <v>893</v>
      </c>
      <c r="G894" s="17">
        <f t="shared" si="80"/>
        <v>1066</v>
      </c>
      <c r="H894" s="2">
        <f t="shared" si="81"/>
        <v>173</v>
      </c>
      <c r="I894" s="3" t="s">
        <v>3714</v>
      </c>
      <c r="J894" s="17">
        <f t="shared" si="82"/>
        <v>754</v>
      </c>
      <c r="K894" s="2">
        <f t="shared" si="83"/>
        <v>-139</v>
      </c>
      <c r="L894" s="12" t="s">
        <v>3714</v>
      </c>
    </row>
    <row r="895" spans="1:12" x14ac:dyDescent="0.25">
      <c r="A895" s="11" t="s">
        <v>2294</v>
      </c>
      <c r="B895" s="2" t="str">
        <f t="shared" si="78"/>
        <v>Grit Snr 2</v>
      </c>
      <c r="C895" s="3">
        <v>894</v>
      </c>
      <c r="D895" s="17" t="s">
        <v>893</v>
      </c>
      <c r="E895" s="2" t="str">
        <f t="shared" si="79"/>
        <v>Tight Kick</v>
      </c>
      <c r="F895" s="12">
        <v>894</v>
      </c>
      <c r="G895" s="17">
        <f t="shared" si="80"/>
        <v>1067</v>
      </c>
      <c r="H895" s="2">
        <f t="shared" si="81"/>
        <v>173</v>
      </c>
      <c r="I895" s="3" t="s">
        <v>3714</v>
      </c>
      <c r="J895" s="17">
        <f t="shared" si="82"/>
        <v>0</v>
      </c>
      <c r="K895" s="2">
        <f t="shared" si="83"/>
        <v>0</v>
      </c>
      <c r="L895" s="12" t="s">
        <v>3714</v>
      </c>
    </row>
    <row r="896" spans="1:12" x14ac:dyDescent="0.25">
      <c r="A896" s="11" t="s">
        <v>2295</v>
      </c>
      <c r="B896" s="2" t="str">
        <f t="shared" si="78"/>
        <v>Grit Snr 3</v>
      </c>
      <c r="C896" s="3">
        <v>895</v>
      </c>
      <c r="D896" s="17" t="s">
        <v>894</v>
      </c>
      <c r="E896" s="2" t="str">
        <f t="shared" si="79"/>
        <v>Old Kick</v>
      </c>
      <c r="F896" s="12">
        <v>895</v>
      </c>
      <c r="G896" s="17">
        <f t="shared" si="80"/>
        <v>1068</v>
      </c>
      <c r="H896" s="2">
        <f t="shared" si="81"/>
        <v>173</v>
      </c>
      <c r="I896" s="3" t="s">
        <v>3714</v>
      </c>
      <c r="J896" s="17">
        <f t="shared" si="82"/>
        <v>757</v>
      </c>
      <c r="K896" s="2">
        <f t="shared" si="83"/>
        <v>-138</v>
      </c>
      <c r="L896" s="12" t="s">
        <v>3714</v>
      </c>
    </row>
    <row r="897" spans="1:12" x14ac:dyDescent="0.25">
      <c r="A897" s="11" t="s">
        <v>2296</v>
      </c>
      <c r="B897" s="2" t="str">
        <f t="shared" si="78"/>
        <v>Grit Snr 4</v>
      </c>
      <c r="C897" s="3">
        <v>896</v>
      </c>
      <c r="D897" s="17" t="s">
        <v>895</v>
      </c>
      <c r="E897" s="2" t="str">
        <f t="shared" si="79"/>
        <v>Jz Dry Kick</v>
      </c>
      <c r="F897" s="12">
        <v>896</v>
      </c>
      <c r="G897" s="17">
        <f t="shared" si="80"/>
        <v>0</v>
      </c>
      <c r="H897" s="2">
        <f t="shared" si="81"/>
        <v>0</v>
      </c>
      <c r="I897" s="3" t="s">
        <v>3714</v>
      </c>
      <c r="J897" s="17">
        <f t="shared" si="82"/>
        <v>758</v>
      </c>
      <c r="K897" s="2">
        <f t="shared" si="83"/>
        <v>-138</v>
      </c>
      <c r="L897" s="12" t="s">
        <v>3714</v>
      </c>
    </row>
    <row r="898" spans="1:12" x14ac:dyDescent="0.25">
      <c r="A898" s="11" t="s">
        <v>2297</v>
      </c>
      <c r="B898" s="2" t="str">
        <f t="shared" ref="B898:B961" si="84">_xlfn.TEXTAFTER(A898," ",1)</f>
        <v>LoBit SnrFlm</v>
      </c>
      <c r="C898" s="3">
        <v>897</v>
      </c>
      <c r="D898" s="17" t="s">
        <v>896</v>
      </c>
      <c r="E898" s="2" t="str">
        <f t="shared" ref="E898:E961" si="85">_xlfn.TEXTAFTER(D898," ",1)</f>
        <v>Dry Kick 2</v>
      </c>
      <c r="F898" s="12">
        <v>897</v>
      </c>
      <c r="G898" s="17">
        <f t="shared" si="80"/>
        <v>1069</v>
      </c>
      <c r="H898" s="2">
        <f t="shared" si="81"/>
        <v>172</v>
      </c>
      <c r="I898" s="3" t="s">
        <v>3714</v>
      </c>
      <c r="J898" s="17">
        <f t="shared" si="82"/>
        <v>760</v>
      </c>
      <c r="K898" s="2">
        <f t="shared" si="83"/>
        <v>-137</v>
      </c>
      <c r="L898" s="12" t="s">
        <v>3714</v>
      </c>
    </row>
    <row r="899" spans="1:12" x14ac:dyDescent="0.25">
      <c r="A899" s="11" t="s">
        <v>2298</v>
      </c>
      <c r="B899" s="2" t="str">
        <f t="shared" si="84"/>
        <v>Lo-Bit Snr 1</v>
      </c>
      <c r="C899" s="3">
        <v>898</v>
      </c>
      <c r="D899" s="17" t="s">
        <v>897</v>
      </c>
      <c r="E899" s="2" t="str">
        <f t="shared" si="85"/>
        <v>Dry Kick 3</v>
      </c>
      <c r="F899" s="12">
        <v>898</v>
      </c>
      <c r="G899" s="17">
        <f t="shared" ref="G899:G962" si="86">_xlfn.IFNA(_xlfn.XMATCH(B899,E$2:E$1402,0,1),0)</f>
        <v>1070</v>
      </c>
      <c r="H899" s="2">
        <f t="shared" ref="H899:H962" si="87">IF(G899=0,0,G899-C899)</f>
        <v>172</v>
      </c>
      <c r="I899" s="3" t="s">
        <v>3714</v>
      </c>
      <c r="J899" s="17">
        <f t="shared" ref="J899:J962" si="88">_xlfn.IFNA(_xlfn.XMATCH(E899,B$2:B$1229,0,1),0)</f>
        <v>761</v>
      </c>
      <c r="K899" s="2">
        <f t="shared" ref="K899:K962" si="89">IF(J899=0,0,J899-F899)</f>
        <v>-137</v>
      </c>
      <c r="L899" s="12" t="s">
        <v>3714</v>
      </c>
    </row>
    <row r="900" spans="1:12" x14ac:dyDescent="0.25">
      <c r="A900" s="11" t="s">
        <v>2299</v>
      </c>
      <c r="B900" s="2" t="str">
        <f t="shared" si="84"/>
        <v>Lo-Bit Snr 2</v>
      </c>
      <c r="C900" s="3">
        <v>899</v>
      </c>
      <c r="D900" s="17" t="s">
        <v>898</v>
      </c>
      <c r="E900" s="2" t="str">
        <f t="shared" si="85"/>
        <v>Power Kick</v>
      </c>
      <c r="F900" s="12">
        <v>899</v>
      </c>
      <c r="G900" s="17">
        <f t="shared" si="86"/>
        <v>1071</v>
      </c>
      <c r="H900" s="2">
        <f t="shared" si="87"/>
        <v>172</v>
      </c>
      <c r="I900" s="3" t="s">
        <v>3714</v>
      </c>
      <c r="J900" s="17">
        <f t="shared" si="88"/>
        <v>762</v>
      </c>
      <c r="K900" s="2">
        <f t="shared" si="89"/>
        <v>-137</v>
      </c>
      <c r="L900" s="12" t="s">
        <v>3714</v>
      </c>
    </row>
    <row r="901" spans="1:12" x14ac:dyDescent="0.25">
      <c r="A901" s="11" t="s">
        <v>2300</v>
      </c>
      <c r="B901" s="2" t="str">
        <f t="shared" si="84"/>
        <v>Lo-Bit Snr 3</v>
      </c>
      <c r="C901" s="3">
        <v>900</v>
      </c>
      <c r="D901" s="17" t="s">
        <v>899</v>
      </c>
      <c r="E901" s="2" t="str">
        <f t="shared" si="85"/>
        <v>R&amp;B Kick L</v>
      </c>
      <c r="F901" s="12">
        <v>900</v>
      </c>
      <c r="G901" s="17">
        <f t="shared" si="86"/>
        <v>0</v>
      </c>
      <c r="H901" s="2">
        <f t="shared" si="87"/>
        <v>0</v>
      </c>
      <c r="I901" s="3" t="s">
        <v>3714</v>
      </c>
      <c r="J901" s="17">
        <f t="shared" si="88"/>
        <v>763</v>
      </c>
      <c r="K901" s="2">
        <f t="shared" si="89"/>
        <v>-137</v>
      </c>
      <c r="L901" s="12" t="s">
        <v>3714</v>
      </c>
    </row>
    <row r="902" spans="1:12" x14ac:dyDescent="0.25">
      <c r="A902" s="11" t="s">
        <v>2301</v>
      </c>
      <c r="B902" s="2" t="str">
        <f t="shared" si="84"/>
        <v>BmbCmp Snr</v>
      </c>
      <c r="C902" s="3">
        <v>901</v>
      </c>
      <c r="D902" s="17" t="s">
        <v>900</v>
      </c>
      <c r="E902" s="2" t="str">
        <f t="shared" si="85"/>
        <v>R&amp;B Kick R</v>
      </c>
      <c r="F902" s="12">
        <v>901</v>
      </c>
      <c r="G902" s="17">
        <f t="shared" si="86"/>
        <v>0</v>
      </c>
      <c r="H902" s="2">
        <f t="shared" si="87"/>
        <v>0</v>
      </c>
      <c r="I902" s="3" t="s">
        <v>3714</v>
      </c>
      <c r="J902" s="17">
        <f t="shared" si="88"/>
        <v>764</v>
      </c>
      <c r="K902" s="2">
        <f t="shared" si="89"/>
        <v>-137</v>
      </c>
      <c r="L902" s="12" t="s">
        <v>3714</v>
      </c>
    </row>
    <row r="903" spans="1:12" x14ac:dyDescent="0.25">
      <c r="A903" s="11" t="s">
        <v>2302</v>
      </c>
      <c r="B903" s="2" t="str">
        <f t="shared" si="84"/>
        <v>MrchCmp Snr</v>
      </c>
      <c r="C903" s="3">
        <v>902</v>
      </c>
      <c r="D903" s="17" t="s">
        <v>901</v>
      </c>
      <c r="E903" s="2" t="str">
        <f t="shared" si="85"/>
        <v>Rk CmpKick L</v>
      </c>
      <c r="F903" s="12">
        <v>902</v>
      </c>
      <c r="G903" s="17">
        <f t="shared" si="86"/>
        <v>1072</v>
      </c>
      <c r="H903" s="2">
        <f t="shared" si="87"/>
        <v>170</v>
      </c>
      <c r="I903" s="3" t="s">
        <v>3714</v>
      </c>
      <c r="J903" s="17">
        <f t="shared" si="88"/>
        <v>765</v>
      </c>
      <c r="K903" s="2">
        <f t="shared" si="89"/>
        <v>-137</v>
      </c>
      <c r="L903" s="12" t="s">
        <v>3714</v>
      </c>
    </row>
    <row r="904" spans="1:12" x14ac:dyDescent="0.25">
      <c r="A904" s="11" t="s">
        <v>2303</v>
      </c>
      <c r="B904" s="2" t="str">
        <f t="shared" si="84"/>
        <v>Frenzy Snr 1</v>
      </c>
      <c r="C904" s="3">
        <v>903</v>
      </c>
      <c r="D904" s="17" t="s">
        <v>902</v>
      </c>
      <c r="E904" s="2" t="str">
        <f t="shared" si="85"/>
        <v>Rk CmpKick R</v>
      </c>
      <c r="F904" s="12">
        <v>903</v>
      </c>
      <c r="G904" s="17">
        <f t="shared" si="86"/>
        <v>0</v>
      </c>
      <c r="H904" s="2">
        <f t="shared" si="87"/>
        <v>0</v>
      </c>
      <c r="I904" s="3" t="s">
        <v>3714</v>
      </c>
      <c r="J904" s="17">
        <f t="shared" si="88"/>
        <v>766</v>
      </c>
      <c r="K904" s="2">
        <f t="shared" si="89"/>
        <v>-137</v>
      </c>
      <c r="L904" s="12" t="s">
        <v>3714</v>
      </c>
    </row>
    <row r="905" spans="1:12" x14ac:dyDescent="0.25">
      <c r="A905" s="11" t="s">
        <v>2304</v>
      </c>
      <c r="B905" s="2" t="str">
        <f t="shared" si="84"/>
        <v>Frenzy Snr 2</v>
      </c>
      <c r="C905" s="3">
        <v>904</v>
      </c>
      <c r="D905" s="17" t="s">
        <v>903</v>
      </c>
      <c r="E905" s="2" t="str">
        <f t="shared" si="85"/>
        <v>MaxLow Kick1</v>
      </c>
      <c r="F905" s="12">
        <v>904</v>
      </c>
      <c r="G905" s="17">
        <f t="shared" si="86"/>
        <v>0</v>
      </c>
      <c r="H905" s="2">
        <f t="shared" si="87"/>
        <v>0</v>
      </c>
      <c r="I905" s="3" t="s">
        <v>3714</v>
      </c>
      <c r="J905" s="17">
        <f t="shared" si="88"/>
        <v>767</v>
      </c>
      <c r="K905" s="2">
        <f t="shared" si="89"/>
        <v>-137</v>
      </c>
      <c r="L905" s="12" t="s">
        <v>3714</v>
      </c>
    </row>
    <row r="906" spans="1:12" x14ac:dyDescent="0.25">
      <c r="A906" s="11" t="s">
        <v>2305</v>
      </c>
      <c r="B906" s="2" t="str">
        <f t="shared" si="84"/>
        <v>Slap Snr 1</v>
      </c>
      <c r="C906" s="3">
        <v>905</v>
      </c>
      <c r="D906" s="17" t="s">
        <v>904</v>
      </c>
      <c r="E906" s="2" t="str">
        <f t="shared" si="85"/>
        <v>MaxLow Kick2</v>
      </c>
      <c r="F906" s="12">
        <v>905</v>
      </c>
      <c r="G906" s="17">
        <f t="shared" si="86"/>
        <v>0</v>
      </c>
      <c r="H906" s="2">
        <f t="shared" si="87"/>
        <v>0</v>
      </c>
      <c r="I906" s="3" t="s">
        <v>3714</v>
      </c>
      <c r="J906" s="17">
        <f t="shared" si="88"/>
        <v>768</v>
      </c>
      <c r="K906" s="2">
        <f t="shared" si="89"/>
        <v>-137</v>
      </c>
      <c r="L906" s="12" t="s">
        <v>3714</v>
      </c>
    </row>
    <row r="907" spans="1:12" x14ac:dyDescent="0.25">
      <c r="A907" s="11" t="s">
        <v>2306</v>
      </c>
      <c r="B907" s="2" t="str">
        <f t="shared" si="84"/>
        <v>Keen Snr 1</v>
      </c>
      <c r="C907" s="3">
        <v>906</v>
      </c>
      <c r="D907" s="17" t="s">
        <v>905</v>
      </c>
      <c r="E907" s="2" t="str">
        <f t="shared" si="85"/>
        <v>Dist Kick</v>
      </c>
      <c r="F907" s="12">
        <v>906</v>
      </c>
      <c r="G907" s="17">
        <f t="shared" si="86"/>
        <v>0</v>
      </c>
      <c r="H907" s="2">
        <f t="shared" si="87"/>
        <v>0</v>
      </c>
      <c r="I907" s="3" t="s">
        <v>3714</v>
      </c>
      <c r="J907" s="17">
        <f t="shared" si="88"/>
        <v>770</v>
      </c>
      <c r="K907" s="2">
        <f t="shared" si="89"/>
        <v>-136</v>
      </c>
      <c r="L907" s="12" t="s">
        <v>3714</v>
      </c>
    </row>
    <row r="908" spans="1:12" x14ac:dyDescent="0.25">
      <c r="A908" s="11" t="s">
        <v>2307</v>
      </c>
      <c r="B908" s="2" t="str">
        <f t="shared" si="84"/>
        <v>Reggae Snr</v>
      </c>
      <c r="C908" s="3">
        <v>907</v>
      </c>
      <c r="D908" s="17" t="s">
        <v>906</v>
      </c>
      <c r="E908" s="2" t="str">
        <f t="shared" si="85"/>
        <v>FB Kick</v>
      </c>
      <c r="F908" s="12">
        <v>907</v>
      </c>
      <c r="G908" s="17">
        <f t="shared" si="86"/>
        <v>1073</v>
      </c>
      <c r="H908" s="2">
        <f t="shared" si="87"/>
        <v>166</v>
      </c>
      <c r="I908" s="3" t="s">
        <v>3714</v>
      </c>
      <c r="J908" s="17">
        <f t="shared" si="88"/>
        <v>771</v>
      </c>
      <c r="K908" s="2">
        <f t="shared" si="89"/>
        <v>-136</v>
      </c>
      <c r="L908" s="12" t="s">
        <v>3714</v>
      </c>
    </row>
    <row r="909" spans="1:12" x14ac:dyDescent="0.25">
      <c r="A909" s="11" t="s">
        <v>2308</v>
      </c>
      <c r="B909" s="2" t="str">
        <f t="shared" si="84"/>
        <v>DR660 Snr</v>
      </c>
      <c r="C909" s="3">
        <v>908</v>
      </c>
      <c r="D909" s="17" t="s">
        <v>907</v>
      </c>
      <c r="E909" s="2" t="str">
        <f t="shared" si="85"/>
        <v>Rough Kick1</v>
      </c>
      <c r="F909" s="12">
        <v>908</v>
      </c>
      <c r="G909" s="17">
        <f t="shared" si="86"/>
        <v>1074</v>
      </c>
      <c r="H909" s="2">
        <f t="shared" si="87"/>
        <v>166</v>
      </c>
      <c r="I909" s="3" t="s">
        <v>3714</v>
      </c>
      <c r="J909" s="17">
        <f t="shared" si="88"/>
        <v>772</v>
      </c>
      <c r="K909" s="2">
        <f t="shared" si="89"/>
        <v>-136</v>
      </c>
      <c r="L909" s="12" t="s">
        <v>3714</v>
      </c>
    </row>
    <row r="910" spans="1:12" x14ac:dyDescent="0.25">
      <c r="A910" s="11" t="s">
        <v>2309</v>
      </c>
      <c r="B910" s="2" t="str">
        <f t="shared" si="84"/>
        <v>Pop Snr p</v>
      </c>
      <c r="C910" s="3">
        <v>909</v>
      </c>
      <c r="D910" s="17" t="s">
        <v>908</v>
      </c>
      <c r="E910" s="2" t="str">
        <f t="shared" si="85"/>
        <v>Rough Kick2</v>
      </c>
      <c r="F910" s="12">
        <v>909</v>
      </c>
      <c r="G910" s="17">
        <f t="shared" si="86"/>
        <v>0</v>
      </c>
      <c r="H910" s="2">
        <f t="shared" si="87"/>
        <v>0</v>
      </c>
      <c r="I910" s="3" t="s">
        <v>3714</v>
      </c>
      <c r="J910" s="17">
        <f t="shared" si="88"/>
        <v>773</v>
      </c>
      <c r="K910" s="2">
        <f t="shared" si="89"/>
        <v>-136</v>
      </c>
      <c r="L910" s="12" t="s">
        <v>3714</v>
      </c>
    </row>
    <row r="911" spans="1:12" x14ac:dyDescent="0.25">
      <c r="A911" s="11" t="s">
        <v>2310</v>
      </c>
      <c r="B911" s="2" t="str">
        <f t="shared" si="84"/>
        <v>Pop Snr f</v>
      </c>
      <c r="C911" s="3">
        <v>910</v>
      </c>
      <c r="D911" s="17" t="s">
        <v>909</v>
      </c>
      <c r="E911" s="2" t="str">
        <f t="shared" si="85"/>
        <v>Rough Kick3</v>
      </c>
      <c r="F911" s="12">
        <v>910</v>
      </c>
      <c r="G911" s="17">
        <f t="shared" si="86"/>
        <v>0</v>
      </c>
      <c r="H911" s="2">
        <f t="shared" si="87"/>
        <v>0</v>
      </c>
      <c r="I911" s="3" t="s">
        <v>3714</v>
      </c>
      <c r="J911" s="17">
        <f t="shared" si="88"/>
        <v>774</v>
      </c>
      <c r="K911" s="2">
        <f t="shared" si="89"/>
        <v>-136</v>
      </c>
      <c r="L911" s="12" t="s">
        <v>3714</v>
      </c>
    </row>
    <row r="912" spans="1:12" x14ac:dyDescent="0.25">
      <c r="A912" s="11" t="s">
        <v>2311</v>
      </c>
      <c r="B912" s="2" t="str">
        <f t="shared" si="84"/>
        <v>Pop Snr Rim</v>
      </c>
      <c r="C912" s="3">
        <v>911</v>
      </c>
      <c r="D912" s="17" t="s">
        <v>910</v>
      </c>
      <c r="E912" s="2" t="str">
        <f t="shared" si="85"/>
        <v>PlasticKick1</v>
      </c>
      <c r="F912" s="12">
        <v>911</v>
      </c>
      <c r="G912" s="17">
        <f t="shared" si="86"/>
        <v>0</v>
      </c>
      <c r="H912" s="2">
        <f t="shared" si="87"/>
        <v>0</v>
      </c>
      <c r="I912" s="3" t="s">
        <v>3714</v>
      </c>
      <c r="J912" s="17">
        <f t="shared" si="88"/>
        <v>783</v>
      </c>
      <c r="K912" s="2">
        <f t="shared" si="89"/>
        <v>-128</v>
      </c>
      <c r="L912" s="12" t="s">
        <v>3714</v>
      </c>
    </row>
    <row r="913" spans="1:12" x14ac:dyDescent="0.25">
      <c r="A913" s="11" t="s">
        <v>2312</v>
      </c>
      <c r="B913" s="2" t="str">
        <f t="shared" si="84"/>
        <v>Med Snare</v>
      </c>
      <c r="C913" s="3">
        <v>912</v>
      </c>
      <c r="D913" s="17" t="s">
        <v>911</v>
      </c>
      <c r="E913" s="2" t="str">
        <f t="shared" si="85"/>
        <v>70's Kick</v>
      </c>
      <c r="F913" s="12">
        <v>912</v>
      </c>
      <c r="G913" s="17">
        <f t="shared" si="86"/>
        <v>0</v>
      </c>
      <c r="H913" s="2">
        <f t="shared" si="87"/>
        <v>0</v>
      </c>
      <c r="I913" s="3" t="s">
        <v>3714</v>
      </c>
      <c r="J913" s="17">
        <f t="shared" si="88"/>
        <v>786</v>
      </c>
      <c r="K913" s="2">
        <f t="shared" si="89"/>
        <v>-126</v>
      </c>
      <c r="L913" s="12" t="s">
        <v>3714</v>
      </c>
    </row>
    <row r="914" spans="1:12" x14ac:dyDescent="0.25">
      <c r="A914" s="11" t="s">
        <v>2313</v>
      </c>
      <c r="B914" s="2" t="str">
        <f t="shared" si="84"/>
        <v>Jngl pkt Snr</v>
      </c>
      <c r="C914" s="3">
        <v>913</v>
      </c>
      <c r="D914" s="17" t="s">
        <v>912</v>
      </c>
      <c r="E914" s="2" t="str">
        <f t="shared" si="85"/>
        <v>Dance Kick</v>
      </c>
      <c r="F914" s="12">
        <v>913</v>
      </c>
      <c r="G914" s="17">
        <f t="shared" si="86"/>
        <v>1075</v>
      </c>
      <c r="H914" s="2">
        <f t="shared" si="87"/>
        <v>162</v>
      </c>
      <c r="I914" s="3" t="s">
        <v>3714</v>
      </c>
      <c r="J914" s="17">
        <f t="shared" si="88"/>
        <v>788</v>
      </c>
      <c r="K914" s="2">
        <f t="shared" si="89"/>
        <v>-125</v>
      </c>
      <c r="L914" s="12" t="s">
        <v>3714</v>
      </c>
    </row>
    <row r="915" spans="1:12" x14ac:dyDescent="0.25">
      <c r="A915" s="11" t="s">
        <v>2314</v>
      </c>
      <c r="B915" s="2" t="str">
        <f t="shared" si="84"/>
        <v>Pocket Snr</v>
      </c>
      <c r="C915" s="3">
        <v>914</v>
      </c>
      <c r="D915" s="17" t="s">
        <v>913</v>
      </c>
      <c r="E915" s="2" t="str">
        <f t="shared" si="85"/>
        <v>HipHop Kick1</v>
      </c>
      <c r="F915" s="12">
        <v>914</v>
      </c>
      <c r="G915" s="17">
        <f t="shared" si="86"/>
        <v>1076</v>
      </c>
      <c r="H915" s="2">
        <f t="shared" si="87"/>
        <v>162</v>
      </c>
      <c r="I915" s="3" t="s">
        <v>3714</v>
      </c>
      <c r="J915" s="17">
        <f t="shared" si="88"/>
        <v>789</v>
      </c>
      <c r="K915" s="2">
        <f t="shared" si="89"/>
        <v>-125</v>
      </c>
      <c r="L915" s="12" t="s">
        <v>3714</v>
      </c>
    </row>
    <row r="916" spans="1:12" x14ac:dyDescent="0.25">
      <c r="A916" s="11" t="s">
        <v>2315</v>
      </c>
      <c r="B916" s="2" t="str">
        <f t="shared" si="84"/>
        <v>Flange Snr</v>
      </c>
      <c r="C916" s="3">
        <v>915</v>
      </c>
      <c r="D916" s="17" t="s">
        <v>914</v>
      </c>
      <c r="E916" s="2" t="str">
        <f t="shared" si="85"/>
        <v>HipHop Kick2</v>
      </c>
      <c r="F916" s="12">
        <v>915</v>
      </c>
      <c r="G916" s="17">
        <f t="shared" si="86"/>
        <v>1077</v>
      </c>
      <c r="H916" s="2">
        <f t="shared" si="87"/>
        <v>162</v>
      </c>
      <c r="I916" s="3" t="s">
        <v>3714</v>
      </c>
      <c r="J916" s="17">
        <f t="shared" si="88"/>
        <v>790</v>
      </c>
      <c r="K916" s="2">
        <f t="shared" si="89"/>
        <v>-125</v>
      </c>
      <c r="L916" s="12" t="s">
        <v>3714</v>
      </c>
    </row>
    <row r="917" spans="1:12" x14ac:dyDescent="0.25">
      <c r="A917" s="11" t="s">
        <v>2316</v>
      </c>
      <c r="B917" s="2" t="str">
        <f t="shared" si="84"/>
        <v>Slap Snr 2</v>
      </c>
      <c r="C917" s="3">
        <v>916</v>
      </c>
      <c r="D917" s="17" t="s">
        <v>915</v>
      </c>
      <c r="E917" s="2" t="str">
        <f t="shared" si="85"/>
        <v>AnalogKick 1</v>
      </c>
      <c r="F917" s="12">
        <v>916</v>
      </c>
      <c r="G917" s="17">
        <f t="shared" si="86"/>
        <v>0</v>
      </c>
      <c r="H917" s="2">
        <f t="shared" si="87"/>
        <v>0</v>
      </c>
      <c r="I917" s="3" t="s">
        <v>3714</v>
      </c>
      <c r="J917" s="17">
        <f t="shared" si="88"/>
        <v>794</v>
      </c>
      <c r="K917" s="2">
        <f t="shared" si="89"/>
        <v>-122</v>
      </c>
      <c r="L917" s="12" t="s">
        <v>3714</v>
      </c>
    </row>
    <row r="918" spans="1:12" x14ac:dyDescent="0.25">
      <c r="A918" s="11" t="s">
        <v>2317</v>
      </c>
      <c r="B918" s="2" t="str">
        <f t="shared" si="84"/>
        <v>Analog Snr 1</v>
      </c>
      <c r="C918" s="3">
        <v>917</v>
      </c>
      <c r="D918" s="17" t="s">
        <v>916</v>
      </c>
      <c r="E918" s="2" t="str">
        <f t="shared" si="85"/>
        <v>PlasticKick2</v>
      </c>
      <c r="F918" s="12">
        <v>917</v>
      </c>
      <c r="G918" s="17">
        <f t="shared" si="86"/>
        <v>1078</v>
      </c>
      <c r="H918" s="2">
        <f t="shared" si="87"/>
        <v>161</v>
      </c>
      <c r="I918" s="3" t="s">
        <v>3714</v>
      </c>
      <c r="J918" s="17">
        <f t="shared" si="88"/>
        <v>795</v>
      </c>
      <c r="K918" s="2">
        <f t="shared" si="89"/>
        <v>-122</v>
      </c>
      <c r="L918" s="12" t="s">
        <v>3714</v>
      </c>
    </row>
    <row r="919" spans="1:12" x14ac:dyDescent="0.25">
      <c r="A919" s="11" t="s">
        <v>2318</v>
      </c>
      <c r="B919" s="2" t="str">
        <f t="shared" si="84"/>
        <v>Analog Snr 2</v>
      </c>
      <c r="C919" s="3">
        <v>918</v>
      </c>
      <c r="D919" s="17" t="s">
        <v>917</v>
      </c>
      <c r="E919" s="2" t="str">
        <f t="shared" si="85"/>
        <v>PlasticKick3</v>
      </c>
      <c r="F919" s="12">
        <v>918</v>
      </c>
      <c r="G919" s="17">
        <f t="shared" si="86"/>
        <v>1079</v>
      </c>
      <c r="H919" s="2">
        <f t="shared" si="87"/>
        <v>161</v>
      </c>
      <c r="I919" s="3" t="s">
        <v>3714</v>
      </c>
      <c r="J919" s="17">
        <f t="shared" si="88"/>
        <v>796</v>
      </c>
      <c r="K919" s="2">
        <f t="shared" si="89"/>
        <v>-122</v>
      </c>
      <c r="L919" s="12" t="s">
        <v>3714</v>
      </c>
    </row>
    <row r="920" spans="1:12" x14ac:dyDescent="0.25">
      <c r="A920" s="11" t="s">
        <v>2319</v>
      </c>
      <c r="B920" s="2" t="str">
        <f t="shared" si="84"/>
        <v>Analog Snr 3</v>
      </c>
      <c r="C920" s="3">
        <v>919</v>
      </c>
      <c r="D920" s="17" t="s">
        <v>918</v>
      </c>
      <c r="E920" s="2" t="str">
        <f t="shared" si="85"/>
        <v>TR909 Kick 1</v>
      </c>
      <c r="F920" s="12">
        <v>919</v>
      </c>
      <c r="G920" s="17">
        <f t="shared" si="86"/>
        <v>1080</v>
      </c>
      <c r="H920" s="2">
        <f t="shared" si="87"/>
        <v>161</v>
      </c>
      <c r="I920" s="3" t="s">
        <v>3714</v>
      </c>
      <c r="J920" s="17">
        <f t="shared" si="88"/>
        <v>797</v>
      </c>
      <c r="K920" s="2">
        <f t="shared" si="89"/>
        <v>-122</v>
      </c>
      <c r="L920" s="12" t="s">
        <v>3714</v>
      </c>
    </row>
    <row r="921" spans="1:12" x14ac:dyDescent="0.25">
      <c r="A921" s="11" t="s">
        <v>2320</v>
      </c>
      <c r="B921" s="2" t="str">
        <f t="shared" si="84"/>
        <v>Jam Snr</v>
      </c>
      <c r="C921" s="3">
        <v>920</v>
      </c>
      <c r="D921" s="17" t="s">
        <v>919</v>
      </c>
      <c r="E921" s="2" t="str">
        <f t="shared" si="85"/>
        <v>TR909 Kick 2</v>
      </c>
      <c r="F921" s="12">
        <v>920</v>
      </c>
      <c r="G921" s="17">
        <f t="shared" si="86"/>
        <v>0</v>
      </c>
      <c r="H921" s="2">
        <f t="shared" si="87"/>
        <v>0</v>
      </c>
      <c r="I921" s="3" t="s">
        <v>3714</v>
      </c>
      <c r="J921" s="17">
        <f t="shared" si="88"/>
        <v>798</v>
      </c>
      <c r="K921" s="2">
        <f t="shared" si="89"/>
        <v>-122</v>
      </c>
      <c r="L921" s="12" t="s">
        <v>3714</v>
      </c>
    </row>
    <row r="922" spans="1:12" x14ac:dyDescent="0.25">
      <c r="A922" s="11" t="s">
        <v>2321</v>
      </c>
      <c r="B922" s="2" t="str">
        <f t="shared" si="84"/>
        <v>Back Snr</v>
      </c>
      <c r="C922" s="3">
        <v>921</v>
      </c>
      <c r="D922" s="17" t="s">
        <v>920</v>
      </c>
      <c r="E922" s="2" t="str">
        <f t="shared" si="85"/>
        <v>AnalogKick 2</v>
      </c>
      <c r="F922" s="12">
        <v>921</v>
      </c>
      <c r="G922" s="17">
        <f t="shared" si="86"/>
        <v>0</v>
      </c>
      <c r="H922" s="2">
        <f t="shared" si="87"/>
        <v>0</v>
      </c>
      <c r="I922" s="3" t="s">
        <v>3714</v>
      </c>
      <c r="J922" s="17">
        <f t="shared" si="88"/>
        <v>799</v>
      </c>
      <c r="K922" s="2">
        <f t="shared" si="89"/>
        <v>-122</v>
      </c>
      <c r="L922" s="12" t="s">
        <v>3714</v>
      </c>
    </row>
    <row r="923" spans="1:12" x14ac:dyDescent="0.25">
      <c r="A923" s="11" t="s">
        <v>2322</v>
      </c>
      <c r="B923" s="2" t="str">
        <f t="shared" si="84"/>
        <v>Keen Snr 2</v>
      </c>
      <c r="C923" s="3">
        <v>922</v>
      </c>
      <c r="D923" s="17" t="s">
        <v>921</v>
      </c>
      <c r="E923" s="2" t="str">
        <f t="shared" si="85"/>
        <v>TR909 Kick 3</v>
      </c>
      <c r="F923" s="12">
        <v>922</v>
      </c>
      <c r="G923" s="17">
        <f t="shared" si="86"/>
        <v>0</v>
      </c>
      <c r="H923" s="2">
        <f t="shared" si="87"/>
        <v>0</v>
      </c>
      <c r="I923" s="3" t="s">
        <v>3714</v>
      </c>
      <c r="J923" s="17">
        <f t="shared" si="88"/>
        <v>800</v>
      </c>
      <c r="K923" s="2">
        <f t="shared" si="89"/>
        <v>-122</v>
      </c>
      <c r="L923" s="12" t="s">
        <v>3714</v>
      </c>
    </row>
    <row r="924" spans="1:12" x14ac:dyDescent="0.25">
      <c r="A924" s="11" t="s">
        <v>2323</v>
      </c>
      <c r="B924" s="2" t="str">
        <f t="shared" si="84"/>
        <v>Boys Snr 1</v>
      </c>
      <c r="C924" s="3">
        <v>923</v>
      </c>
      <c r="D924" s="17" t="s">
        <v>922</v>
      </c>
      <c r="E924" s="2" t="str">
        <f t="shared" si="85"/>
        <v>AnalogKick 3</v>
      </c>
      <c r="F924" s="12">
        <v>923</v>
      </c>
      <c r="G924" s="17">
        <f t="shared" si="86"/>
        <v>0</v>
      </c>
      <c r="H924" s="2">
        <f t="shared" si="87"/>
        <v>0</v>
      </c>
      <c r="I924" s="3" t="s">
        <v>3714</v>
      </c>
      <c r="J924" s="17">
        <f t="shared" si="88"/>
        <v>801</v>
      </c>
      <c r="K924" s="2">
        <f t="shared" si="89"/>
        <v>-122</v>
      </c>
      <c r="L924" s="12" t="s">
        <v>3714</v>
      </c>
    </row>
    <row r="925" spans="1:12" x14ac:dyDescent="0.25">
      <c r="A925" s="11" t="s">
        <v>2324</v>
      </c>
      <c r="B925" s="2" t="str">
        <f t="shared" si="84"/>
        <v>Slap Snr 3</v>
      </c>
      <c r="C925" s="3">
        <v>924</v>
      </c>
      <c r="D925" s="17" t="s">
        <v>923</v>
      </c>
      <c r="E925" s="2" t="str">
        <f t="shared" si="85"/>
        <v>AnalogKick 4</v>
      </c>
      <c r="F925" s="12">
        <v>924</v>
      </c>
      <c r="G925" s="17">
        <f t="shared" si="86"/>
        <v>0</v>
      </c>
      <c r="H925" s="2">
        <f t="shared" si="87"/>
        <v>0</v>
      </c>
      <c r="I925" s="3" t="s">
        <v>3714</v>
      </c>
      <c r="J925" s="17">
        <f t="shared" si="88"/>
        <v>802</v>
      </c>
      <c r="K925" s="2">
        <f t="shared" si="89"/>
        <v>-122</v>
      </c>
      <c r="L925" s="12" t="s">
        <v>3714</v>
      </c>
    </row>
    <row r="926" spans="1:12" x14ac:dyDescent="0.25">
      <c r="A926" s="11" t="s">
        <v>2325</v>
      </c>
      <c r="B926" s="2" t="str">
        <f t="shared" si="84"/>
        <v>Neck Snr</v>
      </c>
      <c r="C926" s="3">
        <v>925</v>
      </c>
      <c r="D926" s="17" t="s">
        <v>924</v>
      </c>
      <c r="E926" s="2" t="str">
        <f t="shared" si="85"/>
        <v>AnalogKick 5</v>
      </c>
      <c r="F926" s="12">
        <v>925</v>
      </c>
      <c r="G926" s="17">
        <f t="shared" si="86"/>
        <v>0</v>
      </c>
      <c r="H926" s="2">
        <f t="shared" si="87"/>
        <v>0</v>
      </c>
      <c r="I926" s="3" t="s">
        <v>3714</v>
      </c>
      <c r="J926" s="17">
        <f t="shared" si="88"/>
        <v>803</v>
      </c>
      <c r="K926" s="2">
        <f t="shared" si="89"/>
        <v>-122</v>
      </c>
      <c r="L926" s="12" t="s">
        <v>3714</v>
      </c>
    </row>
    <row r="927" spans="1:12" x14ac:dyDescent="0.25">
      <c r="A927" s="11" t="s">
        <v>2326</v>
      </c>
      <c r="B927" s="2" t="str">
        <f t="shared" si="84"/>
        <v>Artful Snr</v>
      </c>
      <c r="C927" s="3">
        <v>926</v>
      </c>
      <c r="D927" s="17" t="s">
        <v>925</v>
      </c>
      <c r="E927" s="2" t="str">
        <f t="shared" si="85"/>
        <v>AnalogKick 6</v>
      </c>
      <c r="F927" s="12">
        <v>926</v>
      </c>
      <c r="G927" s="17">
        <f t="shared" si="86"/>
        <v>0</v>
      </c>
      <c r="H927" s="2">
        <f t="shared" si="87"/>
        <v>0</v>
      </c>
      <c r="I927" s="3" t="s">
        <v>3714</v>
      </c>
      <c r="J927" s="17">
        <f t="shared" si="88"/>
        <v>804</v>
      </c>
      <c r="K927" s="2">
        <f t="shared" si="89"/>
        <v>-122</v>
      </c>
      <c r="L927" s="12" t="s">
        <v>3714</v>
      </c>
    </row>
    <row r="928" spans="1:12" x14ac:dyDescent="0.25">
      <c r="A928" s="11" t="s">
        <v>2327</v>
      </c>
      <c r="B928" s="2" t="str">
        <f t="shared" si="84"/>
        <v>Pin Snr</v>
      </c>
      <c r="C928" s="3">
        <v>927</v>
      </c>
      <c r="D928" s="17" t="s">
        <v>926</v>
      </c>
      <c r="E928" s="2" t="str">
        <f t="shared" si="85"/>
        <v>TR606DstKick</v>
      </c>
      <c r="F928" s="12">
        <v>927</v>
      </c>
      <c r="G928" s="17">
        <f t="shared" si="86"/>
        <v>0</v>
      </c>
      <c r="H928" s="2">
        <f t="shared" si="87"/>
        <v>0</v>
      </c>
      <c r="I928" s="3" t="s">
        <v>3714</v>
      </c>
      <c r="J928" s="17">
        <f t="shared" si="88"/>
        <v>805</v>
      </c>
      <c r="K928" s="2">
        <f t="shared" si="89"/>
        <v>-122</v>
      </c>
      <c r="L928" s="12" t="s">
        <v>3714</v>
      </c>
    </row>
    <row r="929" spans="1:12" x14ac:dyDescent="0.25">
      <c r="A929" s="11" t="s">
        <v>2328</v>
      </c>
      <c r="B929" s="2" t="str">
        <f t="shared" si="84"/>
        <v>Chemical Snr</v>
      </c>
      <c r="C929" s="3">
        <v>928</v>
      </c>
      <c r="D929" s="17" t="s">
        <v>927</v>
      </c>
      <c r="E929" s="2" t="str">
        <f t="shared" si="85"/>
        <v>TR808 Kick</v>
      </c>
      <c r="F929" s="12">
        <v>928</v>
      </c>
      <c r="G929" s="17">
        <f t="shared" si="86"/>
        <v>0</v>
      </c>
      <c r="H929" s="2">
        <f t="shared" si="87"/>
        <v>0</v>
      </c>
      <c r="I929" s="3" t="s">
        <v>3714</v>
      </c>
      <c r="J929" s="17">
        <f t="shared" si="88"/>
        <v>806</v>
      </c>
      <c r="K929" s="2">
        <f t="shared" si="89"/>
        <v>-122</v>
      </c>
      <c r="L929" s="12" t="s">
        <v>3714</v>
      </c>
    </row>
    <row r="930" spans="1:12" x14ac:dyDescent="0.25">
      <c r="A930" s="11" t="s">
        <v>2329</v>
      </c>
      <c r="B930" s="2" t="str">
        <f t="shared" si="84"/>
        <v>Sizzle Snr</v>
      </c>
      <c r="C930" s="3">
        <v>929</v>
      </c>
      <c r="D930" s="17" t="s">
        <v>928</v>
      </c>
      <c r="E930" s="2" t="str">
        <f t="shared" si="85"/>
        <v>TR909 Kick 4</v>
      </c>
      <c r="F930" s="12">
        <v>929</v>
      </c>
      <c r="G930" s="17">
        <f t="shared" si="86"/>
        <v>0</v>
      </c>
      <c r="H930" s="2">
        <f t="shared" si="87"/>
        <v>0</v>
      </c>
      <c r="I930" s="3" t="s">
        <v>3714</v>
      </c>
      <c r="J930" s="17">
        <f t="shared" si="88"/>
        <v>807</v>
      </c>
      <c r="K930" s="2">
        <f t="shared" si="89"/>
        <v>-122</v>
      </c>
      <c r="L930" s="12" t="s">
        <v>3714</v>
      </c>
    </row>
    <row r="931" spans="1:12" x14ac:dyDescent="0.25">
      <c r="A931" s="11" t="s">
        <v>2330</v>
      </c>
      <c r="B931" s="2" t="str">
        <f t="shared" si="84"/>
        <v>Tiny Snare</v>
      </c>
      <c r="C931" s="3">
        <v>930</v>
      </c>
      <c r="D931" s="17" t="s">
        <v>929</v>
      </c>
      <c r="E931" s="2" t="str">
        <f t="shared" si="85"/>
        <v>TR909 Kick 5</v>
      </c>
      <c r="F931" s="12">
        <v>930</v>
      </c>
      <c r="G931" s="17">
        <f t="shared" si="86"/>
        <v>1081</v>
      </c>
      <c r="H931" s="2">
        <f t="shared" si="87"/>
        <v>151</v>
      </c>
      <c r="I931" s="3" t="s">
        <v>3714</v>
      </c>
      <c r="J931" s="17">
        <f t="shared" si="88"/>
        <v>808</v>
      </c>
      <c r="K931" s="2">
        <f t="shared" si="89"/>
        <v>-122</v>
      </c>
      <c r="L931" s="12" t="s">
        <v>3714</v>
      </c>
    </row>
    <row r="932" spans="1:12" x14ac:dyDescent="0.25">
      <c r="A932" s="11" t="s">
        <v>2331</v>
      </c>
      <c r="B932" s="2" t="str">
        <f t="shared" si="84"/>
        <v>R&amp;B Snare 1</v>
      </c>
      <c r="C932" s="3">
        <v>931</v>
      </c>
      <c r="D932" s="17" t="s">
        <v>930</v>
      </c>
      <c r="E932" s="2" t="str">
        <f t="shared" si="85"/>
        <v>SH32 Kick</v>
      </c>
      <c r="F932" s="12">
        <v>931</v>
      </c>
      <c r="G932" s="17">
        <f t="shared" si="86"/>
        <v>0</v>
      </c>
      <c r="H932" s="2">
        <f t="shared" si="87"/>
        <v>0</v>
      </c>
      <c r="I932" s="3" t="s">
        <v>3714</v>
      </c>
      <c r="J932" s="17">
        <f t="shared" si="88"/>
        <v>809</v>
      </c>
      <c r="K932" s="2">
        <f t="shared" si="89"/>
        <v>-122</v>
      </c>
      <c r="L932" s="12" t="s">
        <v>3714</v>
      </c>
    </row>
    <row r="933" spans="1:12" x14ac:dyDescent="0.25">
      <c r="A933" s="11" t="s">
        <v>2332</v>
      </c>
      <c r="B933" s="2" t="str">
        <f t="shared" si="84"/>
        <v>R&amp;B Snare 2</v>
      </c>
      <c r="C933" s="3">
        <v>932</v>
      </c>
      <c r="D933" s="17" t="s">
        <v>931</v>
      </c>
      <c r="E933" s="2" t="str">
        <f t="shared" si="85"/>
        <v>TR707 Kick</v>
      </c>
      <c r="F933" s="12">
        <v>932</v>
      </c>
      <c r="G933" s="17">
        <f t="shared" si="86"/>
        <v>0</v>
      </c>
      <c r="H933" s="2">
        <f t="shared" si="87"/>
        <v>0</v>
      </c>
      <c r="I933" s="3" t="s">
        <v>3714</v>
      </c>
      <c r="J933" s="17">
        <f t="shared" si="88"/>
        <v>810</v>
      </c>
      <c r="K933" s="2">
        <f t="shared" si="89"/>
        <v>-122</v>
      </c>
      <c r="L933" s="12" t="s">
        <v>3714</v>
      </c>
    </row>
    <row r="934" spans="1:12" x14ac:dyDescent="0.25">
      <c r="A934" s="11" t="s">
        <v>2333</v>
      </c>
      <c r="B934" s="2" t="str">
        <f t="shared" si="84"/>
        <v>Cross Snr</v>
      </c>
      <c r="C934" s="3">
        <v>933</v>
      </c>
      <c r="D934" s="17" t="s">
        <v>932</v>
      </c>
      <c r="E934" s="2" t="str">
        <f t="shared" si="85"/>
        <v>TR909 Kick 6</v>
      </c>
      <c r="F934" s="12">
        <v>933</v>
      </c>
      <c r="G934" s="17">
        <f t="shared" si="86"/>
        <v>0</v>
      </c>
      <c r="H934" s="2">
        <f t="shared" si="87"/>
        <v>0</v>
      </c>
      <c r="I934" s="3" t="s">
        <v>3714</v>
      </c>
      <c r="J934" s="17">
        <f t="shared" si="88"/>
        <v>811</v>
      </c>
      <c r="K934" s="2">
        <f t="shared" si="89"/>
        <v>-122</v>
      </c>
      <c r="L934" s="12" t="s">
        <v>3714</v>
      </c>
    </row>
    <row r="935" spans="1:12" x14ac:dyDescent="0.25">
      <c r="A935" s="11" t="s">
        <v>2334</v>
      </c>
      <c r="B935" s="2" t="str">
        <f t="shared" si="84"/>
        <v>Grave Snr</v>
      </c>
      <c r="C935" s="3">
        <v>934</v>
      </c>
      <c r="D935" s="17" t="s">
        <v>933</v>
      </c>
      <c r="E935" s="2" t="str">
        <f t="shared" si="85"/>
        <v>Mix Kick 1 L</v>
      </c>
      <c r="F935" s="12">
        <v>934</v>
      </c>
      <c r="G935" s="17">
        <f t="shared" si="86"/>
        <v>0</v>
      </c>
      <c r="H935" s="2">
        <f t="shared" si="87"/>
        <v>0</v>
      </c>
      <c r="I935" s="3" t="s">
        <v>3714</v>
      </c>
      <c r="J935" s="17">
        <f t="shared" si="88"/>
        <v>0</v>
      </c>
      <c r="K935" s="2">
        <f t="shared" si="89"/>
        <v>0</v>
      </c>
      <c r="L935" s="12" t="s">
        <v>3714</v>
      </c>
    </row>
    <row r="936" spans="1:12" x14ac:dyDescent="0.25">
      <c r="A936" s="11" t="s">
        <v>2335</v>
      </c>
      <c r="B936" s="2" t="str">
        <f t="shared" si="84"/>
        <v>Boys Snr 2</v>
      </c>
      <c r="C936" s="3">
        <v>935</v>
      </c>
      <c r="D936" s="17" t="s">
        <v>934</v>
      </c>
      <c r="E936" s="2" t="str">
        <f t="shared" si="85"/>
        <v>Mix Kick 1 R</v>
      </c>
      <c r="F936" s="12">
        <v>935</v>
      </c>
      <c r="G936" s="17">
        <f t="shared" si="86"/>
        <v>0</v>
      </c>
      <c r="H936" s="2">
        <f t="shared" si="87"/>
        <v>0</v>
      </c>
      <c r="I936" s="3" t="s">
        <v>3714</v>
      </c>
      <c r="J936" s="17">
        <f t="shared" si="88"/>
        <v>0</v>
      </c>
      <c r="K936" s="2">
        <f t="shared" si="89"/>
        <v>0</v>
      </c>
      <c r="L936" s="12" t="s">
        <v>3714</v>
      </c>
    </row>
    <row r="937" spans="1:12" x14ac:dyDescent="0.25">
      <c r="A937" s="11" t="s">
        <v>2336</v>
      </c>
      <c r="B937" s="2" t="str">
        <f t="shared" si="84"/>
        <v>Boys Snr 3</v>
      </c>
      <c r="C937" s="3">
        <v>936</v>
      </c>
      <c r="D937" s="17" t="s">
        <v>935</v>
      </c>
      <c r="E937" s="2" t="str">
        <f t="shared" si="85"/>
        <v>Mix Kick 2 L</v>
      </c>
      <c r="F937" s="12">
        <v>936</v>
      </c>
      <c r="G937" s="17">
        <f t="shared" si="86"/>
        <v>0</v>
      </c>
      <c r="H937" s="2">
        <f t="shared" si="87"/>
        <v>0</v>
      </c>
      <c r="I937" s="3" t="s">
        <v>3714</v>
      </c>
      <c r="J937" s="17">
        <f t="shared" si="88"/>
        <v>0</v>
      </c>
      <c r="K937" s="2">
        <f t="shared" si="89"/>
        <v>0</v>
      </c>
      <c r="L937" s="12" t="s">
        <v>3714</v>
      </c>
    </row>
    <row r="938" spans="1:12" x14ac:dyDescent="0.25">
      <c r="A938" s="11" t="s">
        <v>2337</v>
      </c>
      <c r="B938" s="2" t="str">
        <f t="shared" si="84"/>
        <v>Low Down Snr</v>
      </c>
      <c r="C938" s="3">
        <v>937</v>
      </c>
      <c r="D938" s="17" t="s">
        <v>936</v>
      </c>
      <c r="E938" s="2" t="str">
        <f t="shared" si="85"/>
        <v>Mix Kick 2 R</v>
      </c>
      <c r="F938" s="12">
        <v>937</v>
      </c>
      <c r="G938" s="17">
        <f t="shared" si="86"/>
        <v>0</v>
      </c>
      <c r="H938" s="2">
        <f t="shared" si="87"/>
        <v>0</v>
      </c>
      <c r="I938" s="3" t="s">
        <v>3714</v>
      </c>
      <c r="J938" s="17">
        <f t="shared" si="88"/>
        <v>0</v>
      </c>
      <c r="K938" s="2">
        <f t="shared" si="89"/>
        <v>0</v>
      </c>
      <c r="L938" s="12" t="s">
        <v>3714</v>
      </c>
    </row>
    <row r="939" spans="1:12" x14ac:dyDescent="0.25">
      <c r="A939" s="11" t="s">
        <v>2338</v>
      </c>
      <c r="B939" s="2" t="str">
        <f t="shared" si="84"/>
        <v>TR909 Snr 1</v>
      </c>
      <c r="C939" s="3">
        <v>938</v>
      </c>
      <c r="D939" s="17" t="s">
        <v>937</v>
      </c>
      <c r="E939" s="2" t="str">
        <f t="shared" si="85"/>
        <v>Mix Kick 3</v>
      </c>
      <c r="F939" s="12">
        <v>938</v>
      </c>
      <c r="G939" s="17">
        <f t="shared" si="86"/>
        <v>1083</v>
      </c>
      <c r="H939" s="2">
        <f t="shared" si="87"/>
        <v>145</v>
      </c>
      <c r="I939" s="3" t="s">
        <v>3714</v>
      </c>
      <c r="J939" s="17">
        <f t="shared" si="88"/>
        <v>0</v>
      </c>
      <c r="K939" s="2">
        <f t="shared" si="89"/>
        <v>0</v>
      </c>
      <c r="L939" s="12" t="s">
        <v>3714</v>
      </c>
    </row>
    <row r="940" spans="1:12" x14ac:dyDescent="0.25">
      <c r="A940" s="11" t="s">
        <v>2339</v>
      </c>
      <c r="B940" s="2" t="str">
        <f t="shared" si="84"/>
        <v>TR909 Snr 2</v>
      </c>
      <c r="C940" s="3">
        <v>939</v>
      </c>
      <c r="D940" s="17" t="s">
        <v>938</v>
      </c>
      <c r="E940" s="2" t="str">
        <f t="shared" si="85"/>
        <v>Mix Kick 4</v>
      </c>
      <c r="F940" s="12">
        <v>939</v>
      </c>
      <c r="G940" s="17">
        <f t="shared" si="86"/>
        <v>1084</v>
      </c>
      <c r="H940" s="2">
        <f t="shared" si="87"/>
        <v>145</v>
      </c>
      <c r="I940" s="3" t="s">
        <v>3714</v>
      </c>
      <c r="J940" s="17">
        <f t="shared" si="88"/>
        <v>0</v>
      </c>
      <c r="K940" s="2">
        <f t="shared" si="89"/>
        <v>0</v>
      </c>
      <c r="L940" s="12" t="s">
        <v>3714</v>
      </c>
    </row>
    <row r="941" spans="1:12" x14ac:dyDescent="0.25">
      <c r="A941" s="11" t="s">
        <v>2340</v>
      </c>
      <c r="B941" s="2" t="str">
        <f t="shared" si="84"/>
        <v>TR909 Snr 3</v>
      </c>
      <c r="C941" s="3">
        <v>940</v>
      </c>
      <c r="D941" s="17" t="s">
        <v>939</v>
      </c>
      <c r="E941" s="2" t="str">
        <f t="shared" si="85"/>
        <v>Mix Kick 5</v>
      </c>
      <c r="F941" s="12">
        <v>940</v>
      </c>
      <c r="G941" s="17">
        <f t="shared" si="86"/>
        <v>1085</v>
      </c>
      <c r="H941" s="2">
        <f t="shared" si="87"/>
        <v>145</v>
      </c>
      <c r="I941" s="3" t="s">
        <v>3714</v>
      </c>
      <c r="J941" s="17">
        <f t="shared" si="88"/>
        <v>0</v>
      </c>
      <c r="K941" s="2">
        <f t="shared" si="89"/>
        <v>0</v>
      </c>
      <c r="L941" s="12" t="s">
        <v>3714</v>
      </c>
    </row>
    <row r="942" spans="1:12" x14ac:dyDescent="0.25">
      <c r="A942" s="11" t="s">
        <v>2341</v>
      </c>
      <c r="B942" s="2" t="str">
        <f t="shared" si="84"/>
        <v>TR909 Snr 4</v>
      </c>
      <c r="C942" s="3">
        <v>941</v>
      </c>
      <c r="D942" s="17" t="s">
        <v>940</v>
      </c>
      <c r="E942" s="2" t="str">
        <f t="shared" si="85"/>
        <v>Dry Kick 4</v>
      </c>
      <c r="F942" s="12">
        <v>941</v>
      </c>
      <c r="G942" s="17">
        <f t="shared" si="86"/>
        <v>1086</v>
      </c>
      <c r="H942" s="2">
        <f t="shared" si="87"/>
        <v>145</v>
      </c>
      <c r="I942" s="3" t="s">
        <v>3714</v>
      </c>
      <c r="J942" s="17">
        <f t="shared" si="88"/>
        <v>0</v>
      </c>
      <c r="K942" s="2">
        <f t="shared" si="89"/>
        <v>0</v>
      </c>
      <c r="L942" s="12" t="s">
        <v>3714</v>
      </c>
    </row>
    <row r="943" spans="1:12" x14ac:dyDescent="0.25">
      <c r="A943" s="11" t="s">
        <v>2342</v>
      </c>
      <c r="B943" s="2" t="str">
        <f t="shared" si="84"/>
        <v>TR909 Snr 5</v>
      </c>
      <c r="C943" s="3">
        <v>942</v>
      </c>
      <c r="D943" s="17" t="s">
        <v>941</v>
      </c>
      <c r="E943" s="2" t="str">
        <f t="shared" si="85"/>
        <v>Small Kick</v>
      </c>
      <c r="F943" s="12">
        <v>942</v>
      </c>
      <c r="G943" s="17">
        <f t="shared" si="86"/>
        <v>1087</v>
      </c>
      <c r="H943" s="2">
        <f t="shared" si="87"/>
        <v>145</v>
      </c>
      <c r="I943" s="3" t="s">
        <v>3714</v>
      </c>
      <c r="J943" s="17">
        <f t="shared" si="88"/>
        <v>0</v>
      </c>
      <c r="K943" s="2">
        <f t="shared" si="89"/>
        <v>0</v>
      </c>
      <c r="L943" s="12" t="s">
        <v>3714</v>
      </c>
    </row>
    <row r="944" spans="1:12" x14ac:dyDescent="0.25">
      <c r="A944" s="11" t="s">
        <v>2343</v>
      </c>
      <c r="B944" s="2" t="str">
        <f t="shared" si="84"/>
        <v>TR909 Snr 6</v>
      </c>
      <c r="C944" s="3">
        <v>943</v>
      </c>
      <c r="D944" s="17" t="s">
        <v>942</v>
      </c>
      <c r="E944" s="2" t="str">
        <f t="shared" si="85"/>
        <v>Vint Kick</v>
      </c>
      <c r="F944" s="12">
        <v>943</v>
      </c>
      <c r="G944" s="17">
        <f t="shared" si="86"/>
        <v>1088</v>
      </c>
      <c r="H944" s="2">
        <f t="shared" si="87"/>
        <v>145</v>
      </c>
      <c r="I944" s="3" t="s">
        <v>3714</v>
      </c>
      <c r="J944" s="17">
        <f t="shared" si="88"/>
        <v>0</v>
      </c>
      <c r="K944" s="2">
        <f t="shared" si="89"/>
        <v>0</v>
      </c>
      <c r="L944" s="12" t="s">
        <v>3714</v>
      </c>
    </row>
    <row r="945" spans="1:12" x14ac:dyDescent="0.25">
      <c r="A945" s="11" t="s">
        <v>2344</v>
      </c>
      <c r="B945" s="2" t="str">
        <f t="shared" si="84"/>
        <v>TR808 Snr 1</v>
      </c>
      <c r="C945" s="3">
        <v>944</v>
      </c>
      <c r="D945" s="17" t="s">
        <v>943</v>
      </c>
      <c r="E945" s="2" t="str">
        <f t="shared" si="85"/>
        <v>Sweep Bass</v>
      </c>
      <c r="F945" s="12">
        <v>944</v>
      </c>
      <c r="G945" s="17">
        <f t="shared" si="86"/>
        <v>1089</v>
      </c>
      <c r="H945" s="2">
        <f t="shared" si="87"/>
        <v>145</v>
      </c>
      <c r="I945" s="3" t="s">
        <v>3714</v>
      </c>
      <c r="J945" s="17">
        <f t="shared" si="88"/>
        <v>0</v>
      </c>
      <c r="K945" s="2">
        <f t="shared" si="89"/>
        <v>0</v>
      </c>
      <c r="L945" s="12" t="s">
        <v>3714</v>
      </c>
    </row>
    <row r="946" spans="1:12" x14ac:dyDescent="0.25">
      <c r="A946" s="11" t="s">
        <v>2345</v>
      </c>
      <c r="B946" s="2" t="str">
        <f t="shared" si="84"/>
        <v>TR808 Snr 2</v>
      </c>
      <c r="C946" s="3">
        <v>945</v>
      </c>
      <c r="D946" s="17" t="s">
        <v>944</v>
      </c>
      <c r="E946" s="2" t="str">
        <f t="shared" si="85"/>
        <v>WD Snr p L</v>
      </c>
      <c r="F946" s="12">
        <v>945</v>
      </c>
      <c r="G946" s="17">
        <f t="shared" si="86"/>
        <v>1090</v>
      </c>
      <c r="H946" s="2">
        <f t="shared" si="87"/>
        <v>145</v>
      </c>
      <c r="I946" s="3" t="s">
        <v>3714</v>
      </c>
      <c r="J946" s="17">
        <f t="shared" si="88"/>
        <v>0</v>
      </c>
      <c r="K946" s="2">
        <f t="shared" si="89"/>
        <v>0</v>
      </c>
      <c r="L946" s="12" t="s">
        <v>3714</v>
      </c>
    </row>
    <row r="947" spans="1:12" x14ac:dyDescent="0.25">
      <c r="A947" s="11" t="s">
        <v>2346</v>
      </c>
      <c r="B947" s="2" t="str">
        <f t="shared" si="84"/>
        <v>TR808 Snr 3</v>
      </c>
      <c r="C947" s="3">
        <v>946</v>
      </c>
      <c r="D947" s="17" t="s">
        <v>945</v>
      </c>
      <c r="E947" s="2" t="str">
        <f t="shared" si="85"/>
        <v>WD Snr p R</v>
      </c>
      <c r="F947" s="12">
        <v>946</v>
      </c>
      <c r="G947" s="17">
        <f t="shared" si="86"/>
        <v>1091</v>
      </c>
      <c r="H947" s="2">
        <f t="shared" si="87"/>
        <v>145</v>
      </c>
      <c r="I947" s="3" t="s">
        <v>3714</v>
      </c>
      <c r="J947" s="17">
        <f t="shared" si="88"/>
        <v>0</v>
      </c>
      <c r="K947" s="2">
        <f t="shared" si="89"/>
        <v>0</v>
      </c>
      <c r="L947" s="12" t="s">
        <v>3714</v>
      </c>
    </row>
    <row r="948" spans="1:12" x14ac:dyDescent="0.25">
      <c r="A948" s="11" t="s">
        <v>2347</v>
      </c>
      <c r="B948" s="2" t="str">
        <f t="shared" si="84"/>
        <v>TR808 Snr 4</v>
      </c>
      <c r="C948" s="3">
        <v>947</v>
      </c>
      <c r="D948" s="17" t="s">
        <v>946</v>
      </c>
      <c r="E948" s="2" t="str">
        <f t="shared" si="85"/>
        <v>WD Snr mf L</v>
      </c>
      <c r="F948" s="12">
        <v>947</v>
      </c>
      <c r="G948" s="17">
        <f t="shared" si="86"/>
        <v>1092</v>
      </c>
      <c r="H948" s="2">
        <f t="shared" si="87"/>
        <v>145</v>
      </c>
      <c r="I948" s="3" t="s">
        <v>3714</v>
      </c>
      <c r="J948" s="17">
        <f t="shared" si="88"/>
        <v>0</v>
      </c>
      <c r="K948" s="2">
        <f t="shared" si="89"/>
        <v>0</v>
      </c>
      <c r="L948" s="12" t="s">
        <v>3714</v>
      </c>
    </row>
    <row r="949" spans="1:12" x14ac:dyDescent="0.25">
      <c r="A949" s="11" t="s">
        <v>2348</v>
      </c>
      <c r="B949" s="2" t="str">
        <f t="shared" si="84"/>
        <v>Lite Snare</v>
      </c>
      <c r="C949" s="3">
        <v>948</v>
      </c>
      <c r="D949" s="17" t="s">
        <v>947</v>
      </c>
      <c r="E949" s="2" t="str">
        <f t="shared" si="85"/>
        <v>WD Snr mf R</v>
      </c>
      <c r="F949" s="12">
        <v>948</v>
      </c>
      <c r="G949" s="17">
        <f t="shared" si="86"/>
        <v>1093</v>
      </c>
      <c r="H949" s="2">
        <f t="shared" si="87"/>
        <v>145</v>
      </c>
      <c r="I949" s="3" t="s">
        <v>3714</v>
      </c>
      <c r="J949" s="17">
        <f t="shared" si="88"/>
        <v>0</v>
      </c>
      <c r="K949" s="2">
        <f t="shared" si="89"/>
        <v>0</v>
      </c>
      <c r="L949" s="12" t="s">
        <v>3714</v>
      </c>
    </row>
    <row r="950" spans="1:12" x14ac:dyDescent="0.25">
      <c r="A950" s="11" t="s">
        <v>2349</v>
      </c>
      <c r="B950" s="2" t="str">
        <f t="shared" si="84"/>
        <v>TR808 Snr 5</v>
      </c>
      <c r="C950" s="3">
        <v>949</v>
      </c>
      <c r="D950" s="17" t="s">
        <v>948</v>
      </c>
      <c r="E950" s="2" t="str">
        <f t="shared" si="85"/>
        <v>WD Snr f L</v>
      </c>
      <c r="F950" s="12">
        <v>949</v>
      </c>
      <c r="G950" s="17">
        <f t="shared" si="86"/>
        <v>1094</v>
      </c>
      <c r="H950" s="2">
        <f t="shared" si="87"/>
        <v>145</v>
      </c>
      <c r="I950" s="3" t="s">
        <v>3714</v>
      </c>
      <c r="J950" s="17">
        <f t="shared" si="88"/>
        <v>0</v>
      </c>
      <c r="K950" s="2">
        <f t="shared" si="89"/>
        <v>0</v>
      </c>
      <c r="L950" s="12" t="s">
        <v>3714</v>
      </c>
    </row>
    <row r="951" spans="1:12" x14ac:dyDescent="0.25">
      <c r="A951" s="11" t="s">
        <v>2350</v>
      </c>
      <c r="B951" s="2" t="str">
        <f t="shared" si="84"/>
        <v>TR808 Snr 6</v>
      </c>
      <c r="C951" s="3">
        <v>950</v>
      </c>
      <c r="D951" s="17" t="s">
        <v>949</v>
      </c>
      <c r="E951" s="2" t="str">
        <f t="shared" si="85"/>
        <v>WD Snr f R</v>
      </c>
      <c r="F951" s="12">
        <v>950</v>
      </c>
      <c r="G951" s="17">
        <f t="shared" si="86"/>
        <v>1095</v>
      </c>
      <c r="H951" s="2">
        <f t="shared" si="87"/>
        <v>145</v>
      </c>
      <c r="I951" s="3" t="s">
        <v>3714</v>
      </c>
      <c r="J951" s="17">
        <f t="shared" si="88"/>
        <v>0</v>
      </c>
      <c r="K951" s="2">
        <f t="shared" si="89"/>
        <v>0</v>
      </c>
      <c r="L951" s="12" t="s">
        <v>3714</v>
      </c>
    </row>
    <row r="952" spans="1:12" x14ac:dyDescent="0.25">
      <c r="A952" s="11" t="s">
        <v>2351</v>
      </c>
      <c r="B952" s="2" t="str">
        <f t="shared" si="84"/>
        <v>TR808 Snr 7</v>
      </c>
      <c r="C952" s="3">
        <v>951</v>
      </c>
      <c r="D952" s="17" t="s">
        <v>950</v>
      </c>
      <c r="E952" s="2" t="str">
        <f t="shared" si="85"/>
        <v>WD Snr ff L</v>
      </c>
      <c r="F952" s="12">
        <v>951</v>
      </c>
      <c r="G952" s="17">
        <f t="shared" si="86"/>
        <v>0</v>
      </c>
      <c r="H952" s="2">
        <f t="shared" si="87"/>
        <v>0</v>
      </c>
      <c r="I952" s="3" t="s">
        <v>3714</v>
      </c>
      <c r="J952" s="17">
        <f t="shared" si="88"/>
        <v>0</v>
      </c>
      <c r="K952" s="2">
        <f t="shared" si="89"/>
        <v>0</v>
      </c>
      <c r="L952" s="12" t="s">
        <v>3714</v>
      </c>
    </row>
    <row r="953" spans="1:12" x14ac:dyDescent="0.25">
      <c r="A953" s="11" t="s">
        <v>2352</v>
      </c>
      <c r="B953" s="2" t="str">
        <f t="shared" si="84"/>
        <v>TR606 Snr 1</v>
      </c>
      <c r="C953" s="3">
        <v>952</v>
      </c>
      <c r="D953" s="17" t="s">
        <v>951</v>
      </c>
      <c r="E953" s="2" t="str">
        <f t="shared" si="85"/>
        <v>WD Snr ff R</v>
      </c>
      <c r="F953" s="12">
        <v>952</v>
      </c>
      <c r="G953" s="17">
        <f t="shared" si="86"/>
        <v>1096</v>
      </c>
      <c r="H953" s="2">
        <f t="shared" si="87"/>
        <v>144</v>
      </c>
      <c r="I953" s="3" t="s">
        <v>3714</v>
      </c>
      <c r="J953" s="17">
        <f t="shared" si="88"/>
        <v>0</v>
      </c>
      <c r="K953" s="2">
        <f t="shared" si="89"/>
        <v>0</v>
      </c>
      <c r="L953" s="12" t="s">
        <v>3714</v>
      </c>
    </row>
    <row r="954" spans="1:12" x14ac:dyDescent="0.25">
      <c r="A954" s="11" t="s">
        <v>2353</v>
      </c>
      <c r="B954" s="2" t="str">
        <f t="shared" si="84"/>
        <v>TR606 Snr 2</v>
      </c>
      <c r="C954" s="3">
        <v>953</v>
      </c>
      <c r="D954" s="17" t="s">
        <v>952</v>
      </c>
      <c r="E954" s="2" t="str">
        <f t="shared" si="85"/>
        <v>WD Rim p L</v>
      </c>
      <c r="F954" s="12">
        <v>953</v>
      </c>
      <c r="G954" s="17">
        <f t="shared" si="86"/>
        <v>1097</v>
      </c>
      <c r="H954" s="2">
        <f t="shared" si="87"/>
        <v>144</v>
      </c>
      <c r="I954" s="3" t="s">
        <v>3714</v>
      </c>
      <c r="J954" s="17">
        <f t="shared" si="88"/>
        <v>0</v>
      </c>
      <c r="K954" s="2">
        <f t="shared" si="89"/>
        <v>0</v>
      </c>
      <c r="L954" s="12" t="s">
        <v>3714</v>
      </c>
    </row>
    <row r="955" spans="1:12" x14ac:dyDescent="0.25">
      <c r="A955" s="11" t="s">
        <v>2354</v>
      </c>
      <c r="B955" s="2" t="str">
        <f t="shared" si="84"/>
        <v>CR78 Snare</v>
      </c>
      <c r="C955" s="3">
        <v>954</v>
      </c>
      <c r="D955" s="17" t="s">
        <v>953</v>
      </c>
      <c r="E955" s="2" t="str">
        <f t="shared" si="85"/>
        <v>WD Rim p R</v>
      </c>
      <c r="F955" s="12">
        <v>954</v>
      </c>
      <c r="G955" s="17">
        <f t="shared" si="86"/>
        <v>1098</v>
      </c>
      <c r="H955" s="2">
        <f t="shared" si="87"/>
        <v>144</v>
      </c>
      <c r="I955" s="3" t="s">
        <v>3714</v>
      </c>
      <c r="J955" s="17">
        <f t="shared" si="88"/>
        <v>0</v>
      </c>
      <c r="K955" s="2">
        <f t="shared" si="89"/>
        <v>0</v>
      </c>
      <c r="L955" s="12" t="s">
        <v>3714</v>
      </c>
    </row>
    <row r="956" spans="1:12" x14ac:dyDescent="0.25">
      <c r="A956" s="11" t="s">
        <v>2355</v>
      </c>
      <c r="B956" s="2" t="str">
        <f t="shared" si="84"/>
        <v>Urbn Sn Roll</v>
      </c>
      <c r="C956" s="3">
        <v>955</v>
      </c>
      <c r="D956" s="17" t="s">
        <v>954</v>
      </c>
      <c r="E956" s="2" t="str">
        <f t="shared" si="85"/>
        <v>WD Rim mf L</v>
      </c>
      <c r="F956" s="12">
        <v>955</v>
      </c>
      <c r="G956" s="17">
        <f t="shared" si="86"/>
        <v>1099</v>
      </c>
      <c r="H956" s="2">
        <f t="shared" si="87"/>
        <v>144</v>
      </c>
      <c r="I956" s="3" t="s">
        <v>3714</v>
      </c>
      <c r="J956" s="17">
        <f t="shared" si="88"/>
        <v>0</v>
      </c>
      <c r="K956" s="2">
        <f t="shared" si="89"/>
        <v>0</v>
      </c>
      <c r="L956" s="12" t="s">
        <v>3714</v>
      </c>
    </row>
    <row r="957" spans="1:12" x14ac:dyDescent="0.25">
      <c r="A957" s="11" t="s">
        <v>2356</v>
      </c>
      <c r="B957" s="2" t="str">
        <f t="shared" si="84"/>
        <v>Jngl SnrRoll</v>
      </c>
      <c r="C957" s="3">
        <v>956</v>
      </c>
      <c r="D957" s="17" t="s">
        <v>955</v>
      </c>
      <c r="E957" s="2" t="str">
        <f t="shared" si="85"/>
        <v>WD Rim mf R</v>
      </c>
      <c r="F957" s="12">
        <v>956</v>
      </c>
      <c r="G957" s="17">
        <f t="shared" si="86"/>
        <v>0</v>
      </c>
      <c r="H957" s="2">
        <f t="shared" si="87"/>
        <v>0</v>
      </c>
      <c r="I957" s="3" t="s">
        <v>3714</v>
      </c>
      <c r="J957" s="17">
        <f t="shared" si="88"/>
        <v>0</v>
      </c>
      <c r="K957" s="2">
        <f t="shared" si="89"/>
        <v>0</v>
      </c>
      <c r="L957" s="12" t="s">
        <v>3714</v>
      </c>
    </row>
    <row r="958" spans="1:12" x14ac:dyDescent="0.25">
      <c r="A958" s="11" t="s">
        <v>2357</v>
      </c>
      <c r="B958" s="2" t="str">
        <f t="shared" si="84"/>
        <v>Reg.Stick L</v>
      </c>
      <c r="C958" s="3">
        <v>957</v>
      </c>
      <c r="D958" s="17" t="s">
        <v>956</v>
      </c>
      <c r="E958" s="2" t="str">
        <f t="shared" si="85"/>
        <v>WD Rim f L</v>
      </c>
      <c r="F958" s="12">
        <v>957</v>
      </c>
      <c r="G958" s="17">
        <f t="shared" si="86"/>
        <v>1123</v>
      </c>
      <c r="H958" s="2">
        <f t="shared" si="87"/>
        <v>166</v>
      </c>
      <c r="I958" s="3" t="s">
        <v>3714</v>
      </c>
      <c r="J958" s="17">
        <f t="shared" si="88"/>
        <v>0</v>
      </c>
      <c r="K958" s="2">
        <f t="shared" si="89"/>
        <v>0</v>
      </c>
      <c r="L958" s="12" t="s">
        <v>3714</v>
      </c>
    </row>
    <row r="959" spans="1:12" x14ac:dyDescent="0.25">
      <c r="A959" s="11" t="s">
        <v>2358</v>
      </c>
      <c r="B959" s="2" t="str">
        <f t="shared" si="84"/>
        <v>Reg.Stick R</v>
      </c>
      <c r="C959" s="3">
        <v>958</v>
      </c>
      <c r="D959" s="17" t="s">
        <v>957</v>
      </c>
      <c r="E959" s="2" t="str">
        <f t="shared" si="85"/>
        <v>WD Rim f R</v>
      </c>
      <c r="F959" s="12">
        <v>958</v>
      </c>
      <c r="G959" s="17">
        <f t="shared" si="86"/>
        <v>1124</v>
      </c>
      <c r="H959" s="2">
        <f t="shared" si="87"/>
        <v>166</v>
      </c>
      <c r="I959" s="3" t="s">
        <v>3714</v>
      </c>
      <c r="J959" s="17">
        <f t="shared" si="88"/>
        <v>0</v>
      </c>
      <c r="K959" s="2">
        <f t="shared" si="89"/>
        <v>0</v>
      </c>
      <c r="L959" s="12" t="s">
        <v>3714</v>
      </c>
    </row>
    <row r="960" spans="1:12" x14ac:dyDescent="0.25">
      <c r="A960" s="11" t="s">
        <v>2359</v>
      </c>
      <c r="B960" s="2" t="str">
        <f t="shared" si="84"/>
        <v>Soft Stick</v>
      </c>
      <c r="C960" s="3">
        <v>959</v>
      </c>
      <c r="D960" s="17" t="s">
        <v>958</v>
      </c>
      <c r="E960" s="2" t="str">
        <f t="shared" si="85"/>
        <v>WD Rim ff L</v>
      </c>
      <c r="F960" s="12">
        <v>959</v>
      </c>
      <c r="G960" s="17">
        <f t="shared" si="86"/>
        <v>1125</v>
      </c>
      <c r="H960" s="2">
        <f t="shared" si="87"/>
        <v>166</v>
      </c>
      <c r="I960" s="3" t="s">
        <v>3714</v>
      </c>
      <c r="J960" s="17">
        <f t="shared" si="88"/>
        <v>0</v>
      </c>
      <c r="K960" s="2">
        <f t="shared" si="89"/>
        <v>0</v>
      </c>
      <c r="L960" s="12" t="s">
        <v>3714</v>
      </c>
    </row>
    <row r="961" spans="1:12" x14ac:dyDescent="0.25">
      <c r="A961" s="11" t="s">
        <v>2360</v>
      </c>
      <c r="B961" s="2" t="str">
        <f t="shared" si="84"/>
        <v>Hard Stick</v>
      </c>
      <c r="C961" s="3">
        <v>960</v>
      </c>
      <c r="D961" s="17" t="s">
        <v>959</v>
      </c>
      <c r="E961" s="2" t="str">
        <f t="shared" si="85"/>
        <v>WD Rim ff R</v>
      </c>
      <c r="F961" s="12">
        <v>960</v>
      </c>
      <c r="G961" s="17">
        <f t="shared" si="86"/>
        <v>1126</v>
      </c>
      <c r="H961" s="2">
        <f t="shared" si="87"/>
        <v>166</v>
      </c>
      <c r="I961" s="3" t="s">
        <v>3714</v>
      </c>
      <c r="J961" s="17">
        <f t="shared" si="88"/>
        <v>0</v>
      </c>
      <c r="K961" s="2">
        <f t="shared" si="89"/>
        <v>0</v>
      </c>
      <c r="L961" s="12" t="s">
        <v>3714</v>
      </c>
    </row>
    <row r="962" spans="1:12" x14ac:dyDescent="0.25">
      <c r="A962" s="11" t="s">
        <v>2361</v>
      </c>
      <c r="B962" s="2" t="str">
        <f t="shared" ref="B962:B1025" si="90">_xlfn.TEXTAFTER(A962," ",1)</f>
        <v>Wild Stick</v>
      </c>
      <c r="C962" s="3">
        <v>961</v>
      </c>
      <c r="D962" s="17" t="s">
        <v>960</v>
      </c>
      <c r="E962" s="2" t="str">
        <f t="shared" ref="E962:E1025" si="91">_xlfn.TEXTAFTER(D962," ",1)</f>
        <v>LD Snr p L</v>
      </c>
      <c r="F962" s="12">
        <v>961</v>
      </c>
      <c r="G962" s="17">
        <f t="shared" si="86"/>
        <v>1127</v>
      </c>
      <c r="H962" s="2">
        <f t="shared" si="87"/>
        <v>166</v>
      </c>
      <c r="I962" s="3" t="s">
        <v>3714</v>
      </c>
      <c r="J962" s="17">
        <f t="shared" si="88"/>
        <v>0</v>
      </c>
      <c r="K962" s="2">
        <f t="shared" si="89"/>
        <v>0</v>
      </c>
      <c r="L962" s="12" t="s">
        <v>3714</v>
      </c>
    </row>
    <row r="963" spans="1:12" x14ac:dyDescent="0.25">
      <c r="A963" s="11" t="s">
        <v>2362</v>
      </c>
      <c r="B963" s="2" t="str">
        <f t="shared" si="90"/>
        <v>Rock Stick</v>
      </c>
      <c r="C963" s="3">
        <v>962</v>
      </c>
      <c r="D963" s="17" t="s">
        <v>961</v>
      </c>
      <c r="E963" s="2" t="str">
        <f t="shared" si="91"/>
        <v>LD Snr p R</v>
      </c>
      <c r="F963" s="12">
        <v>962</v>
      </c>
      <c r="G963" s="17">
        <f t="shared" ref="G963:G1026" si="92">_xlfn.IFNA(_xlfn.XMATCH(B963,E$2:E$1402,0,1),0)</f>
        <v>0</v>
      </c>
      <c r="H963" s="2">
        <f t="shared" ref="H963:H1026" si="93">IF(G963=0,0,G963-C963)</f>
        <v>0</v>
      </c>
      <c r="I963" s="3" t="s">
        <v>3714</v>
      </c>
      <c r="J963" s="17">
        <f t="shared" ref="J963:J1026" si="94">_xlfn.IFNA(_xlfn.XMATCH(E963,B$2:B$1229,0,1),0)</f>
        <v>0</v>
      </c>
      <c r="K963" s="2">
        <f t="shared" ref="K963:K1026" si="95">IF(J963=0,0,J963-F963)</f>
        <v>0</v>
      </c>
      <c r="L963" s="12" t="s">
        <v>3714</v>
      </c>
    </row>
    <row r="964" spans="1:12" x14ac:dyDescent="0.25">
      <c r="A964" s="11" t="s">
        <v>2363</v>
      </c>
      <c r="B964" s="2" t="str">
        <f t="shared" si="90"/>
        <v>Lo-Bit Stk 1</v>
      </c>
      <c r="C964" s="3">
        <v>963</v>
      </c>
      <c r="D964" s="17" t="s">
        <v>962</v>
      </c>
      <c r="E964" s="2" t="str">
        <f t="shared" si="91"/>
        <v>LD Snr mf L</v>
      </c>
      <c r="F964" s="12">
        <v>963</v>
      </c>
      <c r="G964" s="17">
        <f t="shared" si="92"/>
        <v>1128</v>
      </c>
      <c r="H964" s="2">
        <f t="shared" si="93"/>
        <v>165</v>
      </c>
      <c r="I964" s="3" t="s">
        <v>3714</v>
      </c>
      <c r="J964" s="17">
        <f t="shared" si="94"/>
        <v>0</v>
      </c>
      <c r="K964" s="2">
        <f t="shared" si="95"/>
        <v>0</v>
      </c>
      <c r="L964" s="12" t="s">
        <v>3714</v>
      </c>
    </row>
    <row r="965" spans="1:12" x14ac:dyDescent="0.25">
      <c r="A965" s="11" t="s">
        <v>2364</v>
      </c>
      <c r="B965" s="2" t="str">
        <f t="shared" si="90"/>
        <v>Lo-Bit Stk 2</v>
      </c>
      <c r="C965" s="3">
        <v>964</v>
      </c>
      <c r="D965" s="17" t="s">
        <v>963</v>
      </c>
      <c r="E965" s="2" t="str">
        <f t="shared" si="91"/>
        <v>LD Snr mf R</v>
      </c>
      <c r="F965" s="12">
        <v>964</v>
      </c>
      <c r="G965" s="17">
        <f t="shared" si="92"/>
        <v>1129</v>
      </c>
      <c r="H965" s="2">
        <f t="shared" si="93"/>
        <v>165</v>
      </c>
      <c r="I965" s="3" t="s">
        <v>3714</v>
      </c>
      <c r="J965" s="17">
        <f t="shared" si="94"/>
        <v>0</v>
      </c>
      <c r="K965" s="2">
        <f t="shared" si="95"/>
        <v>0</v>
      </c>
      <c r="L965" s="12" t="s">
        <v>3714</v>
      </c>
    </row>
    <row r="966" spans="1:12" x14ac:dyDescent="0.25">
      <c r="A966" s="11" t="s">
        <v>2365</v>
      </c>
      <c r="B966" s="2" t="str">
        <f t="shared" si="90"/>
        <v>Lo-Bit Stk 3</v>
      </c>
      <c r="C966" s="3">
        <v>965</v>
      </c>
      <c r="D966" s="17" t="s">
        <v>964</v>
      </c>
      <c r="E966" s="2" t="str">
        <f t="shared" si="91"/>
        <v>LD Snr f L</v>
      </c>
      <c r="F966" s="12">
        <v>965</v>
      </c>
      <c r="G966" s="17">
        <f t="shared" si="92"/>
        <v>0</v>
      </c>
      <c r="H966" s="2">
        <f t="shared" si="93"/>
        <v>0</v>
      </c>
      <c r="I966" s="3" t="s">
        <v>3714</v>
      </c>
      <c r="J966" s="17">
        <f t="shared" si="94"/>
        <v>0</v>
      </c>
      <c r="K966" s="2">
        <f t="shared" si="95"/>
        <v>0</v>
      </c>
      <c r="L966" s="12" t="s">
        <v>3714</v>
      </c>
    </row>
    <row r="967" spans="1:12" x14ac:dyDescent="0.25">
      <c r="A967" s="11" t="s">
        <v>2366</v>
      </c>
      <c r="B967" s="2" t="str">
        <f t="shared" si="90"/>
        <v>Lo-Bit Stk 4</v>
      </c>
      <c r="C967" s="3">
        <v>966</v>
      </c>
      <c r="D967" s="17" t="s">
        <v>965</v>
      </c>
      <c r="E967" s="2" t="str">
        <f t="shared" si="91"/>
        <v>LD Snr f R</v>
      </c>
      <c r="F967" s="12">
        <v>966</v>
      </c>
      <c r="G967" s="17">
        <f t="shared" si="92"/>
        <v>0</v>
      </c>
      <c r="H967" s="2">
        <f t="shared" si="93"/>
        <v>0</v>
      </c>
      <c r="I967" s="3" t="s">
        <v>3714</v>
      </c>
      <c r="J967" s="17">
        <f t="shared" si="94"/>
        <v>0</v>
      </c>
      <c r="K967" s="2">
        <f t="shared" si="95"/>
        <v>0</v>
      </c>
      <c r="L967" s="12" t="s">
        <v>3714</v>
      </c>
    </row>
    <row r="968" spans="1:12" x14ac:dyDescent="0.25">
      <c r="A968" s="11" t="s">
        <v>2367</v>
      </c>
      <c r="B968" s="2" t="str">
        <f t="shared" si="90"/>
        <v>Dry Stick 1</v>
      </c>
      <c r="C968" s="3">
        <v>967</v>
      </c>
      <c r="D968" s="17" t="s">
        <v>966</v>
      </c>
      <c r="E968" s="2" t="str">
        <f t="shared" si="91"/>
        <v>LD Snr ff L</v>
      </c>
      <c r="F968" s="12">
        <v>967</v>
      </c>
      <c r="G968" s="17">
        <f t="shared" si="92"/>
        <v>1130</v>
      </c>
      <c r="H968" s="2">
        <f t="shared" si="93"/>
        <v>163</v>
      </c>
      <c r="I968" s="3" t="s">
        <v>3714</v>
      </c>
      <c r="J968" s="17">
        <f t="shared" si="94"/>
        <v>0</v>
      </c>
      <c r="K968" s="2">
        <f t="shared" si="95"/>
        <v>0</v>
      </c>
      <c r="L968" s="12" t="s">
        <v>3714</v>
      </c>
    </row>
    <row r="969" spans="1:12" x14ac:dyDescent="0.25">
      <c r="A969" s="11" t="s">
        <v>2368</v>
      </c>
      <c r="B969" s="2" t="str">
        <f t="shared" si="90"/>
        <v>Dry Stick 2</v>
      </c>
      <c r="C969" s="3">
        <v>968</v>
      </c>
      <c r="D969" s="17" t="s">
        <v>967</v>
      </c>
      <c r="E969" s="2" t="str">
        <f t="shared" si="91"/>
        <v>LD Snr ff R</v>
      </c>
      <c r="F969" s="12">
        <v>968</v>
      </c>
      <c r="G969" s="17">
        <f t="shared" si="92"/>
        <v>1131</v>
      </c>
      <c r="H969" s="2">
        <f t="shared" si="93"/>
        <v>163</v>
      </c>
      <c r="I969" s="3" t="s">
        <v>3714</v>
      </c>
      <c r="J969" s="17">
        <f t="shared" si="94"/>
        <v>0</v>
      </c>
      <c r="K969" s="2">
        <f t="shared" si="95"/>
        <v>0</v>
      </c>
      <c r="L969" s="12" t="s">
        <v>3714</v>
      </c>
    </row>
    <row r="970" spans="1:12" x14ac:dyDescent="0.25">
      <c r="A970" s="11" t="s">
        <v>2369</v>
      </c>
      <c r="B970" s="2" t="str">
        <f t="shared" si="90"/>
        <v>Dry Stick 3</v>
      </c>
      <c r="C970" s="3">
        <v>969</v>
      </c>
      <c r="D970" s="17" t="s">
        <v>968</v>
      </c>
      <c r="E970" s="2" t="str">
        <f t="shared" si="91"/>
        <v>LD Rim mf L</v>
      </c>
      <c r="F970" s="12">
        <v>969</v>
      </c>
      <c r="G970" s="17">
        <f t="shared" si="92"/>
        <v>1132</v>
      </c>
      <c r="H970" s="2">
        <f t="shared" si="93"/>
        <v>163</v>
      </c>
      <c r="I970" s="3" t="s">
        <v>3714</v>
      </c>
      <c r="J970" s="17">
        <f t="shared" si="94"/>
        <v>0</v>
      </c>
      <c r="K970" s="2">
        <f t="shared" si="95"/>
        <v>0</v>
      </c>
      <c r="L970" s="12" t="s">
        <v>3714</v>
      </c>
    </row>
    <row r="971" spans="1:12" x14ac:dyDescent="0.25">
      <c r="A971" s="11" t="s">
        <v>2370</v>
      </c>
      <c r="B971" s="2" t="str">
        <f t="shared" si="90"/>
        <v>Dry Stick 4</v>
      </c>
      <c r="C971" s="3">
        <v>970</v>
      </c>
      <c r="D971" s="17" t="s">
        <v>969</v>
      </c>
      <c r="E971" s="2" t="str">
        <f t="shared" si="91"/>
        <v>LD Rim mf R</v>
      </c>
      <c r="F971" s="12">
        <v>970</v>
      </c>
      <c r="G971" s="17">
        <f t="shared" si="92"/>
        <v>0</v>
      </c>
      <c r="H971" s="2">
        <f t="shared" si="93"/>
        <v>0</v>
      </c>
      <c r="I971" s="3" t="s">
        <v>3714</v>
      </c>
      <c r="J971" s="17">
        <f t="shared" si="94"/>
        <v>0</v>
      </c>
      <c r="K971" s="2">
        <f t="shared" si="95"/>
        <v>0</v>
      </c>
      <c r="L971" s="12" t="s">
        <v>3714</v>
      </c>
    </row>
    <row r="972" spans="1:12" x14ac:dyDescent="0.25">
      <c r="A972" s="11" t="s">
        <v>2371</v>
      </c>
      <c r="B972" s="2" t="str">
        <f t="shared" si="90"/>
        <v>Dry Stick 5</v>
      </c>
      <c r="C972" s="3">
        <v>971</v>
      </c>
      <c r="D972" s="17" t="s">
        <v>970</v>
      </c>
      <c r="E972" s="2" t="str">
        <f t="shared" si="91"/>
        <v>LD Rim f L</v>
      </c>
      <c r="F972" s="12">
        <v>971</v>
      </c>
      <c r="G972" s="17">
        <f t="shared" si="92"/>
        <v>0</v>
      </c>
      <c r="H972" s="2">
        <f t="shared" si="93"/>
        <v>0</v>
      </c>
      <c r="I972" s="3" t="s">
        <v>3714</v>
      </c>
      <c r="J972" s="17">
        <f t="shared" si="94"/>
        <v>0</v>
      </c>
      <c r="K972" s="2">
        <f t="shared" si="95"/>
        <v>0</v>
      </c>
      <c r="L972" s="12" t="s">
        <v>3714</v>
      </c>
    </row>
    <row r="973" spans="1:12" x14ac:dyDescent="0.25">
      <c r="A973" s="11" t="s">
        <v>2372</v>
      </c>
      <c r="B973" s="2" t="str">
        <f t="shared" si="90"/>
        <v>R8 Comp Rim</v>
      </c>
      <c r="C973" s="3">
        <v>972</v>
      </c>
      <c r="D973" s="17" t="s">
        <v>971</v>
      </c>
      <c r="E973" s="2" t="str">
        <f t="shared" si="91"/>
        <v>LD Rim f R</v>
      </c>
      <c r="F973" s="12">
        <v>972</v>
      </c>
      <c r="G973" s="17">
        <f t="shared" si="92"/>
        <v>1133</v>
      </c>
      <c r="H973" s="2">
        <f t="shared" si="93"/>
        <v>161</v>
      </c>
      <c r="I973" s="3" t="s">
        <v>3714</v>
      </c>
      <c r="J973" s="17">
        <f t="shared" si="94"/>
        <v>0</v>
      </c>
      <c r="K973" s="2">
        <f t="shared" si="95"/>
        <v>0</v>
      </c>
      <c r="L973" s="12" t="s">
        <v>3714</v>
      </c>
    </row>
    <row r="974" spans="1:12" x14ac:dyDescent="0.25">
      <c r="A974" s="11" t="s">
        <v>2373</v>
      </c>
      <c r="B974" s="2" t="str">
        <f t="shared" si="90"/>
        <v>R&amp;B Rim 1</v>
      </c>
      <c r="C974" s="3">
        <v>973</v>
      </c>
      <c r="D974" s="17" t="s">
        <v>972</v>
      </c>
      <c r="E974" s="2" t="str">
        <f t="shared" si="91"/>
        <v>LD Rim ff L</v>
      </c>
      <c r="F974" s="12">
        <v>973</v>
      </c>
      <c r="G974" s="17">
        <f t="shared" si="92"/>
        <v>0</v>
      </c>
      <c r="H974" s="2">
        <f t="shared" si="93"/>
        <v>0</v>
      </c>
      <c r="I974" s="3" t="s">
        <v>3714</v>
      </c>
      <c r="J974" s="17">
        <f t="shared" si="94"/>
        <v>0</v>
      </c>
      <c r="K974" s="2">
        <f t="shared" si="95"/>
        <v>0</v>
      </c>
      <c r="L974" s="12" t="s">
        <v>3714</v>
      </c>
    </row>
    <row r="975" spans="1:12" x14ac:dyDescent="0.25">
      <c r="A975" s="11" t="s">
        <v>2374</v>
      </c>
      <c r="B975" s="2" t="str">
        <f t="shared" si="90"/>
        <v>R&amp;B Rim 2</v>
      </c>
      <c r="C975" s="3">
        <v>974</v>
      </c>
      <c r="D975" s="17" t="s">
        <v>973</v>
      </c>
      <c r="E975" s="2" t="str">
        <f t="shared" si="91"/>
        <v>LD Rim ff R</v>
      </c>
      <c r="F975" s="12">
        <v>974</v>
      </c>
      <c r="G975" s="17">
        <f t="shared" si="92"/>
        <v>0</v>
      </c>
      <c r="H975" s="2">
        <f t="shared" si="93"/>
        <v>0</v>
      </c>
      <c r="I975" s="3" t="s">
        <v>3714</v>
      </c>
      <c r="J975" s="17">
        <f t="shared" si="94"/>
        <v>0</v>
      </c>
      <c r="K975" s="2">
        <f t="shared" si="95"/>
        <v>0</v>
      </c>
      <c r="L975" s="12" t="s">
        <v>3714</v>
      </c>
    </row>
    <row r="976" spans="1:12" x14ac:dyDescent="0.25">
      <c r="A976" s="11" t="s">
        <v>2375</v>
      </c>
      <c r="B976" s="2" t="str">
        <f t="shared" si="90"/>
        <v>R&amp;B Rim 3</v>
      </c>
      <c r="C976" s="3">
        <v>975</v>
      </c>
      <c r="D976" s="17" t="s">
        <v>974</v>
      </c>
      <c r="E976" s="2" t="str">
        <f t="shared" si="91"/>
        <v>TY Snr p L</v>
      </c>
      <c r="F976" s="12">
        <v>975</v>
      </c>
      <c r="G976" s="17">
        <f t="shared" si="92"/>
        <v>0</v>
      </c>
      <c r="H976" s="2">
        <f t="shared" si="93"/>
        <v>0</v>
      </c>
      <c r="I976" s="3" t="s">
        <v>3714</v>
      </c>
      <c r="J976" s="17">
        <f t="shared" si="94"/>
        <v>0</v>
      </c>
      <c r="K976" s="2">
        <f t="shared" si="95"/>
        <v>0</v>
      </c>
      <c r="L976" s="12" t="s">
        <v>3714</v>
      </c>
    </row>
    <row r="977" spans="1:12" x14ac:dyDescent="0.25">
      <c r="A977" s="11" t="s">
        <v>2376</v>
      </c>
      <c r="B977" s="2" t="str">
        <f t="shared" si="90"/>
        <v>Neck Rim</v>
      </c>
      <c r="C977" s="3">
        <v>976</v>
      </c>
      <c r="D977" s="17" t="s">
        <v>975</v>
      </c>
      <c r="E977" s="2" t="str">
        <f t="shared" si="91"/>
        <v>TY Snr p R</v>
      </c>
      <c r="F977" s="12">
        <v>976</v>
      </c>
      <c r="G977" s="17">
        <f t="shared" si="92"/>
        <v>0</v>
      </c>
      <c r="H977" s="2">
        <f t="shared" si="93"/>
        <v>0</v>
      </c>
      <c r="I977" s="3" t="s">
        <v>3714</v>
      </c>
      <c r="J977" s="17">
        <f t="shared" si="94"/>
        <v>0</v>
      </c>
      <c r="K977" s="2">
        <f t="shared" si="95"/>
        <v>0</v>
      </c>
      <c r="L977" s="12" t="s">
        <v>3714</v>
      </c>
    </row>
    <row r="978" spans="1:12" x14ac:dyDescent="0.25">
      <c r="A978" s="11" t="s">
        <v>2377</v>
      </c>
      <c r="B978" s="2" t="str">
        <f t="shared" si="90"/>
        <v>Swag Rim</v>
      </c>
      <c r="C978" s="3">
        <v>977</v>
      </c>
      <c r="D978" s="17" t="s">
        <v>976</v>
      </c>
      <c r="E978" s="2" t="str">
        <f t="shared" si="91"/>
        <v>TY Snr mf L</v>
      </c>
      <c r="F978" s="12">
        <v>977</v>
      </c>
      <c r="G978" s="17">
        <f t="shared" si="92"/>
        <v>0</v>
      </c>
      <c r="H978" s="2">
        <f t="shared" si="93"/>
        <v>0</v>
      </c>
      <c r="I978" s="3" t="s">
        <v>3714</v>
      </c>
      <c r="J978" s="17">
        <f t="shared" si="94"/>
        <v>0</v>
      </c>
      <c r="K978" s="2">
        <f t="shared" si="95"/>
        <v>0</v>
      </c>
      <c r="L978" s="12" t="s">
        <v>3714</v>
      </c>
    </row>
    <row r="979" spans="1:12" x14ac:dyDescent="0.25">
      <c r="A979" s="11" t="s">
        <v>2378</v>
      </c>
      <c r="B979" s="2" t="str">
        <f t="shared" si="90"/>
        <v>Step Rim</v>
      </c>
      <c r="C979" s="3">
        <v>978</v>
      </c>
      <c r="D979" s="17" t="s">
        <v>977</v>
      </c>
      <c r="E979" s="2" t="str">
        <f t="shared" si="91"/>
        <v>TY Snr mf R</v>
      </c>
      <c r="F979" s="12">
        <v>978</v>
      </c>
      <c r="G979" s="17">
        <f t="shared" si="92"/>
        <v>0</v>
      </c>
      <c r="H979" s="2">
        <f t="shared" si="93"/>
        <v>0</v>
      </c>
      <c r="I979" s="3" t="s">
        <v>3714</v>
      </c>
      <c r="J979" s="17">
        <f t="shared" si="94"/>
        <v>0</v>
      </c>
      <c r="K979" s="2">
        <f t="shared" si="95"/>
        <v>0</v>
      </c>
      <c r="L979" s="12" t="s">
        <v>3714</v>
      </c>
    </row>
    <row r="980" spans="1:12" x14ac:dyDescent="0.25">
      <c r="A980" s="11" t="s">
        <v>2379</v>
      </c>
      <c r="B980" s="2" t="str">
        <f t="shared" si="90"/>
        <v>R&amp;B Rim 4</v>
      </c>
      <c r="C980" s="3">
        <v>979</v>
      </c>
      <c r="D980" s="17" t="s">
        <v>978</v>
      </c>
      <c r="E980" s="2" t="str">
        <f t="shared" si="91"/>
        <v>TY Snr f L</v>
      </c>
      <c r="F980" s="12">
        <v>979</v>
      </c>
      <c r="G980" s="17">
        <f t="shared" si="92"/>
        <v>0</v>
      </c>
      <c r="H980" s="2">
        <f t="shared" si="93"/>
        <v>0</v>
      </c>
      <c r="I980" s="3" t="s">
        <v>3714</v>
      </c>
      <c r="J980" s="17">
        <f t="shared" si="94"/>
        <v>0</v>
      </c>
      <c r="K980" s="2">
        <f t="shared" si="95"/>
        <v>0</v>
      </c>
      <c r="L980" s="12" t="s">
        <v>3714</v>
      </c>
    </row>
    <row r="981" spans="1:12" x14ac:dyDescent="0.25">
      <c r="A981" s="11" t="s">
        <v>2380</v>
      </c>
      <c r="B981" s="2" t="str">
        <f t="shared" si="90"/>
        <v>Street Rim</v>
      </c>
      <c r="C981" s="3">
        <v>980</v>
      </c>
      <c r="D981" s="17" t="s">
        <v>979</v>
      </c>
      <c r="E981" s="2" t="str">
        <f t="shared" si="91"/>
        <v>TY Snr f R</v>
      </c>
      <c r="F981" s="12">
        <v>980</v>
      </c>
      <c r="G981" s="17">
        <f t="shared" si="92"/>
        <v>0</v>
      </c>
      <c r="H981" s="2">
        <f t="shared" si="93"/>
        <v>0</v>
      </c>
      <c r="I981" s="3" t="s">
        <v>3714</v>
      </c>
      <c r="J981" s="17">
        <f t="shared" si="94"/>
        <v>0</v>
      </c>
      <c r="K981" s="2">
        <f t="shared" si="95"/>
        <v>0</v>
      </c>
      <c r="L981" s="12" t="s">
        <v>3714</v>
      </c>
    </row>
    <row r="982" spans="1:12" x14ac:dyDescent="0.25">
      <c r="A982" s="11" t="s">
        <v>2381</v>
      </c>
      <c r="B982" s="2" t="str">
        <f t="shared" si="90"/>
        <v>Regular Rim</v>
      </c>
      <c r="C982" s="3">
        <v>981</v>
      </c>
      <c r="D982" s="17" t="s">
        <v>980</v>
      </c>
      <c r="E982" s="2" t="str">
        <f t="shared" si="91"/>
        <v>TY Snr ff L</v>
      </c>
      <c r="F982" s="12">
        <v>981</v>
      </c>
      <c r="G982" s="17">
        <f t="shared" si="92"/>
        <v>0</v>
      </c>
      <c r="H982" s="2">
        <f t="shared" si="93"/>
        <v>0</v>
      </c>
      <c r="I982" s="3" t="s">
        <v>3714</v>
      </c>
      <c r="J982" s="17">
        <f t="shared" si="94"/>
        <v>0</v>
      </c>
      <c r="K982" s="2">
        <f t="shared" si="95"/>
        <v>0</v>
      </c>
      <c r="L982" s="12" t="s">
        <v>3714</v>
      </c>
    </row>
    <row r="983" spans="1:12" x14ac:dyDescent="0.25">
      <c r="A983" s="11" t="s">
        <v>2382</v>
      </c>
      <c r="B983" s="2" t="str">
        <f t="shared" si="90"/>
        <v>TR909 Rim</v>
      </c>
      <c r="C983" s="3">
        <v>982</v>
      </c>
      <c r="D983" s="17" t="s">
        <v>981</v>
      </c>
      <c r="E983" s="2" t="str">
        <f t="shared" si="91"/>
        <v>TY Snr ff R</v>
      </c>
      <c r="F983" s="12">
        <v>982</v>
      </c>
      <c r="G983" s="17">
        <f t="shared" si="92"/>
        <v>1136</v>
      </c>
      <c r="H983" s="2">
        <f t="shared" si="93"/>
        <v>154</v>
      </c>
      <c r="I983" s="3" t="s">
        <v>3714</v>
      </c>
      <c r="J983" s="17">
        <f t="shared" si="94"/>
        <v>0</v>
      </c>
      <c r="K983" s="2">
        <f t="shared" si="95"/>
        <v>0</v>
      </c>
      <c r="L983" s="12" t="s">
        <v>3714</v>
      </c>
    </row>
    <row r="984" spans="1:12" x14ac:dyDescent="0.25">
      <c r="A984" s="11" t="s">
        <v>2383</v>
      </c>
      <c r="B984" s="2" t="str">
        <f t="shared" si="90"/>
        <v>TR808 Rim</v>
      </c>
      <c r="C984" s="3">
        <v>983</v>
      </c>
      <c r="D984" s="17" t="s">
        <v>982</v>
      </c>
      <c r="E984" s="2" t="str">
        <f t="shared" si="91"/>
        <v>TY Rim p L</v>
      </c>
      <c r="F984" s="12">
        <v>983</v>
      </c>
      <c r="G984" s="17">
        <f t="shared" si="92"/>
        <v>1137</v>
      </c>
      <c r="H984" s="2">
        <f t="shared" si="93"/>
        <v>154</v>
      </c>
      <c r="I984" s="3" t="s">
        <v>3714</v>
      </c>
      <c r="J984" s="17">
        <f t="shared" si="94"/>
        <v>0</v>
      </c>
      <c r="K984" s="2">
        <f t="shared" si="95"/>
        <v>0</v>
      </c>
      <c r="L984" s="12" t="s">
        <v>3714</v>
      </c>
    </row>
    <row r="985" spans="1:12" x14ac:dyDescent="0.25">
      <c r="A985" s="11" t="s">
        <v>2384</v>
      </c>
      <c r="B985" s="2" t="str">
        <f t="shared" si="90"/>
        <v>Reg.F.Tom p</v>
      </c>
      <c r="C985" s="3">
        <v>984</v>
      </c>
      <c r="D985" s="17" t="s">
        <v>983</v>
      </c>
      <c r="E985" s="2" t="str">
        <f t="shared" si="91"/>
        <v>TY Rim p R</v>
      </c>
      <c r="F985" s="12">
        <v>984</v>
      </c>
      <c r="G985" s="17">
        <f t="shared" si="92"/>
        <v>1173</v>
      </c>
      <c r="H985" s="2">
        <f t="shared" si="93"/>
        <v>189</v>
      </c>
      <c r="I985" s="3" t="s">
        <v>3714</v>
      </c>
      <c r="J985" s="17">
        <f t="shared" si="94"/>
        <v>0</v>
      </c>
      <c r="K985" s="2">
        <f t="shared" si="95"/>
        <v>0</v>
      </c>
      <c r="L985" s="12" t="s">
        <v>3714</v>
      </c>
    </row>
    <row r="986" spans="1:12" x14ac:dyDescent="0.25">
      <c r="A986" s="11" t="s">
        <v>2385</v>
      </c>
      <c r="B986" s="2" t="str">
        <f t="shared" si="90"/>
        <v>Reg.F.Tom f</v>
      </c>
      <c r="C986" s="3">
        <v>985</v>
      </c>
      <c r="D986" s="17" t="s">
        <v>984</v>
      </c>
      <c r="E986" s="2" t="str">
        <f t="shared" si="91"/>
        <v>TY Rim mf L</v>
      </c>
      <c r="F986" s="12">
        <v>985</v>
      </c>
      <c r="G986" s="17">
        <f t="shared" si="92"/>
        <v>1174</v>
      </c>
      <c r="H986" s="2">
        <f t="shared" si="93"/>
        <v>189</v>
      </c>
      <c r="I986" s="3" t="s">
        <v>3714</v>
      </c>
      <c r="J986" s="17">
        <f t="shared" si="94"/>
        <v>0</v>
      </c>
      <c r="K986" s="2">
        <f t="shared" si="95"/>
        <v>0</v>
      </c>
      <c r="L986" s="12" t="s">
        <v>3714</v>
      </c>
    </row>
    <row r="987" spans="1:12" x14ac:dyDescent="0.25">
      <c r="A987" s="11" t="s">
        <v>2386</v>
      </c>
      <c r="B987" s="2" t="str">
        <f t="shared" si="90"/>
        <v>Reg.L.Tom p</v>
      </c>
      <c r="C987" s="3">
        <v>986</v>
      </c>
      <c r="D987" s="17" t="s">
        <v>985</v>
      </c>
      <c r="E987" s="2" t="str">
        <f t="shared" si="91"/>
        <v>TY Rim mf R</v>
      </c>
      <c r="F987" s="12">
        <v>986</v>
      </c>
      <c r="G987" s="17">
        <f t="shared" si="92"/>
        <v>1175</v>
      </c>
      <c r="H987" s="2">
        <f t="shared" si="93"/>
        <v>189</v>
      </c>
      <c r="I987" s="3" t="s">
        <v>3714</v>
      </c>
      <c r="J987" s="17">
        <f t="shared" si="94"/>
        <v>0</v>
      </c>
      <c r="K987" s="2">
        <f t="shared" si="95"/>
        <v>0</v>
      </c>
      <c r="L987" s="12" t="s">
        <v>3714</v>
      </c>
    </row>
    <row r="988" spans="1:12" x14ac:dyDescent="0.25">
      <c r="A988" s="11" t="s">
        <v>2387</v>
      </c>
      <c r="B988" s="2" t="str">
        <f t="shared" si="90"/>
        <v>Reg.L.Tom f</v>
      </c>
      <c r="C988" s="3">
        <v>987</v>
      </c>
      <c r="D988" s="17" t="s">
        <v>986</v>
      </c>
      <c r="E988" s="2" t="str">
        <f t="shared" si="91"/>
        <v>TY Rim f L</v>
      </c>
      <c r="F988" s="12">
        <v>987</v>
      </c>
      <c r="G988" s="17">
        <f t="shared" si="92"/>
        <v>1176</v>
      </c>
      <c r="H988" s="2">
        <f t="shared" si="93"/>
        <v>189</v>
      </c>
      <c r="I988" s="3" t="s">
        <v>3714</v>
      </c>
      <c r="J988" s="17">
        <f t="shared" si="94"/>
        <v>0</v>
      </c>
      <c r="K988" s="2">
        <f t="shared" si="95"/>
        <v>0</v>
      </c>
      <c r="L988" s="12" t="s">
        <v>3714</v>
      </c>
    </row>
    <row r="989" spans="1:12" x14ac:dyDescent="0.25">
      <c r="A989" s="11" t="s">
        <v>2388</v>
      </c>
      <c r="B989" s="2" t="str">
        <f t="shared" si="90"/>
        <v>Reg.M.Tom p</v>
      </c>
      <c r="C989" s="3">
        <v>988</v>
      </c>
      <c r="D989" s="17" t="s">
        <v>987</v>
      </c>
      <c r="E989" s="2" t="str">
        <f t="shared" si="91"/>
        <v>TY Rim f R</v>
      </c>
      <c r="F989" s="12">
        <v>988</v>
      </c>
      <c r="G989" s="17">
        <f t="shared" si="92"/>
        <v>1177</v>
      </c>
      <c r="H989" s="2">
        <f t="shared" si="93"/>
        <v>189</v>
      </c>
      <c r="I989" s="3" t="s">
        <v>3714</v>
      </c>
      <c r="J989" s="17">
        <f t="shared" si="94"/>
        <v>0</v>
      </c>
      <c r="K989" s="2">
        <f t="shared" si="95"/>
        <v>0</v>
      </c>
      <c r="L989" s="12" t="s">
        <v>3714</v>
      </c>
    </row>
    <row r="990" spans="1:12" x14ac:dyDescent="0.25">
      <c r="A990" s="11" t="s">
        <v>2389</v>
      </c>
      <c r="B990" s="2" t="str">
        <f t="shared" si="90"/>
        <v>Reg.M.Tom f</v>
      </c>
      <c r="C990" s="3">
        <v>989</v>
      </c>
      <c r="D990" s="17" t="s">
        <v>988</v>
      </c>
      <c r="E990" s="2" t="str">
        <f t="shared" si="91"/>
        <v>TY Rim ff L</v>
      </c>
      <c r="F990" s="12">
        <v>989</v>
      </c>
      <c r="G990" s="17">
        <f t="shared" si="92"/>
        <v>1178</v>
      </c>
      <c r="H990" s="2">
        <f t="shared" si="93"/>
        <v>189</v>
      </c>
      <c r="I990" s="3" t="s">
        <v>3714</v>
      </c>
      <c r="J990" s="17">
        <f t="shared" si="94"/>
        <v>0</v>
      </c>
      <c r="K990" s="2">
        <f t="shared" si="95"/>
        <v>0</v>
      </c>
      <c r="L990" s="12" t="s">
        <v>3714</v>
      </c>
    </row>
    <row r="991" spans="1:12" x14ac:dyDescent="0.25">
      <c r="A991" s="11" t="s">
        <v>2390</v>
      </c>
      <c r="B991" s="2" t="str">
        <f t="shared" si="90"/>
        <v>Reg.H.Tom p</v>
      </c>
      <c r="C991" s="3">
        <v>990</v>
      </c>
      <c r="D991" s="17" t="s">
        <v>989</v>
      </c>
      <c r="E991" s="2" t="str">
        <f t="shared" si="91"/>
        <v>TY Rim ff R</v>
      </c>
      <c r="F991" s="12">
        <v>990</v>
      </c>
      <c r="G991" s="17">
        <f t="shared" si="92"/>
        <v>1179</v>
      </c>
      <c r="H991" s="2">
        <f t="shared" si="93"/>
        <v>189</v>
      </c>
      <c r="I991" s="3" t="s">
        <v>3714</v>
      </c>
      <c r="J991" s="17">
        <f t="shared" si="94"/>
        <v>0</v>
      </c>
      <c r="K991" s="2">
        <f t="shared" si="95"/>
        <v>0</v>
      </c>
      <c r="L991" s="12" t="s">
        <v>3714</v>
      </c>
    </row>
    <row r="992" spans="1:12" x14ac:dyDescent="0.25">
      <c r="A992" s="11" t="s">
        <v>2391</v>
      </c>
      <c r="B992" s="2" t="str">
        <f t="shared" si="90"/>
        <v>Reg.H.Tom f</v>
      </c>
      <c r="C992" s="3">
        <v>991</v>
      </c>
      <c r="D992" s="17" t="s">
        <v>990</v>
      </c>
      <c r="E992" s="2" t="str">
        <f t="shared" si="91"/>
        <v>SF Snr p L</v>
      </c>
      <c r="F992" s="12">
        <v>991</v>
      </c>
      <c r="G992" s="17">
        <f t="shared" si="92"/>
        <v>1180</v>
      </c>
      <c r="H992" s="2">
        <f t="shared" si="93"/>
        <v>189</v>
      </c>
      <c r="I992" s="3" t="s">
        <v>3714</v>
      </c>
      <c r="J992" s="17">
        <f t="shared" si="94"/>
        <v>0</v>
      </c>
      <c r="K992" s="2">
        <f t="shared" si="95"/>
        <v>0</v>
      </c>
      <c r="L992" s="12" t="s">
        <v>3714</v>
      </c>
    </row>
    <row r="993" spans="1:12" x14ac:dyDescent="0.25">
      <c r="A993" s="11" t="s">
        <v>2392</v>
      </c>
      <c r="B993" s="2" t="str">
        <f t="shared" si="90"/>
        <v>Reg.L.TomFlm</v>
      </c>
      <c r="C993" s="3">
        <v>992</v>
      </c>
      <c r="D993" s="17" t="s">
        <v>991</v>
      </c>
      <c r="E993" s="2" t="str">
        <f t="shared" si="91"/>
        <v>SF Snr p R</v>
      </c>
      <c r="F993" s="12">
        <v>992</v>
      </c>
      <c r="G993" s="17">
        <f t="shared" si="92"/>
        <v>1181</v>
      </c>
      <c r="H993" s="2">
        <f t="shared" si="93"/>
        <v>189</v>
      </c>
      <c r="I993" s="3" t="s">
        <v>3714</v>
      </c>
      <c r="J993" s="17">
        <f t="shared" si="94"/>
        <v>0</v>
      </c>
      <c r="K993" s="2">
        <f t="shared" si="95"/>
        <v>0</v>
      </c>
      <c r="L993" s="12" t="s">
        <v>3714</v>
      </c>
    </row>
    <row r="994" spans="1:12" x14ac:dyDescent="0.25">
      <c r="A994" s="11" t="s">
        <v>2393</v>
      </c>
      <c r="B994" s="2" t="str">
        <f t="shared" si="90"/>
        <v>Reg.M.TomFlm</v>
      </c>
      <c r="C994" s="3">
        <v>993</v>
      </c>
      <c r="D994" s="17" t="s">
        <v>992</v>
      </c>
      <c r="E994" s="2" t="str">
        <f t="shared" si="91"/>
        <v>SF Snr mf L</v>
      </c>
      <c r="F994" s="12">
        <v>993</v>
      </c>
      <c r="G994" s="17">
        <f t="shared" si="92"/>
        <v>1182</v>
      </c>
      <c r="H994" s="2">
        <f t="shared" si="93"/>
        <v>189</v>
      </c>
      <c r="I994" s="3" t="s">
        <v>3714</v>
      </c>
      <c r="J994" s="17">
        <f t="shared" si="94"/>
        <v>0</v>
      </c>
      <c r="K994" s="2">
        <f t="shared" si="95"/>
        <v>0</v>
      </c>
      <c r="L994" s="12" t="s">
        <v>3714</v>
      </c>
    </row>
    <row r="995" spans="1:12" x14ac:dyDescent="0.25">
      <c r="A995" s="11" t="s">
        <v>2394</v>
      </c>
      <c r="B995" s="2" t="str">
        <f t="shared" si="90"/>
        <v>Reg.H.TomFlm</v>
      </c>
      <c r="C995" s="3">
        <v>994</v>
      </c>
      <c r="D995" s="17" t="s">
        <v>993</v>
      </c>
      <c r="E995" s="2" t="str">
        <f t="shared" si="91"/>
        <v>SF Snr mf R</v>
      </c>
      <c r="F995" s="12">
        <v>994</v>
      </c>
      <c r="G995" s="17">
        <f t="shared" si="92"/>
        <v>1183</v>
      </c>
      <c r="H995" s="2">
        <f t="shared" si="93"/>
        <v>189</v>
      </c>
      <c r="I995" s="3" t="s">
        <v>3714</v>
      </c>
      <c r="J995" s="17">
        <f t="shared" si="94"/>
        <v>0</v>
      </c>
      <c r="K995" s="2">
        <f t="shared" si="95"/>
        <v>0</v>
      </c>
      <c r="L995" s="12" t="s">
        <v>3714</v>
      </c>
    </row>
    <row r="996" spans="1:12" x14ac:dyDescent="0.25">
      <c r="A996" s="11" t="s">
        <v>2395</v>
      </c>
      <c r="B996" s="2" t="str">
        <f t="shared" si="90"/>
        <v>Jazz Lo Tom</v>
      </c>
      <c r="C996" s="3">
        <v>995</v>
      </c>
      <c r="D996" s="17" t="s">
        <v>994</v>
      </c>
      <c r="E996" s="2" t="str">
        <f t="shared" si="91"/>
        <v>SF Snr f L</v>
      </c>
      <c r="F996" s="12">
        <v>995</v>
      </c>
      <c r="G996" s="17">
        <f t="shared" si="92"/>
        <v>1184</v>
      </c>
      <c r="H996" s="2">
        <f t="shared" si="93"/>
        <v>189</v>
      </c>
      <c r="I996" s="3" t="s">
        <v>3714</v>
      </c>
      <c r="J996" s="17">
        <f t="shared" si="94"/>
        <v>0</v>
      </c>
      <c r="K996" s="2">
        <f t="shared" si="95"/>
        <v>0</v>
      </c>
      <c r="L996" s="12" t="s">
        <v>3714</v>
      </c>
    </row>
    <row r="997" spans="1:12" x14ac:dyDescent="0.25">
      <c r="A997" s="11" t="s">
        <v>2396</v>
      </c>
      <c r="B997" s="2" t="str">
        <f t="shared" si="90"/>
        <v>Jazz Mid Tom</v>
      </c>
      <c r="C997" s="3">
        <v>996</v>
      </c>
      <c r="D997" s="17" t="s">
        <v>995</v>
      </c>
      <c r="E997" s="2" t="str">
        <f t="shared" si="91"/>
        <v>SF Snr f R</v>
      </c>
      <c r="F997" s="12">
        <v>996</v>
      </c>
      <c r="G997" s="17">
        <f t="shared" si="92"/>
        <v>1185</v>
      </c>
      <c r="H997" s="2">
        <f t="shared" si="93"/>
        <v>189</v>
      </c>
      <c r="I997" s="3" t="s">
        <v>3714</v>
      </c>
      <c r="J997" s="17">
        <f t="shared" si="94"/>
        <v>0</v>
      </c>
      <c r="K997" s="2">
        <f t="shared" si="95"/>
        <v>0</v>
      </c>
      <c r="L997" s="12" t="s">
        <v>3714</v>
      </c>
    </row>
    <row r="998" spans="1:12" x14ac:dyDescent="0.25">
      <c r="A998" s="11" t="s">
        <v>2397</v>
      </c>
      <c r="B998" s="2" t="str">
        <f t="shared" si="90"/>
        <v>Jazz Hi Tom</v>
      </c>
      <c r="C998" s="3">
        <v>997</v>
      </c>
      <c r="D998" s="17" t="s">
        <v>996</v>
      </c>
      <c r="E998" s="2" t="str">
        <f t="shared" si="91"/>
        <v>SF Snr ff L</v>
      </c>
      <c r="F998" s="12">
        <v>997</v>
      </c>
      <c r="G998" s="17">
        <f t="shared" si="92"/>
        <v>1186</v>
      </c>
      <c r="H998" s="2">
        <f t="shared" si="93"/>
        <v>189</v>
      </c>
      <c r="I998" s="3" t="s">
        <v>3714</v>
      </c>
      <c r="J998" s="17">
        <f t="shared" si="94"/>
        <v>0</v>
      </c>
      <c r="K998" s="2">
        <f t="shared" si="95"/>
        <v>0</v>
      </c>
      <c r="L998" s="12" t="s">
        <v>3714</v>
      </c>
    </row>
    <row r="999" spans="1:12" x14ac:dyDescent="0.25">
      <c r="A999" s="11" t="s">
        <v>2398</v>
      </c>
      <c r="B999" s="2" t="str">
        <f t="shared" si="90"/>
        <v>Jazz Lo Flm</v>
      </c>
      <c r="C999" s="3">
        <v>998</v>
      </c>
      <c r="D999" s="17" t="s">
        <v>997</v>
      </c>
      <c r="E999" s="2" t="str">
        <f t="shared" si="91"/>
        <v>SF Snr ff R</v>
      </c>
      <c r="F999" s="12">
        <v>998</v>
      </c>
      <c r="G999" s="17">
        <f t="shared" si="92"/>
        <v>1187</v>
      </c>
      <c r="H999" s="2">
        <f t="shared" si="93"/>
        <v>189</v>
      </c>
      <c r="I999" s="3" t="s">
        <v>3714</v>
      </c>
      <c r="J999" s="17">
        <f t="shared" si="94"/>
        <v>0</v>
      </c>
      <c r="K999" s="2">
        <f t="shared" si="95"/>
        <v>0</v>
      </c>
      <c r="L999" s="12" t="s">
        <v>3714</v>
      </c>
    </row>
    <row r="1000" spans="1:12" x14ac:dyDescent="0.25">
      <c r="A1000" s="11" t="s">
        <v>2399</v>
      </c>
      <c r="B1000" s="2" t="str">
        <f t="shared" si="90"/>
        <v>Jazz Mid Flm</v>
      </c>
      <c r="C1000" s="3">
        <v>999</v>
      </c>
      <c r="D1000" s="17" t="s">
        <v>998</v>
      </c>
      <c r="E1000" s="2" t="str">
        <f t="shared" si="91"/>
        <v>SF Rim p L</v>
      </c>
      <c r="F1000" s="12">
        <v>999</v>
      </c>
      <c r="G1000" s="17">
        <f t="shared" si="92"/>
        <v>1188</v>
      </c>
      <c r="H1000" s="2">
        <f t="shared" si="93"/>
        <v>189</v>
      </c>
      <c r="I1000" s="3" t="s">
        <v>3714</v>
      </c>
      <c r="J1000" s="17">
        <f t="shared" si="94"/>
        <v>0</v>
      </c>
      <c r="K1000" s="2">
        <f t="shared" si="95"/>
        <v>0</v>
      </c>
      <c r="L1000" s="12" t="s">
        <v>3714</v>
      </c>
    </row>
    <row r="1001" spans="1:12" x14ac:dyDescent="0.25">
      <c r="A1001" s="11" t="s">
        <v>2400</v>
      </c>
      <c r="B1001" s="2" t="str">
        <f t="shared" si="90"/>
        <v>Jazz Hi Flm</v>
      </c>
      <c r="C1001" s="3">
        <v>1000</v>
      </c>
      <c r="D1001" s="17" t="s">
        <v>999</v>
      </c>
      <c r="E1001" s="2" t="str">
        <f t="shared" si="91"/>
        <v>SF Rim p R</v>
      </c>
      <c r="F1001" s="12">
        <v>1000</v>
      </c>
      <c r="G1001" s="17">
        <f t="shared" si="92"/>
        <v>1189</v>
      </c>
      <c r="H1001" s="2">
        <f t="shared" si="93"/>
        <v>189</v>
      </c>
      <c r="I1001" s="3" t="s">
        <v>3714</v>
      </c>
      <c r="J1001" s="17">
        <f t="shared" si="94"/>
        <v>0</v>
      </c>
      <c r="K1001" s="2">
        <f t="shared" si="95"/>
        <v>0</v>
      </c>
      <c r="L1001" s="12" t="s">
        <v>3714</v>
      </c>
    </row>
    <row r="1002" spans="1:12" x14ac:dyDescent="0.25">
      <c r="A1002" s="11" t="s">
        <v>2401</v>
      </c>
      <c r="B1002" s="2" t="str">
        <f t="shared" si="90"/>
        <v>Sharp Lo Tom</v>
      </c>
      <c r="C1002" s="3">
        <v>1001</v>
      </c>
      <c r="D1002" s="17" t="s">
        <v>1000</v>
      </c>
      <c r="E1002" s="2" t="str">
        <f t="shared" si="91"/>
        <v>SF Rim mf L</v>
      </c>
      <c r="F1002" s="12">
        <v>1001</v>
      </c>
      <c r="G1002" s="17">
        <f t="shared" si="92"/>
        <v>1190</v>
      </c>
      <c r="H1002" s="2">
        <f t="shared" si="93"/>
        <v>189</v>
      </c>
      <c r="I1002" s="3" t="s">
        <v>3714</v>
      </c>
      <c r="J1002" s="17">
        <f t="shared" si="94"/>
        <v>0</v>
      </c>
      <c r="K1002" s="2">
        <f t="shared" si="95"/>
        <v>0</v>
      </c>
      <c r="L1002" s="12" t="s">
        <v>3714</v>
      </c>
    </row>
    <row r="1003" spans="1:12" x14ac:dyDescent="0.25">
      <c r="A1003" s="11" t="s">
        <v>2402</v>
      </c>
      <c r="B1003" s="2" t="str">
        <f t="shared" si="90"/>
        <v>Sharp Hi Tom</v>
      </c>
      <c r="C1003" s="3">
        <v>1002</v>
      </c>
      <c r="D1003" s="17" t="s">
        <v>1001</v>
      </c>
      <c r="E1003" s="2" t="str">
        <f t="shared" si="91"/>
        <v>SF Rim mf R</v>
      </c>
      <c r="F1003" s="12">
        <v>1002</v>
      </c>
      <c r="G1003" s="17">
        <f t="shared" si="92"/>
        <v>1191</v>
      </c>
      <c r="H1003" s="2">
        <f t="shared" si="93"/>
        <v>189</v>
      </c>
      <c r="I1003" s="3" t="s">
        <v>3714</v>
      </c>
      <c r="J1003" s="17">
        <f t="shared" si="94"/>
        <v>0</v>
      </c>
      <c r="K1003" s="2">
        <f t="shared" si="95"/>
        <v>0</v>
      </c>
      <c r="L1003" s="12" t="s">
        <v>3714</v>
      </c>
    </row>
    <row r="1004" spans="1:12" x14ac:dyDescent="0.25">
      <c r="A1004" s="11" t="s">
        <v>2403</v>
      </c>
      <c r="B1004" s="2" t="str">
        <f t="shared" si="90"/>
        <v>Dry Lo Tom</v>
      </c>
      <c r="C1004" s="3">
        <v>1003</v>
      </c>
      <c r="D1004" s="17" t="s">
        <v>1002</v>
      </c>
      <c r="E1004" s="2" t="str">
        <f t="shared" si="91"/>
        <v>SF Rim f L</v>
      </c>
      <c r="F1004" s="12">
        <v>1003</v>
      </c>
      <c r="G1004" s="17">
        <f t="shared" si="92"/>
        <v>1192</v>
      </c>
      <c r="H1004" s="2">
        <f t="shared" si="93"/>
        <v>189</v>
      </c>
      <c r="I1004" s="3" t="s">
        <v>3714</v>
      </c>
      <c r="J1004" s="17">
        <f t="shared" si="94"/>
        <v>0</v>
      </c>
      <c r="K1004" s="2">
        <f t="shared" si="95"/>
        <v>0</v>
      </c>
      <c r="L1004" s="12" t="s">
        <v>3714</v>
      </c>
    </row>
    <row r="1005" spans="1:12" x14ac:dyDescent="0.25">
      <c r="A1005" s="11" t="s">
        <v>2404</v>
      </c>
      <c r="B1005" s="2" t="str">
        <f t="shared" si="90"/>
        <v>Dry Hi Tom</v>
      </c>
      <c r="C1005" s="3">
        <v>1004</v>
      </c>
      <c r="D1005" s="17" t="s">
        <v>1003</v>
      </c>
      <c r="E1005" s="2" t="str">
        <f t="shared" si="91"/>
        <v>SF Rim f R</v>
      </c>
      <c r="F1005" s="12">
        <v>1004</v>
      </c>
      <c r="G1005" s="17">
        <f t="shared" si="92"/>
        <v>0</v>
      </c>
      <c r="H1005" s="2">
        <f t="shared" si="93"/>
        <v>0</v>
      </c>
      <c r="I1005" s="3" t="s">
        <v>3714</v>
      </c>
      <c r="J1005" s="17">
        <f t="shared" si="94"/>
        <v>0</v>
      </c>
      <c r="K1005" s="2">
        <f t="shared" si="95"/>
        <v>0</v>
      </c>
      <c r="L1005" s="12" t="s">
        <v>3714</v>
      </c>
    </row>
    <row r="1006" spans="1:12" x14ac:dyDescent="0.25">
      <c r="A1006" s="11" t="s">
        <v>2405</v>
      </c>
      <c r="B1006" s="2" t="str">
        <f t="shared" si="90"/>
        <v>TR909 Tom</v>
      </c>
      <c r="C1006" s="3">
        <v>1005</v>
      </c>
      <c r="D1006" s="17" t="s">
        <v>1004</v>
      </c>
      <c r="E1006" s="2" t="str">
        <f t="shared" si="91"/>
        <v>SF Rim ff L</v>
      </c>
      <c r="F1006" s="12">
        <v>1005</v>
      </c>
      <c r="G1006" s="17">
        <f t="shared" si="92"/>
        <v>1193</v>
      </c>
      <c r="H1006" s="2">
        <f t="shared" si="93"/>
        <v>188</v>
      </c>
      <c r="I1006" s="3" t="s">
        <v>3714</v>
      </c>
      <c r="J1006" s="17">
        <f t="shared" si="94"/>
        <v>0</v>
      </c>
      <c r="K1006" s="2">
        <f t="shared" si="95"/>
        <v>0</v>
      </c>
      <c r="L1006" s="12" t="s">
        <v>3714</v>
      </c>
    </row>
    <row r="1007" spans="1:12" x14ac:dyDescent="0.25">
      <c r="A1007" s="11" t="s">
        <v>2406</v>
      </c>
      <c r="B1007" s="2" t="str">
        <f t="shared" si="90"/>
        <v>TR909 DstTom</v>
      </c>
      <c r="C1007" s="3">
        <v>1006</v>
      </c>
      <c r="D1007" s="17" t="s">
        <v>1005</v>
      </c>
      <c r="E1007" s="2" t="str">
        <f t="shared" si="91"/>
        <v>SF Rim ff R</v>
      </c>
      <c r="F1007" s="12">
        <v>1006</v>
      </c>
      <c r="G1007" s="17">
        <f t="shared" si="92"/>
        <v>1194</v>
      </c>
      <c r="H1007" s="2">
        <f t="shared" si="93"/>
        <v>188</v>
      </c>
      <c r="I1007" s="3" t="s">
        <v>3714</v>
      </c>
      <c r="J1007" s="17">
        <f t="shared" si="94"/>
        <v>0</v>
      </c>
      <c r="K1007" s="2">
        <f t="shared" si="95"/>
        <v>0</v>
      </c>
      <c r="L1007" s="12" t="s">
        <v>3714</v>
      </c>
    </row>
    <row r="1008" spans="1:12" x14ac:dyDescent="0.25">
      <c r="A1008" s="11" t="s">
        <v>2407</v>
      </c>
      <c r="B1008" s="2" t="str">
        <f t="shared" si="90"/>
        <v>TR808 Tom</v>
      </c>
      <c r="C1008" s="3">
        <v>1007</v>
      </c>
      <c r="D1008" s="17" t="s">
        <v>1006</v>
      </c>
      <c r="E1008" s="2" t="str">
        <f t="shared" si="91"/>
        <v>Reg.Snr1 p L</v>
      </c>
      <c r="F1008" s="12">
        <v>1007</v>
      </c>
      <c r="G1008" s="17">
        <f t="shared" si="92"/>
        <v>1195</v>
      </c>
      <c r="H1008" s="2">
        <f t="shared" si="93"/>
        <v>188</v>
      </c>
      <c r="I1008" s="3" t="s">
        <v>3714</v>
      </c>
      <c r="J1008" s="17">
        <f t="shared" si="94"/>
        <v>813</v>
      </c>
      <c r="K1008" s="2">
        <f t="shared" si="95"/>
        <v>-194</v>
      </c>
      <c r="L1008" s="12" t="s">
        <v>3714</v>
      </c>
    </row>
    <row r="1009" spans="1:12" x14ac:dyDescent="0.25">
      <c r="A1009" s="11" t="s">
        <v>2408</v>
      </c>
      <c r="B1009" s="2" t="str">
        <f t="shared" si="90"/>
        <v>TR606 Tom</v>
      </c>
      <c r="C1009" s="3">
        <v>1008</v>
      </c>
      <c r="D1009" s="17" t="s">
        <v>1007</v>
      </c>
      <c r="E1009" s="2" t="str">
        <f t="shared" si="91"/>
        <v>Reg.Snr1 p R</v>
      </c>
      <c r="F1009" s="12">
        <v>1008</v>
      </c>
      <c r="G1009" s="17">
        <f t="shared" si="92"/>
        <v>1196</v>
      </c>
      <c r="H1009" s="2">
        <f t="shared" si="93"/>
        <v>188</v>
      </c>
      <c r="I1009" s="3" t="s">
        <v>3714</v>
      </c>
      <c r="J1009" s="17">
        <f t="shared" si="94"/>
        <v>814</v>
      </c>
      <c r="K1009" s="2">
        <f t="shared" si="95"/>
        <v>-194</v>
      </c>
      <c r="L1009" s="12" t="s">
        <v>3714</v>
      </c>
    </row>
    <row r="1010" spans="1:12" x14ac:dyDescent="0.25">
      <c r="A1010" s="11" t="s">
        <v>2409</v>
      </c>
      <c r="B1010" s="2" t="str">
        <f t="shared" si="90"/>
        <v>Deep Tom</v>
      </c>
      <c r="C1010" s="3">
        <v>1009</v>
      </c>
      <c r="D1010" s="17" t="s">
        <v>1008</v>
      </c>
      <c r="E1010" s="2" t="str">
        <f t="shared" si="91"/>
        <v>Reg.Snr1mf L</v>
      </c>
      <c r="F1010" s="12">
        <v>1009</v>
      </c>
      <c r="G1010" s="17">
        <f t="shared" si="92"/>
        <v>1197</v>
      </c>
      <c r="H1010" s="2">
        <f t="shared" si="93"/>
        <v>188</v>
      </c>
      <c r="I1010" s="3" t="s">
        <v>3714</v>
      </c>
      <c r="J1010" s="17">
        <f t="shared" si="94"/>
        <v>815</v>
      </c>
      <c r="K1010" s="2">
        <f t="shared" si="95"/>
        <v>-194</v>
      </c>
      <c r="L1010" s="12" t="s">
        <v>3714</v>
      </c>
    </row>
    <row r="1011" spans="1:12" x14ac:dyDescent="0.25">
      <c r="A1011" s="11" t="s">
        <v>2410</v>
      </c>
      <c r="B1011" s="2" t="str">
        <f t="shared" si="90"/>
        <v>Reg.CHH 1 p</v>
      </c>
      <c r="C1011" s="3">
        <v>1010</v>
      </c>
      <c r="D1011" s="17" t="s">
        <v>1009</v>
      </c>
      <c r="E1011" s="2" t="str">
        <f t="shared" si="91"/>
        <v>Reg.Snr1mf R</v>
      </c>
      <c r="F1011" s="12">
        <v>1010</v>
      </c>
      <c r="G1011" s="17">
        <f t="shared" si="92"/>
        <v>1198</v>
      </c>
      <c r="H1011" s="2">
        <f t="shared" si="93"/>
        <v>188</v>
      </c>
      <c r="I1011" s="3" t="s">
        <v>3714</v>
      </c>
      <c r="J1011" s="17">
        <f t="shared" si="94"/>
        <v>816</v>
      </c>
      <c r="K1011" s="2">
        <f t="shared" si="95"/>
        <v>-194</v>
      </c>
      <c r="L1011" s="12" t="s">
        <v>3714</v>
      </c>
    </row>
    <row r="1012" spans="1:12" x14ac:dyDescent="0.25">
      <c r="A1012" s="11" t="s">
        <v>2411</v>
      </c>
      <c r="B1012" s="2" t="str">
        <f t="shared" si="90"/>
        <v>Reg.CHH 1 mf</v>
      </c>
      <c r="C1012" s="3">
        <v>1011</v>
      </c>
      <c r="D1012" s="17" t="s">
        <v>1010</v>
      </c>
      <c r="E1012" s="2" t="str">
        <f t="shared" si="91"/>
        <v>Reg.Snr1 f L</v>
      </c>
      <c r="F1012" s="12">
        <v>1011</v>
      </c>
      <c r="G1012" s="17">
        <f t="shared" si="92"/>
        <v>1199</v>
      </c>
      <c r="H1012" s="2">
        <f t="shared" si="93"/>
        <v>188</v>
      </c>
      <c r="I1012" s="3" t="s">
        <v>3714</v>
      </c>
      <c r="J1012" s="17">
        <f t="shared" si="94"/>
        <v>817</v>
      </c>
      <c r="K1012" s="2">
        <f t="shared" si="95"/>
        <v>-194</v>
      </c>
      <c r="L1012" s="12" t="s">
        <v>3714</v>
      </c>
    </row>
    <row r="1013" spans="1:12" x14ac:dyDescent="0.25">
      <c r="A1013" s="11" t="s">
        <v>2412</v>
      </c>
      <c r="B1013" s="2" t="str">
        <f t="shared" si="90"/>
        <v>Reg.CHH 1 f</v>
      </c>
      <c r="C1013" s="3">
        <v>1012</v>
      </c>
      <c r="D1013" s="17" t="s">
        <v>1011</v>
      </c>
      <c r="E1013" s="2" t="str">
        <f t="shared" si="91"/>
        <v>Reg.Snr1 f R</v>
      </c>
      <c r="F1013" s="12">
        <v>1012</v>
      </c>
      <c r="G1013" s="17">
        <f t="shared" si="92"/>
        <v>1200</v>
      </c>
      <c r="H1013" s="2">
        <f t="shared" si="93"/>
        <v>188</v>
      </c>
      <c r="I1013" s="3" t="s">
        <v>3714</v>
      </c>
      <c r="J1013" s="17">
        <f t="shared" si="94"/>
        <v>818</v>
      </c>
      <c r="K1013" s="2">
        <f t="shared" si="95"/>
        <v>-194</v>
      </c>
      <c r="L1013" s="12" t="s">
        <v>3714</v>
      </c>
    </row>
    <row r="1014" spans="1:12" x14ac:dyDescent="0.25">
      <c r="A1014" s="11" t="s">
        <v>2413</v>
      </c>
      <c r="B1014" s="2" t="str">
        <f t="shared" si="90"/>
        <v>Reg.CHH 1 ff</v>
      </c>
      <c r="C1014" s="3">
        <v>1013</v>
      </c>
      <c r="D1014" s="17" t="s">
        <v>1012</v>
      </c>
      <c r="E1014" s="2" t="str">
        <f t="shared" si="91"/>
        <v>Reg.Snr1ff L</v>
      </c>
      <c r="F1014" s="12">
        <v>1013</v>
      </c>
      <c r="G1014" s="17">
        <f t="shared" si="92"/>
        <v>1201</v>
      </c>
      <c r="H1014" s="2">
        <f t="shared" si="93"/>
        <v>188</v>
      </c>
      <c r="I1014" s="3" t="s">
        <v>3714</v>
      </c>
      <c r="J1014" s="17">
        <f t="shared" si="94"/>
        <v>819</v>
      </c>
      <c r="K1014" s="2">
        <f t="shared" si="95"/>
        <v>-194</v>
      </c>
      <c r="L1014" s="12" t="s">
        <v>3714</v>
      </c>
    </row>
    <row r="1015" spans="1:12" x14ac:dyDescent="0.25">
      <c r="A1015" s="11" t="s">
        <v>2414</v>
      </c>
      <c r="B1015" s="2" t="str">
        <f t="shared" si="90"/>
        <v>Reg.CHH 2 mf</v>
      </c>
      <c r="C1015" s="3">
        <v>1014</v>
      </c>
      <c r="D1015" s="17" t="s">
        <v>1013</v>
      </c>
      <c r="E1015" s="2" t="str">
        <f t="shared" si="91"/>
        <v>Reg.Snr1ff R</v>
      </c>
      <c r="F1015" s="12">
        <v>1014</v>
      </c>
      <c r="G1015" s="17">
        <f t="shared" si="92"/>
        <v>1202</v>
      </c>
      <c r="H1015" s="2">
        <f t="shared" si="93"/>
        <v>188</v>
      </c>
      <c r="I1015" s="3" t="s">
        <v>3714</v>
      </c>
      <c r="J1015" s="17">
        <f t="shared" si="94"/>
        <v>820</v>
      </c>
      <c r="K1015" s="2">
        <f t="shared" si="95"/>
        <v>-194</v>
      </c>
      <c r="L1015" s="12" t="s">
        <v>3714</v>
      </c>
    </row>
    <row r="1016" spans="1:12" x14ac:dyDescent="0.25">
      <c r="A1016" s="11" t="s">
        <v>2415</v>
      </c>
      <c r="B1016" s="2" t="str">
        <f t="shared" si="90"/>
        <v>Reg.CHH 2 f</v>
      </c>
      <c r="C1016" s="3">
        <v>1015</v>
      </c>
      <c r="D1016" s="17" t="s">
        <v>1014</v>
      </c>
      <c r="E1016" s="2" t="str">
        <f t="shared" si="91"/>
        <v>Reg.Snr2 p L</v>
      </c>
      <c r="F1016" s="12">
        <v>1015</v>
      </c>
      <c r="G1016" s="17">
        <f t="shared" si="92"/>
        <v>1203</v>
      </c>
      <c r="H1016" s="2">
        <f t="shared" si="93"/>
        <v>188</v>
      </c>
      <c r="I1016" s="3" t="s">
        <v>3714</v>
      </c>
      <c r="J1016" s="17">
        <f t="shared" si="94"/>
        <v>821</v>
      </c>
      <c r="K1016" s="2">
        <f t="shared" si="95"/>
        <v>-194</v>
      </c>
      <c r="L1016" s="12" t="s">
        <v>3714</v>
      </c>
    </row>
    <row r="1017" spans="1:12" x14ac:dyDescent="0.25">
      <c r="A1017" s="11" t="s">
        <v>2416</v>
      </c>
      <c r="B1017" s="2" t="str">
        <f t="shared" si="90"/>
        <v>Reg.CHH 2 ff</v>
      </c>
      <c r="C1017" s="3">
        <v>1016</v>
      </c>
      <c r="D1017" s="17" t="s">
        <v>1015</v>
      </c>
      <c r="E1017" s="2" t="str">
        <f t="shared" si="91"/>
        <v>Reg.Snr2 p R</v>
      </c>
      <c r="F1017" s="12">
        <v>1016</v>
      </c>
      <c r="G1017" s="17">
        <f t="shared" si="92"/>
        <v>1204</v>
      </c>
      <c r="H1017" s="2">
        <f t="shared" si="93"/>
        <v>188</v>
      </c>
      <c r="I1017" s="3" t="s">
        <v>3714</v>
      </c>
      <c r="J1017" s="17">
        <f t="shared" si="94"/>
        <v>822</v>
      </c>
      <c r="K1017" s="2">
        <f t="shared" si="95"/>
        <v>-194</v>
      </c>
      <c r="L1017" s="12" t="s">
        <v>3714</v>
      </c>
    </row>
    <row r="1018" spans="1:12" x14ac:dyDescent="0.25">
      <c r="A1018" s="11" t="s">
        <v>2417</v>
      </c>
      <c r="B1018" s="2" t="str">
        <f t="shared" si="90"/>
        <v>Reg.PHH mf</v>
      </c>
      <c r="C1018" s="3">
        <v>1017</v>
      </c>
      <c r="D1018" s="17" t="s">
        <v>1016</v>
      </c>
      <c r="E1018" s="2" t="str">
        <f t="shared" si="91"/>
        <v>Reg.Snr2 f L</v>
      </c>
      <c r="F1018" s="12">
        <v>1017</v>
      </c>
      <c r="G1018" s="17">
        <f t="shared" si="92"/>
        <v>1205</v>
      </c>
      <c r="H1018" s="2">
        <f t="shared" si="93"/>
        <v>188</v>
      </c>
      <c r="I1018" s="3" t="s">
        <v>3714</v>
      </c>
      <c r="J1018" s="17">
        <f t="shared" si="94"/>
        <v>823</v>
      </c>
      <c r="K1018" s="2">
        <f t="shared" si="95"/>
        <v>-194</v>
      </c>
      <c r="L1018" s="12" t="s">
        <v>3714</v>
      </c>
    </row>
    <row r="1019" spans="1:12" x14ac:dyDescent="0.25">
      <c r="A1019" s="11" t="s">
        <v>2418</v>
      </c>
      <c r="B1019" s="2" t="str">
        <f t="shared" si="90"/>
        <v>Reg.PHH f</v>
      </c>
      <c r="C1019" s="3">
        <v>1018</v>
      </c>
      <c r="D1019" s="17" t="s">
        <v>1017</v>
      </c>
      <c r="E1019" s="2" t="str">
        <f t="shared" si="91"/>
        <v>Reg.Snr2 f R</v>
      </c>
      <c r="F1019" s="12">
        <v>1018</v>
      </c>
      <c r="G1019" s="17">
        <f t="shared" si="92"/>
        <v>1206</v>
      </c>
      <c r="H1019" s="2">
        <f t="shared" si="93"/>
        <v>188</v>
      </c>
      <c r="I1019" s="3" t="s">
        <v>3714</v>
      </c>
      <c r="J1019" s="17">
        <f t="shared" si="94"/>
        <v>824</v>
      </c>
      <c r="K1019" s="2">
        <f t="shared" si="95"/>
        <v>-194</v>
      </c>
      <c r="L1019" s="12" t="s">
        <v>3714</v>
      </c>
    </row>
    <row r="1020" spans="1:12" x14ac:dyDescent="0.25">
      <c r="A1020" s="11" t="s">
        <v>2419</v>
      </c>
      <c r="B1020" s="2" t="str">
        <f t="shared" si="90"/>
        <v>Reg.OHH mf</v>
      </c>
      <c r="C1020" s="3">
        <v>1019</v>
      </c>
      <c r="D1020" s="17" t="s">
        <v>1018</v>
      </c>
      <c r="E1020" s="2" t="str">
        <f t="shared" si="91"/>
        <v>Reg.Snr2ff L</v>
      </c>
      <c r="F1020" s="12">
        <v>1019</v>
      </c>
      <c r="G1020" s="17">
        <f t="shared" si="92"/>
        <v>1207</v>
      </c>
      <c r="H1020" s="2">
        <f t="shared" si="93"/>
        <v>188</v>
      </c>
      <c r="I1020" s="3" t="s">
        <v>3714</v>
      </c>
      <c r="J1020" s="17">
        <f t="shared" si="94"/>
        <v>825</v>
      </c>
      <c r="K1020" s="2">
        <f t="shared" si="95"/>
        <v>-194</v>
      </c>
      <c r="L1020" s="12" t="s">
        <v>3714</v>
      </c>
    </row>
    <row r="1021" spans="1:12" x14ac:dyDescent="0.25">
      <c r="A1021" s="11" t="s">
        <v>2420</v>
      </c>
      <c r="B1021" s="2" t="str">
        <f t="shared" si="90"/>
        <v>Reg.OHH f</v>
      </c>
      <c r="C1021" s="3">
        <v>1020</v>
      </c>
      <c r="D1021" s="17" t="s">
        <v>1019</v>
      </c>
      <c r="E1021" s="2" t="str">
        <f t="shared" si="91"/>
        <v>Reg.Snr2ff R</v>
      </c>
      <c r="F1021" s="12">
        <v>1020</v>
      </c>
      <c r="G1021" s="17">
        <f t="shared" si="92"/>
        <v>1208</v>
      </c>
      <c r="H1021" s="2">
        <f t="shared" si="93"/>
        <v>188</v>
      </c>
      <c r="I1021" s="3" t="s">
        <v>3714</v>
      </c>
      <c r="J1021" s="17">
        <f t="shared" si="94"/>
        <v>826</v>
      </c>
      <c r="K1021" s="2">
        <f t="shared" si="95"/>
        <v>-194</v>
      </c>
      <c r="L1021" s="12" t="s">
        <v>3714</v>
      </c>
    </row>
    <row r="1022" spans="1:12" x14ac:dyDescent="0.25">
      <c r="A1022" s="11" t="s">
        <v>2421</v>
      </c>
      <c r="B1022" s="2" t="str">
        <f t="shared" si="90"/>
        <v>Reg.OHH ff</v>
      </c>
      <c r="C1022" s="3">
        <v>1021</v>
      </c>
      <c r="D1022" s="17" t="s">
        <v>1020</v>
      </c>
      <c r="E1022" s="2" t="str">
        <f t="shared" si="91"/>
        <v>Amb.Snr1 p L</v>
      </c>
      <c r="F1022" s="12">
        <v>1021</v>
      </c>
      <c r="G1022" s="17">
        <f t="shared" si="92"/>
        <v>1209</v>
      </c>
      <c r="H1022" s="2">
        <f t="shared" si="93"/>
        <v>188</v>
      </c>
      <c r="I1022" s="3" t="s">
        <v>3714</v>
      </c>
      <c r="J1022" s="17">
        <f t="shared" si="94"/>
        <v>829</v>
      </c>
      <c r="K1022" s="2">
        <f t="shared" si="95"/>
        <v>-192</v>
      </c>
      <c r="L1022" s="12" t="s">
        <v>3714</v>
      </c>
    </row>
    <row r="1023" spans="1:12" x14ac:dyDescent="0.25">
      <c r="A1023" s="11" t="s">
        <v>2422</v>
      </c>
      <c r="B1023" s="2" t="str">
        <f t="shared" si="90"/>
        <v>Rock CHH1 mf</v>
      </c>
      <c r="C1023" s="3">
        <v>1022</v>
      </c>
      <c r="D1023" s="17" t="s">
        <v>1021</v>
      </c>
      <c r="E1023" s="2" t="str">
        <f t="shared" si="91"/>
        <v>Amb.Snr1 p R</v>
      </c>
      <c r="F1023" s="12">
        <v>1022</v>
      </c>
      <c r="G1023" s="17">
        <f t="shared" si="92"/>
        <v>1210</v>
      </c>
      <c r="H1023" s="2">
        <f t="shared" si="93"/>
        <v>188</v>
      </c>
      <c r="I1023" s="3" t="s">
        <v>3714</v>
      </c>
      <c r="J1023" s="17">
        <f t="shared" si="94"/>
        <v>830</v>
      </c>
      <c r="K1023" s="2">
        <f t="shared" si="95"/>
        <v>-192</v>
      </c>
      <c r="L1023" s="12" t="s">
        <v>3714</v>
      </c>
    </row>
    <row r="1024" spans="1:12" x14ac:dyDescent="0.25">
      <c r="A1024" s="11" t="s">
        <v>2423</v>
      </c>
      <c r="B1024" s="2" t="str">
        <f t="shared" si="90"/>
        <v>Rock CHH1 f</v>
      </c>
      <c r="C1024" s="3">
        <v>1023</v>
      </c>
      <c r="D1024" s="17" t="s">
        <v>1022</v>
      </c>
      <c r="E1024" s="2" t="str">
        <f t="shared" si="91"/>
        <v>Amb.Snr1 f L</v>
      </c>
      <c r="F1024" s="12">
        <v>1023</v>
      </c>
      <c r="G1024" s="17">
        <f t="shared" si="92"/>
        <v>1211</v>
      </c>
      <c r="H1024" s="2">
        <f t="shared" si="93"/>
        <v>188</v>
      </c>
      <c r="I1024" s="3" t="s">
        <v>3714</v>
      </c>
      <c r="J1024" s="17">
        <f t="shared" si="94"/>
        <v>831</v>
      </c>
      <c r="K1024" s="2">
        <f t="shared" si="95"/>
        <v>-192</v>
      </c>
      <c r="L1024" s="12" t="s">
        <v>3714</v>
      </c>
    </row>
    <row r="1025" spans="1:12" x14ac:dyDescent="0.25">
      <c r="A1025" s="11" t="s">
        <v>2424</v>
      </c>
      <c r="B1025" s="2" t="str">
        <f t="shared" si="90"/>
        <v>Rock CHH2 mf</v>
      </c>
      <c r="C1025" s="3">
        <v>1024</v>
      </c>
      <c r="D1025" s="17" t="s">
        <v>1023</v>
      </c>
      <c r="E1025" s="2" t="str">
        <f t="shared" si="91"/>
        <v>Amb.Snr1 f R</v>
      </c>
      <c r="F1025" s="12">
        <v>1024</v>
      </c>
      <c r="G1025" s="17">
        <f t="shared" si="92"/>
        <v>1212</v>
      </c>
      <c r="H1025" s="2">
        <f t="shared" si="93"/>
        <v>188</v>
      </c>
      <c r="I1025" s="3" t="s">
        <v>3714</v>
      </c>
      <c r="J1025" s="17">
        <f t="shared" si="94"/>
        <v>832</v>
      </c>
      <c r="K1025" s="2">
        <f t="shared" si="95"/>
        <v>-192</v>
      </c>
      <c r="L1025" s="12" t="s">
        <v>3714</v>
      </c>
    </row>
    <row r="1026" spans="1:12" x14ac:dyDescent="0.25">
      <c r="A1026" s="11" t="s">
        <v>2425</v>
      </c>
      <c r="B1026" s="2" t="str">
        <f t="shared" ref="B1026:B1089" si="96">_xlfn.TEXTAFTER(A1026," ",1)</f>
        <v>Rock CHH2 f</v>
      </c>
      <c r="C1026" s="3">
        <v>1025</v>
      </c>
      <c r="D1026" s="17" t="s">
        <v>1024</v>
      </c>
      <c r="E1026" s="2" t="str">
        <f t="shared" ref="E1026:E1089" si="97">_xlfn.TEXTAFTER(D1026," ",1)</f>
        <v>Amb.Snr2 p L</v>
      </c>
      <c r="F1026" s="12">
        <v>1025</v>
      </c>
      <c r="G1026" s="17">
        <f t="shared" si="92"/>
        <v>1213</v>
      </c>
      <c r="H1026" s="2">
        <f t="shared" si="93"/>
        <v>188</v>
      </c>
      <c r="I1026" s="3" t="s">
        <v>3714</v>
      </c>
      <c r="J1026" s="17">
        <f t="shared" si="94"/>
        <v>833</v>
      </c>
      <c r="K1026" s="2">
        <f t="shared" si="95"/>
        <v>-192</v>
      </c>
      <c r="L1026" s="12" t="s">
        <v>3714</v>
      </c>
    </row>
    <row r="1027" spans="1:12" x14ac:dyDescent="0.25">
      <c r="A1027" s="11" t="s">
        <v>2426</v>
      </c>
      <c r="B1027" s="2" t="str">
        <f t="shared" si="96"/>
        <v>Rock PHH</v>
      </c>
      <c r="C1027" s="3">
        <v>1026</v>
      </c>
      <c r="D1027" s="17" t="s">
        <v>1025</v>
      </c>
      <c r="E1027" s="2" t="str">
        <f t="shared" si="97"/>
        <v>Amb.Snr2 p R</v>
      </c>
      <c r="F1027" s="12">
        <v>1026</v>
      </c>
      <c r="G1027" s="17">
        <f t="shared" ref="G1027:G1090" si="98">_xlfn.IFNA(_xlfn.XMATCH(B1027,E$2:E$1402,0,1),0)</f>
        <v>0</v>
      </c>
      <c r="H1027" s="2">
        <f t="shared" ref="H1027:H1090" si="99">IF(G1027=0,0,G1027-C1027)</f>
        <v>0</v>
      </c>
      <c r="I1027" s="3" t="s">
        <v>3714</v>
      </c>
      <c r="J1027" s="17">
        <f t="shared" ref="J1027:J1090" si="100">_xlfn.IFNA(_xlfn.XMATCH(E1027,B$2:B$1229,0,1),0)</f>
        <v>834</v>
      </c>
      <c r="K1027" s="2">
        <f t="shared" ref="K1027:K1090" si="101">IF(J1027=0,0,J1027-F1027)</f>
        <v>-192</v>
      </c>
      <c r="L1027" s="12" t="s">
        <v>3714</v>
      </c>
    </row>
    <row r="1028" spans="1:12" x14ac:dyDescent="0.25">
      <c r="A1028" s="11" t="s">
        <v>2427</v>
      </c>
      <c r="B1028" s="2" t="str">
        <f t="shared" si="96"/>
        <v>Rock OHH</v>
      </c>
      <c r="C1028" s="3">
        <v>1027</v>
      </c>
      <c r="D1028" s="17" t="s">
        <v>1026</v>
      </c>
      <c r="E1028" s="2" t="str">
        <f t="shared" si="97"/>
        <v>Amb.Snr2 f L</v>
      </c>
      <c r="F1028" s="12">
        <v>1027</v>
      </c>
      <c r="G1028" s="17">
        <f t="shared" si="98"/>
        <v>1214</v>
      </c>
      <c r="H1028" s="2">
        <f t="shared" si="99"/>
        <v>187</v>
      </c>
      <c r="I1028" s="3" t="s">
        <v>3714</v>
      </c>
      <c r="J1028" s="17">
        <f t="shared" si="100"/>
        <v>835</v>
      </c>
      <c r="K1028" s="2">
        <f t="shared" si="101"/>
        <v>-192</v>
      </c>
      <c r="L1028" s="12" t="s">
        <v>3714</v>
      </c>
    </row>
    <row r="1029" spans="1:12" x14ac:dyDescent="0.25">
      <c r="A1029" s="11" t="s">
        <v>2428</v>
      </c>
      <c r="B1029" s="2" t="str">
        <f t="shared" si="96"/>
        <v>Lo-Bit CHH 1</v>
      </c>
      <c r="C1029" s="3">
        <v>1028</v>
      </c>
      <c r="D1029" s="17" t="s">
        <v>1027</v>
      </c>
      <c r="E1029" s="2" t="str">
        <f t="shared" si="97"/>
        <v>Amb.Snr2 f R</v>
      </c>
      <c r="F1029" s="12">
        <v>1028</v>
      </c>
      <c r="G1029" s="17">
        <f t="shared" si="98"/>
        <v>1215</v>
      </c>
      <c r="H1029" s="2">
        <f t="shared" si="99"/>
        <v>187</v>
      </c>
      <c r="I1029" s="3" t="s">
        <v>3714</v>
      </c>
      <c r="J1029" s="17">
        <f t="shared" si="100"/>
        <v>836</v>
      </c>
      <c r="K1029" s="2">
        <f t="shared" si="101"/>
        <v>-192</v>
      </c>
      <c r="L1029" s="12" t="s">
        <v>3714</v>
      </c>
    </row>
    <row r="1030" spans="1:12" x14ac:dyDescent="0.25">
      <c r="A1030" s="11" t="s">
        <v>2429</v>
      </c>
      <c r="B1030" s="2" t="str">
        <f t="shared" si="96"/>
        <v>Lo-Bit CHH 2</v>
      </c>
      <c r="C1030" s="3">
        <v>1029</v>
      </c>
      <c r="D1030" s="17" t="s">
        <v>1028</v>
      </c>
      <c r="E1030" s="2" t="str">
        <f t="shared" si="97"/>
        <v>Piccolo Snr</v>
      </c>
      <c r="F1030" s="12">
        <v>1029</v>
      </c>
      <c r="G1030" s="17">
        <f t="shared" si="98"/>
        <v>1216</v>
      </c>
      <c r="H1030" s="2">
        <f t="shared" si="99"/>
        <v>187</v>
      </c>
      <c r="I1030" s="3" t="s">
        <v>3714</v>
      </c>
      <c r="J1030" s="17">
        <f t="shared" si="100"/>
        <v>837</v>
      </c>
      <c r="K1030" s="2">
        <f t="shared" si="101"/>
        <v>-192</v>
      </c>
      <c r="L1030" s="12" t="s">
        <v>3714</v>
      </c>
    </row>
    <row r="1031" spans="1:12" x14ac:dyDescent="0.25">
      <c r="A1031" s="11" t="s">
        <v>2430</v>
      </c>
      <c r="B1031" s="2" t="str">
        <f t="shared" si="96"/>
        <v>Lo-Bit CHH 3</v>
      </c>
      <c r="C1031" s="3">
        <v>1030</v>
      </c>
      <c r="D1031" s="17" t="s">
        <v>1029</v>
      </c>
      <c r="E1031" s="2" t="str">
        <f t="shared" si="97"/>
        <v>Maple Snr</v>
      </c>
      <c r="F1031" s="12">
        <v>1030</v>
      </c>
      <c r="G1031" s="17">
        <f t="shared" si="98"/>
        <v>1217</v>
      </c>
      <c r="H1031" s="2">
        <f t="shared" si="99"/>
        <v>187</v>
      </c>
      <c r="I1031" s="3" t="s">
        <v>3714</v>
      </c>
      <c r="J1031" s="17">
        <f t="shared" si="100"/>
        <v>838</v>
      </c>
      <c r="K1031" s="2">
        <f t="shared" si="101"/>
        <v>-192</v>
      </c>
      <c r="L1031" s="12" t="s">
        <v>3714</v>
      </c>
    </row>
    <row r="1032" spans="1:12" x14ac:dyDescent="0.25">
      <c r="A1032" s="11" t="s">
        <v>2431</v>
      </c>
      <c r="B1032" s="2" t="str">
        <f t="shared" si="96"/>
        <v>Lo-Bit CHH 4</v>
      </c>
      <c r="C1032" s="3">
        <v>1031</v>
      </c>
      <c r="D1032" s="17" t="s">
        <v>1030</v>
      </c>
      <c r="E1032" s="2" t="str">
        <f t="shared" si="97"/>
        <v>Light Snr ff</v>
      </c>
      <c r="F1032" s="12">
        <v>1031</v>
      </c>
      <c r="G1032" s="17">
        <f t="shared" si="98"/>
        <v>1218</v>
      </c>
      <c r="H1032" s="2">
        <f t="shared" si="99"/>
        <v>187</v>
      </c>
      <c r="I1032" s="3" t="s">
        <v>3714</v>
      </c>
      <c r="J1032" s="17">
        <f t="shared" si="100"/>
        <v>846</v>
      </c>
      <c r="K1032" s="2">
        <f t="shared" si="101"/>
        <v>-185</v>
      </c>
      <c r="L1032" s="12" t="s">
        <v>3714</v>
      </c>
    </row>
    <row r="1033" spans="1:12" x14ac:dyDescent="0.25">
      <c r="A1033" s="11" t="s">
        <v>2432</v>
      </c>
      <c r="B1033" s="2" t="str">
        <f t="shared" si="96"/>
        <v>Lo-Bit CHH 5</v>
      </c>
      <c r="C1033" s="3">
        <v>1032</v>
      </c>
      <c r="D1033" s="17" t="s">
        <v>1031</v>
      </c>
      <c r="E1033" s="2" t="str">
        <f t="shared" si="97"/>
        <v>Click Snr p</v>
      </c>
      <c r="F1033" s="12">
        <v>1032</v>
      </c>
      <c r="G1033" s="17">
        <f t="shared" si="98"/>
        <v>1219</v>
      </c>
      <c r="H1033" s="2">
        <f t="shared" si="99"/>
        <v>187</v>
      </c>
      <c r="I1033" s="3" t="s">
        <v>3714</v>
      </c>
      <c r="J1033" s="17">
        <f t="shared" si="100"/>
        <v>848</v>
      </c>
      <c r="K1033" s="2">
        <f t="shared" si="101"/>
        <v>-184</v>
      </c>
      <c r="L1033" s="12" t="s">
        <v>3714</v>
      </c>
    </row>
    <row r="1034" spans="1:12" x14ac:dyDescent="0.25">
      <c r="A1034" s="11" t="s">
        <v>2433</v>
      </c>
      <c r="B1034" s="2" t="str">
        <f t="shared" si="96"/>
        <v>Modern CHH</v>
      </c>
      <c r="C1034" s="3">
        <v>1033</v>
      </c>
      <c r="D1034" s="17" t="s">
        <v>1032</v>
      </c>
      <c r="E1034" s="2" t="str">
        <f t="shared" si="97"/>
        <v>Click Snr ff</v>
      </c>
      <c r="F1034" s="12">
        <v>1033</v>
      </c>
      <c r="G1034" s="17">
        <f t="shared" si="98"/>
        <v>0</v>
      </c>
      <c r="H1034" s="2">
        <f t="shared" si="99"/>
        <v>0</v>
      </c>
      <c r="I1034" s="3" t="s">
        <v>3714</v>
      </c>
      <c r="J1034" s="17">
        <f t="shared" si="100"/>
        <v>850</v>
      </c>
      <c r="K1034" s="2">
        <f t="shared" si="101"/>
        <v>-183</v>
      </c>
      <c r="L1034" s="12" t="s">
        <v>3714</v>
      </c>
    </row>
    <row r="1035" spans="1:12" x14ac:dyDescent="0.25">
      <c r="A1035" s="11" t="s">
        <v>2434</v>
      </c>
      <c r="B1035" s="2" t="str">
        <f t="shared" si="96"/>
        <v>HipHop CHH 1</v>
      </c>
      <c r="C1035" s="3">
        <v>1034</v>
      </c>
      <c r="D1035" s="17" t="s">
        <v>1033</v>
      </c>
      <c r="E1035" s="2" t="str">
        <f t="shared" si="97"/>
        <v>SF SnrGst1 L</v>
      </c>
      <c r="F1035" s="12">
        <v>1034</v>
      </c>
      <c r="G1035" s="17">
        <f t="shared" si="98"/>
        <v>0</v>
      </c>
      <c r="H1035" s="2">
        <f t="shared" si="99"/>
        <v>0</v>
      </c>
      <c r="I1035" s="3" t="s">
        <v>3714</v>
      </c>
      <c r="J1035" s="17">
        <f t="shared" si="100"/>
        <v>0</v>
      </c>
      <c r="K1035" s="2">
        <f t="shared" si="101"/>
        <v>0</v>
      </c>
      <c r="L1035" s="12" t="s">
        <v>3714</v>
      </c>
    </row>
    <row r="1036" spans="1:12" x14ac:dyDescent="0.25">
      <c r="A1036" s="11" t="s">
        <v>2435</v>
      </c>
      <c r="B1036" s="2" t="str">
        <f t="shared" si="96"/>
        <v>Urban CHH</v>
      </c>
      <c r="C1036" s="3">
        <v>1035</v>
      </c>
      <c r="D1036" s="17" t="s">
        <v>1034</v>
      </c>
      <c r="E1036" s="2" t="str">
        <f t="shared" si="97"/>
        <v>SF SnrGst1 R</v>
      </c>
      <c r="F1036" s="12">
        <v>1035</v>
      </c>
      <c r="G1036" s="17">
        <f t="shared" si="98"/>
        <v>0</v>
      </c>
      <c r="H1036" s="2">
        <f t="shared" si="99"/>
        <v>0</v>
      </c>
      <c r="I1036" s="3" t="s">
        <v>3714</v>
      </c>
      <c r="J1036" s="17">
        <f t="shared" si="100"/>
        <v>0</v>
      </c>
      <c r="K1036" s="2">
        <f t="shared" si="101"/>
        <v>0</v>
      </c>
      <c r="L1036" s="12" t="s">
        <v>3714</v>
      </c>
    </row>
    <row r="1037" spans="1:12" x14ac:dyDescent="0.25">
      <c r="A1037" s="11" t="s">
        <v>2436</v>
      </c>
      <c r="B1037" s="2" t="str">
        <f t="shared" si="96"/>
        <v>Bang CHH</v>
      </c>
      <c r="C1037" s="3">
        <v>1036</v>
      </c>
      <c r="D1037" s="17" t="s">
        <v>1035</v>
      </c>
      <c r="E1037" s="2" t="str">
        <f t="shared" si="97"/>
        <v>SF SnrGst2 L</v>
      </c>
      <c r="F1037" s="12">
        <v>1036</v>
      </c>
      <c r="G1037" s="17">
        <f t="shared" si="98"/>
        <v>0</v>
      </c>
      <c r="H1037" s="2">
        <f t="shared" si="99"/>
        <v>0</v>
      </c>
      <c r="I1037" s="3" t="s">
        <v>3714</v>
      </c>
      <c r="J1037" s="17">
        <f t="shared" si="100"/>
        <v>0</v>
      </c>
      <c r="K1037" s="2">
        <f t="shared" si="101"/>
        <v>0</v>
      </c>
      <c r="L1037" s="12" t="s">
        <v>3714</v>
      </c>
    </row>
    <row r="1038" spans="1:12" x14ac:dyDescent="0.25">
      <c r="A1038" s="11" t="s">
        <v>2437</v>
      </c>
      <c r="B1038" s="2" t="str">
        <f t="shared" si="96"/>
        <v>LowDwn CHH</v>
      </c>
      <c r="C1038" s="3">
        <v>1037</v>
      </c>
      <c r="D1038" s="17" t="s">
        <v>1036</v>
      </c>
      <c r="E1038" s="2" t="str">
        <f t="shared" si="97"/>
        <v>SF SnrGst2 R</v>
      </c>
      <c r="F1038" s="12">
        <v>1037</v>
      </c>
      <c r="G1038" s="17">
        <f t="shared" si="98"/>
        <v>0</v>
      </c>
      <c r="H1038" s="2">
        <f t="shared" si="99"/>
        <v>0</v>
      </c>
      <c r="I1038" s="3" t="s">
        <v>3714</v>
      </c>
      <c r="J1038" s="17">
        <f t="shared" si="100"/>
        <v>0</v>
      </c>
      <c r="K1038" s="2">
        <f t="shared" si="101"/>
        <v>0</v>
      </c>
      <c r="L1038" s="12" t="s">
        <v>3714</v>
      </c>
    </row>
    <row r="1039" spans="1:12" x14ac:dyDescent="0.25">
      <c r="A1039" s="11" t="s">
        <v>2438</v>
      </c>
      <c r="B1039" s="2" t="str">
        <f t="shared" si="96"/>
        <v>Disc CHH</v>
      </c>
      <c r="C1039" s="3">
        <v>1038</v>
      </c>
      <c r="D1039" s="17" t="s">
        <v>1037</v>
      </c>
      <c r="E1039" s="2" t="str">
        <f t="shared" si="97"/>
        <v>Reg.SnrGst L</v>
      </c>
      <c r="F1039" s="12">
        <v>1038</v>
      </c>
      <c r="G1039" s="17">
        <f t="shared" si="98"/>
        <v>0</v>
      </c>
      <c r="H1039" s="2">
        <f t="shared" si="99"/>
        <v>0</v>
      </c>
      <c r="I1039" s="3" t="s">
        <v>3714</v>
      </c>
      <c r="J1039" s="17">
        <f t="shared" si="100"/>
        <v>857</v>
      </c>
      <c r="K1039" s="2">
        <f t="shared" si="101"/>
        <v>-181</v>
      </c>
      <c r="L1039" s="12" t="s">
        <v>3714</v>
      </c>
    </row>
    <row r="1040" spans="1:12" x14ac:dyDescent="0.25">
      <c r="A1040" s="11" t="s">
        <v>2439</v>
      </c>
      <c r="B1040" s="2" t="str">
        <f t="shared" si="96"/>
        <v>Club CHH 1</v>
      </c>
      <c r="C1040" s="3">
        <v>1039</v>
      </c>
      <c r="D1040" s="17" t="s">
        <v>1038</v>
      </c>
      <c r="E1040" s="2" t="str">
        <f t="shared" si="97"/>
        <v>Reg.SnrGst R</v>
      </c>
      <c r="F1040" s="12">
        <v>1039</v>
      </c>
      <c r="G1040" s="17">
        <f t="shared" si="98"/>
        <v>0</v>
      </c>
      <c r="H1040" s="2">
        <f t="shared" si="99"/>
        <v>0</v>
      </c>
      <c r="I1040" s="3" t="s">
        <v>3714</v>
      </c>
      <c r="J1040" s="17">
        <f t="shared" si="100"/>
        <v>858</v>
      </c>
      <c r="K1040" s="2">
        <f t="shared" si="101"/>
        <v>-181</v>
      </c>
      <c r="L1040" s="12" t="s">
        <v>3714</v>
      </c>
    </row>
    <row r="1041" spans="1:12" x14ac:dyDescent="0.25">
      <c r="A1041" s="11" t="s">
        <v>2440</v>
      </c>
      <c r="B1041" s="2" t="str">
        <f t="shared" si="96"/>
        <v>HipHop CHH 2</v>
      </c>
      <c r="C1041" s="3">
        <v>1040</v>
      </c>
      <c r="D1041" s="17" t="s">
        <v>1039</v>
      </c>
      <c r="E1041" s="2" t="str">
        <f t="shared" si="97"/>
        <v>Sft Snr Gst</v>
      </c>
      <c r="F1041" s="12">
        <v>1040</v>
      </c>
      <c r="G1041" s="17">
        <f t="shared" si="98"/>
        <v>0</v>
      </c>
      <c r="H1041" s="2">
        <f t="shared" si="99"/>
        <v>0</v>
      </c>
      <c r="I1041" s="3" t="s">
        <v>3714</v>
      </c>
      <c r="J1041" s="17">
        <f t="shared" si="100"/>
        <v>860</v>
      </c>
      <c r="K1041" s="2">
        <f t="shared" si="101"/>
        <v>-180</v>
      </c>
      <c r="L1041" s="12" t="s">
        <v>3714</v>
      </c>
    </row>
    <row r="1042" spans="1:12" x14ac:dyDescent="0.25">
      <c r="A1042" s="11" t="s">
        <v>2441</v>
      </c>
      <c r="B1042" s="2" t="str">
        <f t="shared" si="96"/>
        <v>TR909 CHH 1</v>
      </c>
      <c r="C1042" s="3">
        <v>1041</v>
      </c>
      <c r="D1042" s="17" t="s">
        <v>1040</v>
      </c>
      <c r="E1042" s="2" t="str">
        <f t="shared" si="97"/>
        <v>Jazz Snr p</v>
      </c>
      <c r="F1042" s="12">
        <v>1041</v>
      </c>
      <c r="G1042" s="17">
        <f t="shared" si="98"/>
        <v>1221</v>
      </c>
      <c r="H1042" s="2">
        <f t="shared" si="99"/>
        <v>180</v>
      </c>
      <c r="I1042" s="3" t="s">
        <v>3714</v>
      </c>
      <c r="J1042" s="17">
        <f t="shared" si="100"/>
        <v>861</v>
      </c>
      <c r="K1042" s="2">
        <f t="shared" si="101"/>
        <v>-180</v>
      </c>
      <c r="L1042" s="12" t="s">
        <v>3714</v>
      </c>
    </row>
    <row r="1043" spans="1:12" x14ac:dyDescent="0.25">
      <c r="A1043" s="11" t="s">
        <v>2442</v>
      </c>
      <c r="B1043" s="2" t="str">
        <f t="shared" si="96"/>
        <v>TR909 CHH 2</v>
      </c>
      <c r="C1043" s="3">
        <v>1042</v>
      </c>
      <c r="D1043" s="17" t="s">
        <v>1041</v>
      </c>
      <c r="E1043" s="2" t="str">
        <f t="shared" si="97"/>
        <v>Jazz Snr mf</v>
      </c>
      <c r="F1043" s="12">
        <v>1042</v>
      </c>
      <c r="G1043" s="17">
        <f t="shared" si="98"/>
        <v>1222</v>
      </c>
      <c r="H1043" s="2">
        <f t="shared" si="99"/>
        <v>180</v>
      </c>
      <c r="I1043" s="3" t="s">
        <v>3714</v>
      </c>
      <c r="J1043" s="17">
        <f t="shared" si="100"/>
        <v>862</v>
      </c>
      <c r="K1043" s="2">
        <f t="shared" si="101"/>
        <v>-180</v>
      </c>
      <c r="L1043" s="12" t="s">
        <v>3714</v>
      </c>
    </row>
    <row r="1044" spans="1:12" x14ac:dyDescent="0.25">
      <c r="A1044" s="11" t="s">
        <v>2443</v>
      </c>
      <c r="B1044" s="2" t="str">
        <f t="shared" si="96"/>
        <v>Shaky CHH</v>
      </c>
      <c r="C1044" s="3">
        <v>1043</v>
      </c>
      <c r="D1044" s="17" t="s">
        <v>1042</v>
      </c>
      <c r="E1044" s="2" t="str">
        <f t="shared" si="97"/>
        <v>Jazz Snr f</v>
      </c>
      <c r="F1044" s="12">
        <v>1043</v>
      </c>
      <c r="G1044" s="17">
        <f t="shared" si="98"/>
        <v>0</v>
      </c>
      <c r="H1044" s="2">
        <f t="shared" si="99"/>
        <v>0</v>
      </c>
      <c r="I1044" s="3" t="s">
        <v>3714</v>
      </c>
      <c r="J1044" s="17">
        <f t="shared" si="100"/>
        <v>863</v>
      </c>
      <c r="K1044" s="2">
        <f t="shared" si="101"/>
        <v>-180</v>
      </c>
      <c r="L1044" s="12" t="s">
        <v>3714</v>
      </c>
    </row>
    <row r="1045" spans="1:12" x14ac:dyDescent="0.25">
      <c r="A1045" s="11" t="s">
        <v>2444</v>
      </c>
      <c r="B1045" s="2" t="str">
        <f t="shared" si="96"/>
        <v>Club CHH 2</v>
      </c>
      <c r="C1045" s="3">
        <v>1044</v>
      </c>
      <c r="D1045" s="17" t="s">
        <v>1043</v>
      </c>
      <c r="E1045" s="2" t="str">
        <f t="shared" si="97"/>
        <v>Jazz Rim p</v>
      </c>
      <c r="F1045" s="12">
        <v>1044</v>
      </c>
      <c r="G1045" s="17">
        <f t="shared" si="98"/>
        <v>0</v>
      </c>
      <c r="H1045" s="2">
        <f t="shared" si="99"/>
        <v>0</v>
      </c>
      <c r="I1045" s="3" t="s">
        <v>3714</v>
      </c>
      <c r="J1045" s="17">
        <f t="shared" si="100"/>
        <v>865</v>
      </c>
      <c r="K1045" s="2">
        <f t="shared" si="101"/>
        <v>-179</v>
      </c>
      <c r="L1045" s="12" t="s">
        <v>3714</v>
      </c>
    </row>
    <row r="1046" spans="1:12" x14ac:dyDescent="0.25">
      <c r="A1046" s="11" t="s">
        <v>2445</v>
      </c>
      <c r="B1046" s="2" t="str">
        <f t="shared" si="96"/>
        <v>TR808 CHH 1</v>
      </c>
      <c r="C1046" s="3">
        <v>1045</v>
      </c>
      <c r="D1046" s="17" t="s">
        <v>1044</v>
      </c>
      <c r="E1046" s="2" t="str">
        <f t="shared" si="97"/>
        <v>Jz Brsh Slap</v>
      </c>
      <c r="F1046" s="12">
        <v>1045</v>
      </c>
      <c r="G1046" s="17">
        <f t="shared" si="98"/>
        <v>1223</v>
      </c>
      <c r="H1046" s="2">
        <f t="shared" si="99"/>
        <v>178</v>
      </c>
      <c r="I1046" s="3" t="s">
        <v>3714</v>
      </c>
      <c r="J1046" s="17">
        <f t="shared" si="100"/>
        <v>869</v>
      </c>
      <c r="K1046" s="2">
        <f t="shared" si="101"/>
        <v>-176</v>
      </c>
      <c r="L1046" s="12" t="s">
        <v>3714</v>
      </c>
    </row>
    <row r="1047" spans="1:12" x14ac:dyDescent="0.25">
      <c r="A1047" s="11" t="s">
        <v>2446</v>
      </c>
      <c r="B1047" s="2" t="str">
        <f t="shared" si="96"/>
        <v>TR808 CHH 2</v>
      </c>
      <c r="C1047" s="3">
        <v>1046</v>
      </c>
      <c r="D1047" s="17" t="s">
        <v>1045</v>
      </c>
      <c r="E1047" s="2" t="str">
        <f t="shared" si="97"/>
        <v>Jz Brsh Swsh</v>
      </c>
      <c r="F1047" s="12">
        <v>1046</v>
      </c>
      <c r="G1047" s="17">
        <f t="shared" si="98"/>
        <v>1224</v>
      </c>
      <c r="H1047" s="2">
        <f t="shared" si="99"/>
        <v>178</v>
      </c>
      <c r="I1047" s="3" t="s">
        <v>3714</v>
      </c>
      <c r="J1047" s="17">
        <f t="shared" si="100"/>
        <v>870</v>
      </c>
      <c r="K1047" s="2">
        <f t="shared" si="101"/>
        <v>-176</v>
      </c>
      <c r="L1047" s="12" t="s">
        <v>3714</v>
      </c>
    </row>
    <row r="1048" spans="1:12" x14ac:dyDescent="0.25">
      <c r="A1048" s="11" t="s">
        <v>2447</v>
      </c>
      <c r="B1048" s="2" t="str">
        <f t="shared" si="96"/>
        <v>TR606 CHH 1</v>
      </c>
      <c r="C1048" s="3">
        <v>1047</v>
      </c>
      <c r="D1048" s="17" t="s">
        <v>1046</v>
      </c>
      <c r="E1048" s="2" t="str">
        <f t="shared" si="97"/>
        <v>Swish&amp;Turn p</v>
      </c>
      <c r="F1048" s="12">
        <v>1047</v>
      </c>
      <c r="G1048" s="17">
        <f t="shared" si="98"/>
        <v>1225</v>
      </c>
      <c r="H1048" s="2">
        <f t="shared" si="99"/>
        <v>178</v>
      </c>
      <c r="I1048" s="3" t="s">
        <v>3714</v>
      </c>
      <c r="J1048" s="17">
        <f t="shared" si="100"/>
        <v>871</v>
      </c>
      <c r="K1048" s="2">
        <f t="shared" si="101"/>
        <v>-176</v>
      </c>
      <c r="L1048" s="12" t="s">
        <v>3714</v>
      </c>
    </row>
    <row r="1049" spans="1:12" x14ac:dyDescent="0.25">
      <c r="A1049" s="11" t="s">
        <v>2448</v>
      </c>
      <c r="B1049" s="2" t="str">
        <f t="shared" si="96"/>
        <v>TR606 CHH 2</v>
      </c>
      <c r="C1049" s="3">
        <v>1048</v>
      </c>
      <c r="D1049" s="17" t="s">
        <v>1047</v>
      </c>
      <c r="E1049" s="2" t="str">
        <f t="shared" si="97"/>
        <v>Swish&amp;Turn f</v>
      </c>
      <c r="F1049" s="12">
        <v>1048</v>
      </c>
      <c r="G1049" s="17">
        <f t="shared" si="98"/>
        <v>1226</v>
      </c>
      <c r="H1049" s="2">
        <f t="shared" si="99"/>
        <v>178</v>
      </c>
      <c r="I1049" s="3" t="s">
        <v>3714</v>
      </c>
      <c r="J1049" s="17">
        <f t="shared" si="100"/>
        <v>872</v>
      </c>
      <c r="K1049" s="2">
        <f t="shared" si="101"/>
        <v>-176</v>
      </c>
      <c r="L1049" s="12" t="s">
        <v>3714</v>
      </c>
    </row>
    <row r="1050" spans="1:12" x14ac:dyDescent="0.25">
      <c r="A1050" s="11" t="s">
        <v>2449</v>
      </c>
      <c r="B1050" s="2" t="str">
        <f t="shared" si="96"/>
        <v>TR606 DstCHH</v>
      </c>
      <c r="C1050" s="3">
        <v>1049</v>
      </c>
      <c r="D1050" s="17" t="s">
        <v>1048</v>
      </c>
      <c r="E1050" s="2" t="str">
        <f t="shared" si="97"/>
        <v>Snr Roll Lp</v>
      </c>
      <c r="F1050" s="12">
        <v>1049</v>
      </c>
      <c r="G1050" s="17">
        <f t="shared" si="98"/>
        <v>1227</v>
      </c>
      <c r="H1050" s="2">
        <f t="shared" si="99"/>
        <v>178</v>
      </c>
      <c r="I1050" s="3" t="s">
        <v>3714</v>
      </c>
      <c r="J1050" s="17">
        <f t="shared" si="100"/>
        <v>874</v>
      </c>
      <c r="K1050" s="2">
        <f t="shared" si="101"/>
        <v>-175</v>
      </c>
      <c r="L1050" s="12" t="s">
        <v>3714</v>
      </c>
    </row>
    <row r="1051" spans="1:12" x14ac:dyDescent="0.25">
      <c r="A1051" s="11" t="s">
        <v>2450</v>
      </c>
      <c r="B1051" s="2" t="str">
        <f t="shared" si="96"/>
        <v>Lite CHH</v>
      </c>
      <c r="C1051" s="3">
        <v>1050</v>
      </c>
      <c r="D1051" s="17" t="s">
        <v>1049</v>
      </c>
      <c r="E1051" s="2" t="str">
        <f t="shared" si="97"/>
        <v>BrushRoll Lp</v>
      </c>
      <c r="F1051" s="12">
        <v>1050</v>
      </c>
      <c r="G1051" s="17">
        <f t="shared" si="98"/>
        <v>1228</v>
      </c>
      <c r="H1051" s="2">
        <f t="shared" si="99"/>
        <v>178</v>
      </c>
      <c r="I1051" s="3" t="s">
        <v>3714</v>
      </c>
      <c r="J1051" s="17">
        <f t="shared" si="100"/>
        <v>876</v>
      </c>
      <c r="K1051" s="2">
        <f t="shared" si="101"/>
        <v>-174</v>
      </c>
      <c r="L1051" s="12" t="s">
        <v>3714</v>
      </c>
    </row>
    <row r="1052" spans="1:12" x14ac:dyDescent="0.25">
      <c r="A1052" s="11" t="s">
        <v>2451</v>
      </c>
      <c r="B1052" s="2" t="str">
        <f t="shared" si="96"/>
        <v>CR78 CHH</v>
      </c>
      <c r="C1052" s="3">
        <v>1051</v>
      </c>
      <c r="D1052" s="17" t="s">
        <v>1050</v>
      </c>
      <c r="E1052" s="2" t="str">
        <f t="shared" si="97"/>
        <v>Soft Jz Roll</v>
      </c>
      <c r="F1052" s="12">
        <v>1051</v>
      </c>
      <c r="G1052" s="17">
        <f t="shared" si="98"/>
        <v>1229</v>
      </c>
      <c r="H1052" s="2">
        <f t="shared" si="99"/>
        <v>178</v>
      </c>
      <c r="I1052" s="3" t="s">
        <v>3714</v>
      </c>
      <c r="J1052" s="17">
        <f t="shared" si="100"/>
        <v>875</v>
      </c>
      <c r="K1052" s="2">
        <f t="shared" si="101"/>
        <v>-176</v>
      </c>
      <c r="L1052" s="12" t="s">
        <v>3714</v>
      </c>
    </row>
    <row r="1053" spans="1:12" x14ac:dyDescent="0.25">
      <c r="A1053" s="11" t="s">
        <v>2452</v>
      </c>
      <c r="B1053" s="2" t="str">
        <f t="shared" si="96"/>
        <v>DR55 CHH</v>
      </c>
      <c r="C1053" s="3">
        <v>1052</v>
      </c>
      <c r="D1053" s="17" t="s">
        <v>1051</v>
      </c>
      <c r="E1053" s="2" t="str">
        <f t="shared" si="97"/>
        <v>Concert SD</v>
      </c>
      <c r="F1053" s="12">
        <v>1052</v>
      </c>
      <c r="G1053" s="17">
        <f t="shared" si="98"/>
        <v>0</v>
      </c>
      <c r="H1053" s="2">
        <f t="shared" si="99"/>
        <v>0</v>
      </c>
      <c r="I1053" s="3" t="s">
        <v>3714</v>
      </c>
      <c r="J1053" s="17">
        <f t="shared" si="100"/>
        <v>0</v>
      </c>
      <c r="K1053" s="2">
        <f t="shared" si="101"/>
        <v>0</v>
      </c>
      <c r="L1053" s="12" t="s">
        <v>3714</v>
      </c>
    </row>
    <row r="1054" spans="1:12" x14ac:dyDescent="0.25">
      <c r="A1054" s="11" t="s">
        <v>2453</v>
      </c>
      <c r="B1054" s="2" t="str">
        <f t="shared" si="96"/>
        <v>Neck CHH</v>
      </c>
      <c r="C1054" s="3">
        <v>1053</v>
      </c>
      <c r="D1054" s="17" t="s">
        <v>1052</v>
      </c>
      <c r="E1054" s="2" t="str">
        <f t="shared" si="97"/>
        <v>GoodOld Snr1</v>
      </c>
      <c r="F1054" s="12">
        <v>1053</v>
      </c>
      <c r="G1054" s="17">
        <f t="shared" si="98"/>
        <v>0</v>
      </c>
      <c r="H1054" s="2">
        <f t="shared" si="99"/>
        <v>0</v>
      </c>
      <c r="I1054" s="3" t="s">
        <v>3714</v>
      </c>
      <c r="J1054" s="17">
        <f t="shared" si="100"/>
        <v>877</v>
      </c>
      <c r="K1054" s="2">
        <f t="shared" si="101"/>
        <v>-176</v>
      </c>
      <c r="L1054" s="12" t="s">
        <v>3714</v>
      </c>
    </row>
    <row r="1055" spans="1:12" x14ac:dyDescent="0.25">
      <c r="A1055" s="11" t="s">
        <v>2454</v>
      </c>
      <c r="B1055" s="2" t="str">
        <f t="shared" si="96"/>
        <v>Dance CHH</v>
      </c>
      <c r="C1055" s="3">
        <v>1054</v>
      </c>
      <c r="D1055" s="17" t="s">
        <v>1053</v>
      </c>
      <c r="E1055" s="2" t="str">
        <f t="shared" si="97"/>
        <v>GoodOld Snr2</v>
      </c>
      <c r="F1055" s="12">
        <v>1054</v>
      </c>
      <c r="G1055" s="17">
        <f t="shared" si="98"/>
        <v>1230</v>
      </c>
      <c r="H1055" s="2">
        <f t="shared" si="99"/>
        <v>176</v>
      </c>
      <c r="I1055" s="3" t="s">
        <v>3714</v>
      </c>
      <c r="J1055" s="17">
        <f t="shared" si="100"/>
        <v>878</v>
      </c>
      <c r="K1055" s="2">
        <f t="shared" si="101"/>
        <v>-176</v>
      </c>
      <c r="L1055" s="12" t="s">
        <v>3714</v>
      </c>
    </row>
    <row r="1056" spans="1:12" x14ac:dyDescent="0.25">
      <c r="A1056" s="11" t="s">
        <v>2455</v>
      </c>
      <c r="B1056" s="2" t="str">
        <f t="shared" si="96"/>
        <v>Street PHH</v>
      </c>
      <c r="C1056" s="3">
        <v>1055</v>
      </c>
      <c r="D1056" s="17" t="s">
        <v>1054</v>
      </c>
      <c r="E1056" s="2" t="str">
        <f t="shared" si="97"/>
        <v>GoodOld Snr3</v>
      </c>
      <c r="F1056" s="12">
        <v>1055</v>
      </c>
      <c r="G1056" s="17">
        <f t="shared" si="98"/>
        <v>0</v>
      </c>
      <c r="H1056" s="2">
        <f t="shared" si="99"/>
        <v>0</v>
      </c>
      <c r="I1056" s="3" t="s">
        <v>3714</v>
      </c>
      <c r="J1056" s="17">
        <f t="shared" si="100"/>
        <v>879</v>
      </c>
      <c r="K1056" s="2">
        <f t="shared" si="101"/>
        <v>-176</v>
      </c>
      <c r="L1056" s="12" t="s">
        <v>3714</v>
      </c>
    </row>
    <row r="1057" spans="1:12" x14ac:dyDescent="0.25">
      <c r="A1057" s="11" t="s">
        <v>2456</v>
      </c>
      <c r="B1057" s="2" t="str">
        <f t="shared" si="96"/>
        <v>Swallow PHH</v>
      </c>
      <c r="C1057" s="3">
        <v>1056</v>
      </c>
      <c r="D1057" s="17" t="s">
        <v>1055</v>
      </c>
      <c r="E1057" s="2" t="str">
        <f t="shared" si="97"/>
        <v>GoodOld Snr4</v>
      </c>
      <c r="F1057" s="12">
        <v>1056</v>
      </c>
      <c r="G1057" s="17">
        <f t="shared" si="98"/>
        <v>0</v>
      </c>
      <c r="H1057" s="2">
        <f t="shared" si="99"/>
        <v>0</v>
      </c>
      <c r="I1057" s="3" t="s">
        <v>3714</v>
      </c>
      <c r="J1057" s="17">
        <f t="shared" si="100"/>
        <v>880</v>
      </c>
      <c r="K1057" s="2">
        <f t="shared" si="101"/>
        <v>-176</v>
      </c>
      <c r="L1057" s="12" t="s">
        <v>3714</v>
      </c>
    </row>
    <row r="1058" spans="1:12" x14ac:dyDescent="0.25">
      <c r="A1058" s="11" t="s">
        <v>2457</v>
      </c>
      <c r="B1058" s="2" t="str">
        <f t="shared" si="96"/>
        <v>Hip PHH</v>
      </c>
      <c r="C1058" s="3">
        <v>1057</v>
      </c>
      <c r="D1058" s="17" t="s">
        <v>1056</v>
      </c>
      <c r="E1058" s="2" t="str">
        <f t="shared" si="97"/>
        <v>GoodOld Snr5</v>
      </c>
      <c r="F1058" s="12">
        <v>1057</v>
      </c>
      <c r="G1058" s="17">
        <f t="shared" si="98"/>
        <v>1232</v>
      </c>
      <c r="H1058" s="2">
        <f t="shared" si="99"/>
        <v>175</v>
      </c>
      <c r="I1058" s="3" t="s">
        <v>3714</v>
      </c>
      <c r="J1058" s="17">
        <f t="shared" si="100"/>
        <v>881</v>
      </c>
      <c r="K1058" s="2">
        <f t="shared" si="101"/>
        <v>-176</v>
      </c>
      <c r="L1058" s="12" t="s">
        <v>3714</v>
      </c>
    </row>
    <row r="1059" spans="1:12" x14ac:dyDescent="0.25">
      <c r="A1059" s="11" t="s">
        <v>2458</v>
      </c>
      <c r="B1059" s="2" t="str">
        <f t="shared" si="96"/>
        <v>TR909 PHH 1</v>
      </c>
      <c r="C1059" s="3">
        <v>1058</v>
      </c>
      <c r="D1059" s="17" t="s">
        <v>1057</v>
      </c>
      <c r="E1059" s="2" t="str">
        <f t="shared" si="97"/>
        <v>GoodOld Snr6</v>
      </c>
      <c r="F1059" s="12">
        <v>1058</v>
      </c>
      <c r="G1059" s="17">
        <f t="shared" si="98"/>
        <v>1233</v>
      </c>
      <c r="H1059" s="2">
        <f t="shared" si="99"/>
        <v>175</v>
      </c>
      <c r="I1059" s="3" t="s">
        <v>3714</v>
      </c>
      <c r="J1059" s="17">
        <f t="shared" si="100"/>
        <v>882</v>
      </c>
      <c r="K1059" s="2">
        <f t="shared" si="101"/>
        <v>-176</v>
      </c>
      <c r="L1059" s="12" t="s">
        <v>3714</v>
      </c>
    </row>
    <row r="1060" spans="1:12" x14ac:dyDescent="0.25">
      <c r="A1060" s="11" t="s">
        <v>2459</v>
      </c>
      <c r="B1060" s="2" t="str">
        <f t="shared" si="96"/>
        <v>TR909 PHH 2</v>
      </c>
      <c r="C1060" s="3">
        <v>1059</v>
      </c>
      <c r="D1060" s="17" t="s">
        <v>1058</v>
      </c>
      <c r="E1060" s="2" t="str">
        <f t="shared" si="97"/>
        <v>Dirty Snr 1</v>
      </c>
      <c r="F1060" s="12">
        <v>1059</v>
      </c>
      <c r="G1060" s="17">
        <f t="shared" si="98"/>
        <v>1234</v>
      </c>
      <c r="H1060" s="2">
        <f t="shared" si="99"/>
        <v>175</v>
      </c>
      <c r="I1060" s="3" t="s">
        <v>3714</v>
      </c>
      <c r="J1060" s="17">
        <f t="shared" si="100"/>
        <v>883</v>
      </c>
      <c r="K1060" s="2">
        <f t="shared" si="101"/>
        <v>-176</v>
      </c>
      <c r="L1060" s="12" t="s">
        <v>3714</v>
      </c>
    </row>
    <row r="1061" spans="1:12" x14ac:dyDescent="0.25">
      <c r="A1061" s="11" t="s">
        <v>2460</v>
      </c>
      <c r="B1061" s="2" t="str">
        <f t="shared" si="96"/>
        <v>TR808 PHH</v>
      </c>
      <c r="C1061" s="3">
        <v>1060</v>
      </c>
      <c r="D1061" s="17" t="s">
        <v>1059</v>
      </c>
      <c r="E1061" s="2" t="str">
        <f t="shared" si="97"/>
        <v>Dirty Snr 2</v>
      </c>
      <c r="F1061" s="12">
        <v>1060</v>
      </c>
      <c r="G1061" s="17">
        <f t="shared" si="98"/>
        <v>1235</v>
      </c>
      <c r="H1061" s="2">
        <f t="shared" si="99"/>
        <v>175</v>
      </c>
      <c r="I1061" s="3" t="s">
        <v>3714</v>
      </c>
      <c r="J1061" s="17">
        <f t="shared" si="100"/>
        <v>884</v>
      </c>
      <c r="K1061" s="2">
        <f t="shared" si="101"/>
        <v>-176</v>
      </c>
      <c r="L1061" s="12" t="s">
        <v>3714</v>
      </c>
    </row>
    <row r="1062" spans="1:12" x14ac:dyDescent="0.25">
      <c r="A1062" s="11" t="s">
        <v>2461</v>
      </c>
      <c r="B1062" s="2" t="str">
        <f t="shared" si="96"/>
        <v>TR606 PHH 1</v>
      </c>
      <c r="C1062" s="3">
        <v>1061</v>
      </c>
      <c r="D1062" s="17" t="s">
        <v>1060</v>
      </c>
      <c r="E1062" s="2" t="str">
        <f t="shared" si="97"/>
        <v>Dirty Snr 3</v>
      </c>
      <c r="F1062" s="12">
        <v>1061</v>
      </c>
      <c r="G1062" s="17">
        <f t="shared" si="98"/>
        <v>1236</v>
      </c>
      <c r="H1062" s="2">
        <f t="shared" si="99"/>
        <v>175</v>
      </c>
      <c r="I1062" s="3" t="s">
        <v>3714</v>
      </c>
      <c r="J1062" s="17">
        <f t="shared" si="100"/>
        <v>885</v>
      </c>
      <c r="K1062" s="2">
        <f t="shared" si="101"/>
        <v>-176</v>
      </c>
      <c r="L1062" s="12" t="s">
        <v>3714</v>
      </c>
    </row>
    <row r="1063" spans="1:12" x14ac:dyDescent="0.25">
      <c r="A1063" s="11" t="s">
        <v>2462</v>
      </c>
      <c r="B1063" s="2" t="str">
        <f t="shared" si="96"/>
        <v>TR606 PHH 2</v>
      </c>
      <c r="C1063" s="3">
        <v>1062</v>
      </c>
      <c r="D1063" s="17" t="s">
        <v>1061</v>
      </c>
      <c r="E1063" s="2" t="str">
        <f t="shared" si="97"/>
        <v>Dirty Snr 4</v>
      </c>
      <c r="F1063" s="12">
        <v>1062</v>
      </c>
      <c r="G1063" s="17">
        <f t="shared" si="98"/>
        <v>1237</v>
      </c>
      <c r="H1063" s="2">
        <f t="shared" si="99"/>
        <v>175</v>
      </c>
      <c r="I1063" s="3" t="s">
        <v>3714</v>
      </c>
      <c r="J1063" s="17">
        <f t="shared" si="100"/>
        <v>886</v>
      </c>
      <c r="K1063" s="2">
        <f t="shared" si="101"/>
        <v>-176</v>
      </c>
      <c r="L1063" s="12" t="s">
        <v>3714</v>
      </c>
    </row>
    <row r="1064" spans="1:12" x14ac:dyDescent="0.25">
      <c r="A1064" s="11" t="s">
        <v>2463</v>
      </c>
      <c r="B1064" s="2" t="str">
        <f t="shared" si="96"/>
        <v>Lo-Bit PHH</v>
      </c>
      <c r="C1064" s="3">
        <v>1063</v>
      </c>
      <c r="D1064" s="17" t="s">
        <v>1062</v>
      </c>
      <c r="E1064" s="2" t="str">
        <f t="shared" si="97"/>
        <v>Dirty Snr 5</v>
      </c>
      <c r="F1064" s="12">
        <v>1063</v>
      </c>
      <c r="G1064" s="17">
        <f t="shared" si="98"/>
        <v>1238</v>
      </c>
      <c r="H1064" s="2">
        <f t="shared" si="99"/>
        <v>175</v>
      </c>
      <c r="I1064" s="3" t="s">
        <v>3714</v>
      </c>
      <c r="J1064" s="17">
        <f t="shared" si="100"/>
        <v>887</v>
      </c>
      <c r="K1064" s="2">
        <f t="shared" si="101"/>
        <v>-176</v>
      </c>
      <c r="L1064" s="12" t="s">
        <v>3714</v>
      </c>
    </row>
    <row r="1065" spans="1:12" x14ac:dyDescent="0.25">
      <c r="A1065" s="11" t="s">
        <v>2464</v>
      </c>
      <c r="B1065" s="2" t="str">
        <f t="shared" si="96"/>
        <v>Lo-Bit OHH 1</v>
      </c>
      <c r="C1065" s="3">
        <v>1064</v>
      </c>
      <c r="D1065" s="17" t="s">
        <v>1063</v>
      </c>
      <c r="E1065" s="2" t="str">
        <f t="shared" si="97"/>
        <v>Dirty Snr 6</v>
      </c>
      <c r="F1065" s="12">
        <v>1064</v>
      </c>
      <c r="G1065" s="17">
        <f t="shared" si="98"/>
        <v>1239</v>
      </c>
      <c r="H1065" s="2">
        <f t="shared" si="99"/>
        <v>175</v>
      </c>
      <c r="I1065" s="3" t="s">
        <v>3714</v>
      </c>
      <c r="J1065" s="17">
        <f t="shared" si="100"/>
        <v>888</v>
      </c>
      <c r="K1065" s="2">
        <f t="shared" si="101"/>
        <v>-176</v>
      </c>
      <c r="L1065" s="12" t="s">
        <v>3714</v>
      </c>
    </row>
    <row r="1066" spans="1:12" x14ac:dyDescent="0.25">
      <c r="A1066" s="11" t="s">
        <v>2465</v>
      </c>
      <c r="B1066" s="2" t="str">
        <f t="shared" si="96"/>
        <v>Lo-Bit OHH 2</v>
      </c>
      <c r="C1066" s="3">
        <v>1065</v>
      </c>
      <c r="D1066" s="17" t="s">
        <v>1064</v>
      </c>
      <c r="E1066" s="2" t="str">
        <f t="shared" si="97"/>
        <v>Dirty Snr 7</v>
      </c>
      <c r="F1066" s="12">
        <v>1065</v>
      </c>
      <c r="G1066" s="17">
        <f t="shared" si="98"/>
        <v>1240</v>
      </c>
      <c r="H1066" s="2">
        <f t="shared" si="99"/>
        <v>175</v>
      </c>
      <c r="I1066" s="3" t="s">
        <v>3714</v>
      </c>
      <c r="J1066" s="17">
        <f t="shared" si="100"/>
        <v>889</v>
      </c>
      <c r="K1066" s="2">
        <f t="shared" si="101"/>
        <v>-176</v>
      </c>
      <c r="L1066" s="12" t="s">
        <v>3714</v>
      </c>
    </row>
    <row r="1067" spans="1:12" x14ac:dyDescent="0.25">
      <c r="A1067" s="11" t="s">
        <v>2466</v>
      </c>
      <c r="B1067" s="2" t="str">
        <f t="shared" si="96"/>
        <v>Lo-Bit OHH 3</v>
      </c>
      <c r="C1067" s="3">
        <v>1066</v>
      </c>
      <c r="D1067" s="17" t="s">
        <v>1065</v>
      </c>
      <c r="E1067" s="2" t="str">
        <f t="shared" si="97"/>
        <v>Grit Snr 1</v>
      </c>
      <c r="F1067" s="12">
        <v>1066</v>
      </c>
      <c r="G1067" s="17">
        <f t="shared" si="98"/>
        <v>1241</v>
      </c>
      <c r="H1067" s="2">
        <f t="shared" si="99"/>
        <v>175</v>
      </c>
      <c r="I1067" s="3" t="s">
        <v>3714</v>
      </c>
      <c r="J1067" s="17">
        <f t="shared" si="100"/>
        <v>893</v>
      </c>
      <c r="K1067" s="2">
        <f t="shared" si="101"/>
        <v>-173</v>
      </c>
      <c r="L1067" s="12" t="s">
        <v>3714</v>
      </c>
    </row>
    <row r="1068" spans="1:12" x14ac:dyDescent="0.25">
      <c r="A1068" s="11" t="s">
        <v>2467</v>
      </c>
      <c r="B1068" s="2" t="str">
        <f t="shared" si="96"/>
        <v>Neck OHH</v>
      </c>
      <c r="C1068" s="3">
        <v>1067</v>
      </c>
      <c r="D1068" s="17" t="s">
        <v>1066</v>
      </c>
      <c r="E1068" s="2" t="str">
        <f t="shared" si="97"/>
        <v>Grit Snr 2</v>
      </c>
      <c r="F1068" s="12">
        <v>1067</v>
      </c>
      <c r="G1068" s="17">
        <f t="shared" si="98"/>
        <v>0</v>
      </c>
      <c r="H1068" s="2">
        <f t="shared" si="99"/>
        <v>0</v>
      </c>
      <c r="I1068" s="3" t="s">
        <v>3714</v>
      </c>
      <c r="J1068" s="17">
        <f t="shared" si="100"/>
        <v>894</v>
      </c>
      <c r="K1068" s="2">
        <f t="shared" si="101"/>
        <v>-173</v>
      </c>
      <c r="L1068" s="12" t="s">
        <v>3714</v>
      </c>
    </row>
    <row r="1069" spans="1:12" x14ac:dyDescent="0.25">
      <c r="A1069" s="11" t="s">
        <v>2468</v>
      </c>
      <c r="B1069" s="2" t="str">
        <f t="shared" si="96"/>
        <v>Bang OHH</v>
      </c>
      <c r="C1069" s="3">
        <v>1068</v>
      </c>
      <c r="D1069" s="17" t="s">
        <v>1067</v>
      </c>
      <c r="E1069" s="2" t="str">
        <f t="shared" si="97"/>
        <v>Grit Snr 3</v>
      </c>
      <c r="F1069" s="12">
        <v>1068</v>
      </c>
      <c r="G1069" s="17">
        <f t="shared" si="98"/>
        <v>0</v>
      </c>
      <c r="H1069" s="2">
        <f t="shared" si="99"/>
        <v>0</v>
      </c>
      <c r="I1069" s="3" t="s">
        <v>3714</v>
      </c>
      <c r="J1069" s="17">
        <f t="shared" si="100"/>
        <v>895</v>
      </c>
      <c r="K1069" s="2">
        <f t="shared" si="101"/>
        <v>-173</v>
      </c>
      <c r="L1069" s="12" t="s">
        <v>3714</v>
      </c>
    </row>
    <row r="1070" spans="1:12" x14ac:dyDescent="0.25">
      <c r="A1070" s="11" t="s">
        <v>2469</v>
      </c>
      <c r="B1070" s="2" t="str">
        <f t="shared" si="96"/>
        <v>HipHop OHH</v>
      </c>
      <c r="C1070" s="3">
        <v>1069</v>
      </c>
      <c r="D1070" s="17" t="s">
        <v>1068</v>
      </c>
      <c r="E1070" s="2" t="str">
        <f t="shared" si="97"/>
        <v>LoBit SnrFlm</v>
      </c>
      <c r="F1070" s="12">
        <v>1069</v>
      </c>
      <c r="G1070" s="17">
        <f t="shared" si="98"/>
        <v>1242</v>
      </c>
      <c r="H1070" s="2">
        <f t="shared" si="99"/>
        <v>173</v>
      </c>
      <c r="I1070" s="3" t="s">
        <v>3714</v>
      </c>
      <c r="J1070" s="17">
        <f t="shared" si="100"/>
        <v>897</v>
      </c>
      <c r="K1070" s="2">
        <f t="shared" si="101"/>
        <v>-172</v>
      </c>
      <c r="L1070" s="12" t="s">
        <v>3714</v>
      </c>
    </row>
    <row r="1071" spans="1:12" x14ac:dyDescent="0.25">
      <c r="A1071" s="11" t="s">
        <v>2470</v>
      </c>
      <c r="B1071" s="2" t="str">
        <f t="shared" si="96"/>
        <v>TR909 OHH 1</v>
      </c>
      <c r="C1071" s="3">
        <v>1070</v>
      </c>
      <c r="D1071" s="17" t="s">
        <v>1069</v>
      </c>
      <c r="E1071" s="2" t="str">
        <f t="shared" si="97"/>
        <v>Lo-Bit Snr 1</v>
      </c>
      <c r="F1071" s="12">
        <v>1070</v>
      </c>
      <c r="G1071" s="17">
        <f t="shared" si="98"/>
        <v>1243</v>
      </c>
      <c r="H1071" s="2">
        <f t="shared" si="99"/>
        <v>173</v>
      </c>
      <c r="I1071" s="3" t="s">
        <v>3714</v>
      </c>
      <c r="J1071" s="17">
        <f t="shared" si="100"/>
        <v>898</v>
      </c>
      <c r="K1071" s="2">
        <f t="shared" si="101"/>
        <v>-172</v>
      </c>
      <c r="L1071" s="12" t="s">
        <v>3714</v>
      </c>
    </row>
    <row r="1072" spans="1:12" x14ac:dyDescent="0.25">
      <c r="A1072" s="11" t="s">
        <v>2471</v>
      </c>
      <c r="B1072" s="2" t="str">
        <f t="shared" si="96"/>
        <v>TR909 OHH 2</v>
      </c>
      <c r="C1072" s="3">
        <v>1071</v>
      </c>
      <c r="D1072" s="17" t="s">
        <v>1070</v>
      </c>
      <c r="E1072" s="2" t="str">
        <f t="shared" si="97"/>
        <v>Lo-Bit Snr 2</v>
      </c>
      <c r="F1072" s="12">
        <v>1071</v>
      </c>
      <c r="G1072" s="17">
        <f t="shared" si="98"/>
        <v>1244</v>
      </c>
      <c r="H1072" s="2">
        <f t="shared" si="99"/>
        <v>173</v>
      </c>
      <c r="I1072" s="3" t="s">
        <v>3714</v>
      </c>
      <c r="J1072" s="17">
        <f t="shared" si="100"/>
        <v>899</v>
      </c>
      <c r="K1072" s="2">
        <f t="shared" si="101"/>
        <v>-172</v>
      </c>
      <c r="L1072" s="12" t="s">
        <v>3714</v>
      </c>
    </row>
    <row r="1073" spans="1:12" x14ac:dyDescent="0.25">
      <c r="A1073" s="11" t="s">
        <v>2472</v>
      </c>
      <c r="B1073" s="2" t="str">
        <f t="shared" si="96"/>
        <v>TR808 OHH 1</v>
      </c>
      <c r="C1073" s="3">
        <v>1072</v>
      </c>
      <c r="D1073" s="17" t="s">
        <v>1071</v>
      </c>
      <c r="E1073" s="2" t="str">
        <f t="shared" si="97"/>
        <v>MrchCmp Snr</v>
      </c>
      <c r="F1073" s="12">
        <v>1072</v>
      </c>
      <c r="G1073" s="17">
        <f t="shared" si="98"/>
        <v>1245</v>
      </c>
      <c r="H1073" s="2">
        <f t="shared" si="99"/>
        <v>173</v>
      </c>
      <c r="I1073" s="3" t="s">
        <v>3714</v>
      </c>
      <c r="J1073" s="17">
        <f t="shared" si="100"/>
        <v>902</v>
      </c>
      <c r="K1073" s="2">
        <f t="shared" si="101"/>
        <v>-170</v>
      </c>
      <c r="L1073" s="12" t="s">
        <v>3714</v>
      </c>
    </row>
    <row r="1074" spans="1:12" x14ac:dyDescent="0.25">
      <c r="A1074" s="11" t="s">
        <v>2473</v>
      </c>
      <c r="B1074" s="2" t="str">
        <f t="shared" si="96"/>
        <v>TR808 OHH 2</v>
      </c>
      <c r="C1074" s="3">
        <v>1073</v>
      </c>
      <c r="D1074" s="17" t="s">
        <v>1072</v>
      </c>
      <c r="E1074" s="2" t="str">
        <f t="shared" si="97"/>
        <v>Reggae Snr</v>
      </c>
      <c r="F1074" s="12">
        <v>1073</v>
      </c>
      <c r="G1074" s="17">
        <f t="shared" si="98"/>
        <v>1246</v>
      </c>
      <c r="H1074" s="2">
        <f t="shared" si="99"/>
        <v>173</v>
      </c>
      <c r="I1074" s="3" t="s">
        <v>3714</v>
      </c>
      <c r="J1074" s="17">
        <f t="shared" si="100"/>
        <v>907</v>
      </c>
      <c r="K1074" s="2">
        <f t="shared" si="101"/>
        <v>-166</v>
      </c>
      <c r="L1074" s="12" t="s">
        <v>3714</v>
      </c>
    </row>
    <row r="1075" spans="1:12" x14ac:dyDescent="0.25">
      <c r="A1075" s="11" t="s">
        <v>2474</v>
      </c>
      <c r="B1075" s="2" t="str">
        <f t="shared" si="96"/>
        <v>TR606 OHH</v>
      </c>
      <c r="C1075" s="3">
        <v>1074</v>
      </c>
      <c r="D1075" s="17" t="s">
        <v>1073</v>
      </c>
      <c r="E1075" s="2" t="str">
        <f t="shared" si="97"/>
        <v>DR660 Snr</v>
      </c>
      <c r="F1075" s="12">
        <v>1074</v>
      </c>
      <c r="G1075" s="17">
        <f t="shared" si="98"/>
        <v>1247</v>
      </c>
      <c r="H1075" s="2">
        <f t="shared" si="99"/>
        <v>173</v>
      </c>
      <c r="I1075" s="3" t="s">
        <v>3714</v>
      </c>
      <c r="J1075" s="17">
        <f t="shared" si="100"/>
        <v>908</v>
      </c>
      <c r="K1075" s="2">
        <f t="shared" si="101"/>
        <v>-166</v>
      </c>
      <c r="L1075" s="12" t="s">
        <v>3714</v>
      </c>
    </row>
    <row r="1076" spans="1:12" x14ac:dyDescent="0.25">
      <c r="A1076" s="11" t="s">
        <v>2475</v>
      </c>
      <c r="B1076" s="2" t="str">
        <f t="shared" si="96"/>
        <v>Lite OHH</v>
      </c>
      <c r="C1076" s="3">
        <v>1075</v>
      </c>
      <c r="D1076" s="17" t="s">
        <v>1074</v>
      </c>
      <c r="E1076" s="2" t="str">
        <f t="shared" si="97"/>
        <v>Jngl pkt Snr</v>
      </c>
      <c r="F1076" s="12">
        <v>1075</v>
      </c>
      <c r="G1076" s="17">
        <f t="shared" si="98"/>
        <v>1248</v>
      </c>
      <c r="H1076" s="2">
        <f t="shared" si="99"/>
        <v>173</v>
      </c>
      <c r="I1076" s="3" t="s">
        <v>3714</v>
      </c>
      <c r="J1076" s="17">
        <f t="shared" si="100"/>
        <v>913</v>
      </c>
      <c r="K1076" s="2">
        <f t="shared" si="101"/>
        <v>-162</v>
      </c>
      <c r="L1076" s="12" t="s">
        <v>3714</v>
      </c>
    </row>
    <row r="1077" spans="1:12" x14ac:dyDescent="0.25">
      <c r="A1077" s="11" t="s">
        <v>2476</v>
      </c>
      <c r="B1077" s="2" t="str">
        <f t="shared" si="96"/>
        <v>CR78 OHH</v>
      </c>
      <c r="C1077" s="3">
        <v>1076</v>
      </c>
      <c r="D1077" s="17" t="s">
        <v>1075</v>
      </c>
      <c r="E1077" s="2" t="str">
        <f t="shared" si="97"/>
        <v>Pocket Snr</v>
      </c>
      <c r="F1077" s="12">
        <v>1076</v>
      </c>
      <c r="G1077" s="17">
        <f t="shared" si="98"/>
        <v>1249</v>
      </c>
      <c r="H1077" s="2">
        <f t="shared" si="99"/>
        <v>173</v>
      </c>
      <c r="I1077" s="3" t="s">
        <v>3714</v>
      </c>
      <c r="J1077" s="17">
        <f t="shared" si="100"/>
        <v>914</v>
      </c>
      <c r="K1077" s="2">
        <f t="shared" si="101"/>
        <v>-162</v>
      </c>
      <c r="L1077" s="12" t="s">
        <v>3714</v>
      </c>
    </row>
    <row r="1078" spans="1:12" x14ac:dyDescent="0.25">
      <c r="A1078" s="11" t="s">
        <v>2477</v>
      </c>
      <c r="B1078" s="2" t="str">
        <f t="shared" si="96"/>
        <v>Crash Cym1 p</v>
      </c>
      <c r="C1078" s="3">
        <v>1077</v>
      </c>
      <c r="D1078" s="17" t="s">
        <v>1076</v>
      </c>
      <c r="E1078" s="2" t="str">
        <f t="shared" si="97"/>
        <v>Flange Snr</v>
      </c>
      <c r="F1078" s="12">
        <v>1077</v>
      </c>
      <c r="G1078" s="17">
        <f t="shared" si="98"/>
        <v>1252</v>
      </c>
      <c r="H1078" s="2">
        <f t="shared" si="99"/>
        <v>175</v>
      </c>
      <c r="I1078" s="3" t="s">
        <v>3714</v>
      </c>
      <c r="J1078" s="17">
        <f t="shared" si="100"/>
        <v>915</v>
      </c>
      <c r="K1078" s="2">
        <f t="shared" si="101"/>
        <v>-162</v>
      </c>
      <c r="L1078" s="12" t="s">
        <v>3714</v>
      </c>
    </row>
    <row r="1079" spans="1:12" x14ac:dyDescent="0.25">
      <c r="A1079" s="11" t="s">
        <v>2478</v>
      </c>
      <c r="B1079" s="2" t="str">
        <f t="shared" si="96"/>
        <v>Crash Cym1 f</v>
      </c>
      <c r="C1079" s="3">
        <v>1078</v>
      </c>
      <c r="D1079" s="17" t="s">
        <v>1077</v>
      </c>
      <c r="E1079" s="2" t="str">
        <f t="shared" si="97"/>
        <v>Analog Snr 1</v>
      </c>
      <c r="F1079" s="12">
        <v>1078</v>
      </c>
      <c r="G1079" s="17">
        <f t="shared" si="98"/>
        <v>1253</v>
      </c>
      <c r="H1079" s="2">
        <f t="shared" si="99"/>
        <v>175</v>
      </c>
      <c r="I1079" s="3" t="s">
        <v>3714</v>
      </c>
      <c r="J1079" s="17">
        <f t="shared" si="100"/>
        <v>917</v>
      </c>
      <c r="K1079" s="2">
        <f t="shared" si="101"/>
        <v>-161</v>
      </c>
      <c r="L1079" s="12" t="s">
        <v>3714</v>
      </c>
    </row>
    <row r="1080" spans="1:12" x14ac:dyDescent="0.25">
      <c r="A1080" s="11" t="s">
        <v>2479</v>
      </c>
      <c r="B1080" s="2" t="str">
        <f t="shared" si="96"/>
        <v>Crash Cym 2</v>
      </c>
      <c r="C1080" s="3">
        <v>1079</v>
      </c>
      <c r="D1080" s="17" t="s">
        <v>1078</v>
      </c>
      <c r="E1080" s="2" t="str">
        <f t="shared" si="97"/>
        <v>Analog Snr 2</v>
      </c>
      <c r="F1080" s="12">
        <v>1079</v>
      </c>
      <c r="G1080" s="17">
        <f t="shared" si="98"/>
        <v>1254</v>
      </c>
      <c r="H1080" s="2">
        <f t="shared" si="99"/>
        <v>175</v>
      </c>
      <c r="I1080" s="3" t="s">
        <v>3714</v>
      </c>
      <c r="J1080" s="17">
        <f t="shared" si="100"/>
        <v>918</v>
      </c>
      <c r="K1080" s="2">
        <f t="shared" si="101"/>
        <v>-161</v>
      </c>
      <c r="L1080" s="12" t="s">
        <v>3714</v>
      </c>
    </row>
    <row r="1081" spans="1:12" x14ac:dyDescent="0.25">
      <c r="A1081" s="11" t="s">
        <v>2480</v>
      </c>
      <c r="B1081" s="2" t="str">
        <f t="shared" si="96"/>
        <v>Rock Crash 1</v>
      </c>
      <c r="C1081" s="3">
        <v>1080</v>
      </c>
      <c r="D1081" s="17" t="s">
        <v>1079</v>
      </c>
      <c r="E1081" s="2" t="str">
        <f t="shared" si="97"/>
        <v>Analog Snr 3</v>
      </c>
      <c r="F1081" s="12">
        <v>1080</v>
      </c>
      <c r="G1081" s="17">
        <f t="shared" si="98"/>
        <v>1255</v>
      </c>
      <c r="H1081" s="2">
        <f t="shared" si="99"/>
        <v>175</v>
      </c>
      <c r="I1081" s="3" t="s">
        <v>3714</v>
      </c>
      <c r="J1081" s="17">
        <f t="shared" si="100"/>
        <v>919</v>
      </c>
      <c r="K1081" s="2">
        <f t="shared" si="101"/>
        <v>-161</v>
      </c>
      <c r="L1081" s="12" t="s">
        <v>3714</v>
      </c>
    </row>
    <row r="1082" spans="1:12" x14ac:dyDescent="0.25">
      <c r="A1082" s="11" t="s">
        <v>2481</v>
      </c>
      <c r="B1082" s="2" t="str">
        <f t="shared" si="96"/>
        <v>Rock Crash 2</v>
      </c>
      <c r="C1082" s="3">
        <v>1081</v>
      </c>
      <c r="D1082" s="17" t="s">
        <v>1080</v>
      </c>
      <c r="E1082" s="2" t="str">
        <f t="shared" si="97"/>
        <v>Tiny Snare</v>
      </c>
      <c r="F1082" s="12">
        <v>1081</v>
      </c>
      <c r="G1082" s="17">
        <f t="shared" si="98"/>
        <v>1256</v>
      </c>
      <c r="H1082" s="2">
        <f t="shared" si="99"/>
        <v>175</v>
      </c>
      <c r="I1082" s="3" t="s">
        <v>3714</v>
      </c>
      <c r="J1082" s="17">
        <f t="shared" si="100"/>
        <v>930</v>
      </c>
      <c r="K1082" s="2">
        <f t="shared" si="101"/>
        <v>-151</v>
      </c>
      <c r="L1082" s="12" t="s">
        <v>3714</v>
      </c>
    </row>
    <row r="1083" spans="1:12" x14ac:dyDescent="0.25">
      <c r="A1083" s="11" t="s">
        <v>2482</v>
      </c>
      <c r="B1083" s="2" t="str">
        <f t="shared" si="96"/>
        <v>Splash Cym</v>
      </c>
      <c r="C1083" s="3">
        <v>1082</v>
      </c>
      <c r="D1083" s="17" t="s">
        <v>1081</v>
      </c>
      <c r="E1083" s="2" t="str">
        <f t="shared" si="97"/>
        <v>R&amp;B ShrtSnr1</v>
      </c>
      <c r="F1083" s="12">
        <v>1082</v>
      </c>
      <c r="G1083" s="17">
        <f t="shared" si="98"/>
        <v>1257</v>
      </c>
      <c r="H1083" s="2">
        <f t="shared" si="99"/>
        <v>175</v>
      </c>
      <c r="I1083" s="3" t="s">
        <v>3714</v>
      </c>
      <c r="J1083" s="17">
        <f t="shared" si="100"/>
        <v>0</v>
      </c>
      <c r="K1083" s="2">
        <f t="shared" si="101"/>
        <v>0</v>
      </c>
      <c r="L1083" s="12" t="s">
        <v>3714</v>
      </c>
    </row>
    <row r="1084" spans="1:12" x14ac:dyDescent="0.25">
      <c r="A1084" s="11" t="s">
        <v>2483</v>
      </c>
      <c r="B1084" s="2" t="str">
        <f t="shared" si="96"/>
        <v>Jazz Crash</v>
      </c>
      <c r="C1084" s="3">
        <v>1083</v>
      </c>
      <c r="D1084" s="17" t="s">
        <v>1082</v>
      </c>
      <c r="E1084" s="2" t="str">
        <f t="shared" si="97"/>
        <v>TR909 Snr 1</v>
      </c>
      <c r="F1084" s="12">
        <v>1083</v>
      </c>
      <c r="G1084" s="17">
        <f t="shared" si="98"/>
        <v>1258</v>
      </c>
      <c r="H1084" s="2">
        <f t="shared" si="99"/>
        <v>175</v>
      </c>
      <c r="I1084" s="3" t="s">
        <v>3714</v>
      </c>
      <c r="J1084" s="17">
        <f t="shared" si="100"/>
        <v>938</v>
      </c>
      <c r="K1084" s="2">
        <f t="shared" si="101"/>
        <v>-145</v>
      </c>
      <c r="L1084" s="12" t="s">
        <v>3714</v>
      </c>
    </row>
    <row r="1085" spans="1:12" x14ac:dyDescent="0.25">
      <c r="A1085" s="11" t="s">
        <v>2484</v>
      </c>
      <c r="B1085" s="2" t="str">
        <f t="shared" si="96"/>
        <v>TR909 Crash</v>
      </c>
      <c r="C1085" s="3">
        <v>1084</v>
      </c>
      <c r="D1085" s="17" t="s">
        <v>1083</v>
      </c>
      <c r="E1085" s="2" t="str">
        <f t="shared" si="97"/>
        <v>TR909 Snr 2</v>
      </c>
      <c r="F1085" s="12">
        <v>1084</v>
      </c>
      <c r="G1085" s="17">
        <f t="shared" si="98"/>
        <v>1259</v>
      </c>
      <c r="H1085" s="2">
        <f t="shared" si="99"/>
        <v>175</v>
      </c>
      <c r="I1085" s="3" t="s">
        <v>3714</v>
      </c>
      <c r="J1085" s="17">
        <f t="shared" si="100"/>
        <v>939</v>
      </c>
      <c r="K1085" s="2">
        <f t="shared" si="101"/>
        <v>-145</v>
      </c>
      <c r="L1085" s="12" t="s">
        <v>3714</v>
      </c>
    </row>
    <row r="1086" spans="1:12" x14ac:dyDescent="0.25">
      <c r="A1086" s="11" t="s">
        <v>2485</v>
      </c>
      <c r="B1086" s="2" t="str">
        <f t="shared" si="96"/>
        <v>TR606 Cym</v>
      </c>
      <c r="C1086" s="3">
        <v>1085</v>
      </c>
      <c r="D1086" s="17" t="s">
        <v>1084</v>
      </c>
      <c r="E1086" s="2" t="str">
        <f t="shared" si="97"/>
        <v>TR909 Snr 3</v>
      </c>
      <c r="F1086" s="12">
        <v>1085</v>
      </c>
      <c r="G1086" s="17">
        <f t="shared" si="98"/>
        <v>0</v>
      </c>
      <c r="H1086" s="2">
        <f t="shared" si="99"/>
        <v>0</v>
      </c>
      <c r="I1086" s="3" t="s">
        <v>3714</v>
      </c>
      <c r="J1086" s="17">
        <f t="shared" si="100"/>
        <v>940</v>
      </c>
      <c r="K1086" s="2">
        <f t="shared" si="101"/>
        <v>-145</v>
      </c>
      <c r="L1086" s="12" t="s">
        <v>3714</v>
      </c>
    </row>
    <row r="1087" spans="1:12" x14ac:dyDescent="0.25">
      <c r="A1087" s="11" t="s">
        <v>2486</v>
      </c>
      <c r="B1087" s="2" t="str">
        <f t="shared" si="96"/>
        <v>Ride Cymbal</v>
      </c>
      <c r="C1087" s="3">
        <v>1086</v>
      </c>
      <c r="D1087" s="17" t="s">
        <v>1085</v>
      </c>
      <c r="E1087" s="2" t="str">
        <f t="shared" si="97"/>
        <v>TR909 Snr 4</v>
      </c>
      <c r="F1087" s="12">
        <v>1086</v>
      </c>
      <c r="G1087" s="17">
        <f t="shared" si="98"/>
        <v>1263</v>
      </c>
      <c r="H1087" s="2">
        <f t="shared" si="99"/>
        <v>177</v>
      </c>
      <c r="I1087" s="3" t="s">
        <v>3714</v>
      </c>
      <c r="J1087" s="17">
        <f t="shared" si="100"/>
        <v>941</v>
      </c>
      <c r="K1087" s="2">
        <f t="shared" si="101"/>
        <v>-145</v>
      </c>
      <c r="L1087" s="12" t="s">
        <v>3714</v>
      </c>
    </row>
    <row r="1088" spans="1:12" x14ac:dyDescent="0.25">
      <c r="A1088" s="11" t="s">
        <v>2487</v>
      </c>
      <c r="B1088" s="2" t="str">
        <f t="shared" si="96"/>
        <v>Ride Bell</v>
      </c>
      <c r="C1088" s="3">
        <v>1087</v>
      </c>
      <c r="D1088" s="17" t="s">
        <v>1086</v>
      </c>
      <c r="E1088" s="2" t="str">
        <f t="shared" si="97"/>
        <v>TR909 Snr 5</v>
      </c>
      <c r="F1088" s="12">
        <v>1087</v>
      </c>
      <c r="G1088" s="17">
        <f t="shared" si="98"/>
        <v>1264</v>
      </c>
      <c r="H1088" s="2">
        <f t="shared" si="99"/>
        <v>177</v>
      </c>
      <c r="I1088" s="3" t="s">
        <v>3714</v>
      </c>
      <c r="J1088" s="17">
        <f t="shared" si="100"/>
        <v>942</v>
      </c>
      <c r="K1088" s="2">
        <f t="shared" si="101"/>
        <v>-145</v>
      </c>
      <c r="L1088" s="12" t="s">
        <v>3714</v>
      </c>
    </row>
    <row r="1089" spans="1:12" x14ac:dyDescent="0.25">
      <c r="A1089" s="11" t="s">
        <v>2488</v>
      </c>
      <c r="B1089" s="2" t="str">
        <f t="shared" si="96"/>
        <v>Rock Rd Cup</v>
      </c>
      <c r="C1089" s="3">
        <v>1088</v>
      </c>
      <c r="D1089" s="17" t="s">
        <v>1087</v>
      </c>
      <c r="E1089" s="2" t="str">
        <f t="shared" si="97"/>
        <v>TR909 Snr 6</v>
      </c>
      <c r="F1089" s="12">
        <v>1088</v>
      </c>
      <c r="G1089" s="17">
        <f t="shared" si="98"/>
        <v>1265</v>
      </c>
      <c r="H1089" s="2">
        <f t="shared" si="99"/>
        <v>177</v>
      </c>
      <c r="I1089" s="3" t="s">
        <v>3714</v>
      </c>
      <c r="J1089" s="17">
        <f t="shared" si="100"/>
        <v>943</v>
      </c>
      <c r="K1089" s="2">
        <f t="shared" si="101"/>
        <v>-145</v>
      </c>
      <c r="L1089" s="12" t="s">
        <v>3714</v>
      </c>
    </row>
    <row r="1090" spans="1:12" x14ac:dyDescent="0.25">
      <c r="A1090" s="11" t="s">
        <v>2489</v>
      </c>
      <c r="B1090" s="2" t="str">
        <f t="shared" ref="B1090:B1153" si="102">_xlfn.TEXTAFTER(A1090," ",1)</f>
        <v>Rock Rd Edge</v>
      </c>
      <c r="C1090" s="3">
        <v>1089</v>
      </c>
      <c r="D1090" s="17" t="s">
        <v>1088</v>
      </c>
      <c r="E1090" s="2" t="str">
        <f t="shared" ref="E1090:E1153" si="103">_xlfn.TEXTAFTER(D1090," ",1)</f>
        <v>TR808 Snr 1</v>
      </c>
      <c r="F1090" s="12">
        <v>1089</v>
      </c>
      <c r="G1090" s="17">
        <f t="shared" si="98"/>
        <v>1266</v>
      </c>
      <c r="H1090" s="2">
        <f t="shared" si="99"/>
        <v>177</v>
      </c>
      <c r="I1090" s="3" t="s">
        <v>3714</v>
      </c>
      <c r="J1090" s="17">
        <f t="shared" si="100"/>
        <v>944</v>
      </c>
      <c r="K1090" s="2">
        <f t="shared" si="101"/>
        <v>-145</v>
      </c>
      <c r="L1090" s="12" t="s">
        <v>3714</v>
      </c>
    </row>
    <row r="1091" spans="1:12" x14ac:dyDescent="0.25">
      <c r="A1091" s="11" t="s">
        <v>2490</v>
      </c>
      <c r="B1091" s="2" t="str">
        <f t="shared" si="102"/>
        <v>Jazz Ride p</v>
      </c>
      <c r="C1091" s="3">
        <v>1090</v>
      </c>
      <c r="D1091" s="17" t="s">
        <v>1089</v>
      </c>
      <c r="E1091" s="2" t="str">
        <f t="shared" si="103"/>
        <v>TR808 Snr 2</v>
      </c>
      <c r="F1091" s="12">
        <v>1090</v>
      </c>
      <c r="G1091" s="17">
        <f t="shared" ref="G1091:G1154" si="104">_xlfn.IFNA(_xlfn.XMATCH(B1091,E$2:E$1402,0,1),0)</f>
        <v>1267</v>
      </c>
      <c r="H1091" s="2">
        <f t="shared" ref="H1091:H1154" si="105">IF(G1091=0,0,G1091-C1091)</f>
        <v>177</v>
      </c>
      <c r="I1091" s="3" t="s">
        <v>3714</v>
      </c>
      <c r="J1091" s="17">
        <f t="shared" ref="J1091:J1154" si="106">_xlfn.IFNA(_xlfn.XMATCH(E1091,B$2:B$1229,0,1),0)</f>
        <v>945</v>
      </c>
      <c r="K1091" s="2">
        <f t="shared" ref="K1091:K1154" si="107">IF(J1091=0,0,J1091-F1091)</f>
        <v>-145</v>
      </c>
      <c r="L1091" s="12" t="s">
        <v>3714</v>
      </c>
    </row>
    <row r="1092" spans="1:12" x14ac:dyDescent="0.25">
      <c r="A1092" s="11" t="s">
        <v>2491</v>
      </c>
      <c r="B1092" s="2" t="str">
        <f t="shared" si="102"/>
        <v>Jazz Ride mf</v>
      </c>
      <c r="C1092" s="3">
        <v>1091</v>
      </c>
      <c r="D1092" s="17" t="s">
        <v>1090</v>
      </c>
      <c r="E1092" s="2" t="str">
        <f t="shared" si="103"/>
        <v>TR808 Snr 3</v>
      </c>
      <c r="F1092" s="12">
        <v>1091</v>
      </c>
      <c r="G1092" s="17">
        <f t="shared" si="104"/>
        <v>1268</v>
      </c>
      <c r="H1092" s="2">
        <f t="shared" si="105"/>
        <v>177</v>
      </c>
      <c r="I1092" s="3" t="s">
        <v>3714</v>
      </c>
      <c r="J1092" s="17">
        <f t="shared" si="106"/>
        <v>946</v>
      </c>
      <c r="K1092" s="2">
        <f t="shared" si="107"/>
        <v>-145</v>
      </c>
      <c r="L1092" s="12" t="s">
        <v>3714</v>
      </c>
    </row>
    <row r="1093" spans="1:12" x14ac:dyDescent="0.25">
      <c r="A1093" s="11" t="s">
        <v>2492</v>
      </c>
      <c r="B1093" s="2" t="str">
        <f t="shared" si="102"/>
        <v>TR909 Ride</v>
      </c>
      <c r="C1093" s="3">
        <v>1092</v>
      </c>
      <c r="D1093" s="17" t="s">
        <v>1091</v>
      </c>
      <c r="E1093" s="2" t="str">
        <f t="shared" si="103"/>
        <v>TR808 Snr 4</v>
      </c>
      <c r="F1093" s="12">
        <v>1092</v>
      </c>
      <c r="G1093" s="17">
        <f t="shared" si="104"/>
        <v>1269</v>
      </c>
      <c r="H1093" s="2">
        <f t="shared" si="105"/>
        <v>177</v>
      </c>
      <c r="I1093" s="3" t="s">
        <v>3714</v>
      </c>
      <c r="J1093" s="17">
        <f t="shared" si="106"/>
        <v>947</v>
      </c>
      <c r="K1093" s="2">
        <f t="shared" si="107"/>
        <v>-145</v>
      </c>
      <c r="L1093" s="12" t="s">
        <v>3714</v>
      </c>
    </row>
    <row r="1094" spans="1:12" x14ac:dyDescent="0.25">
      <c r="A1094" s="11" t="s">
        <v>2493</v>
      </c>
      <c r="B1094" s="2" t="str">
        <f t="shared" si="102"/>
        <v>TR707 Ride</v>
      </c>
      <c r="C1094" s="3">
        <v>1093</v>
      </c>
      <c r="D1094" s="17" t="s">
        <v>1092</v>
      </c>
      <c r="E1094" s="2" t="str">
        <f t="shared" si="103"/>
        <v>Lite Snare</v>
      </c>
      <c r="F1094" s="12">
        <v>1093</v>
      </c>
      <c r="G1094" s="17">
        <f t="shared" si="104"/>
        <v>0</v>
      </c>
      <c r="H1094" s="2">
        <f t="shared" si="105"/>
        <v>0</v>
      </c>
      <c r="I1094" s="3" t="s">
        <v>3714</v>
      </c>
      <c r="J1094" s="17">
        <f t="shared" si="106"/>
        <v>948</v>
      </c>
      <c r="K1094" s="2">
        <f t="shared" si="107"/>
        <v>-145</v>
      </c>
      <c r="L1094" s="12" t="s">
        <v>3714</v>
      </c>
    </row>
    <row r="1095" spans="1:12" x14ac:dyDescent="0.25">
      <c r="A1095" s="11" t="s">
        <v>2494</v>
      </c>
      <c r="B1095" s="2" t="str">
        <f t="shared" si="102"/>
        <v>China Cymbal</v>
      </c>
      <c r="C1095" s="3">
        <v>1094</v>
      </c>
      <c r="D1095" s="17" t="s">
        <v>1093</v>
      </c>
      <c r="E1095" s="2" t="str">
        <f t="shared" si="103"/>
        <v>TR808 Snr 5</v>
      </c>
      <c r="F1095" s="12">
        <v>1094</v>
      </c>
      <c r="G1095" s="17">
        <f t="shared" si="104"/>
        <v>1270</v>
      </c>
      <c r="H1095" s="2">
        <f t="shared" si="105"/>
        <v>176</v>
      </c>
      <c r="I1095" s="3" t="s">
        <v>3714</v>
      </c>
      <c r="J1095" s="17">
        <f t="shared" si="106"/>
        <v>949</v>
      </c>
      <c r="K1095" s="2">
        <f t="shared" si="107"/>
        <v>-145</v>
      </c>
      <c r="L1095" s="12" t="s">
        <v>3714</v>
      </c>
    </row>
    <row r="1096" spans="1:12" x14ac:dyDescent="0.25">
      <c r="A1096" s="11" t="s">
        <v>2495</v>
      </c>
      <c r="B1096" s="2" t="str">
        <f t="shared" si="102"/>
        <v>Concert Cym</v>
      </c>
      <c r="C1096" s="3">
        <v>1095</v>
      </c>
      <c r="D1096" s="17" t="s">
        <v>1094</v>
      </c>
      <c r="E1096" s="2" t="str">
        <f t="shared" si="103"/>
        <v>TR808 Snr 6</v>
      </c>
      <c r="F1096" s="12">
        <v>1095</v>
      </c>
      <c r="G1096" s="17">
        <f t="shared" si="104"/>
        <v>1271</v>
      </c>
      <c r="H1096" s="2">
        <f t="shared" si="105"/>
        <v>176</v>
      </c>
      <c r="I1096" s="3" t="s">
        <v>3714</v>
      </c>
      <c r="J1096" s="17">
        <f t="shared" si="106"/>
        <v>950</v>
      </c>
      <c r="K1096" s="2">
        <f t="shared" si="107"/>
        <v>-145</v>
      </c>
      <c r="L1096" s="12" t="s">
        <v>3714</v>
      </c>
    </row>
    <row r="1097" spans="1:12" x14ac:dyDescent="0.25">
      <c r="A1097" s="11" t="s">
        <v>2496</v>
      </c>
      <c r="B1097" s="2" t="str">
        <f t="shared" si="102"/>
        <v>Hand Clap</v>
      </c>
      <c r="C1097" s="3">
        <v>1096</v>
      </c>
      <c r="D1097" s="17" t="s">
        <v>1095</v>
      </c>
      <c r="E1097" s="2" t="str">
        <f t="shared" si="103"/>
        <v>TR606 Snr 1</v>
      </c>
      <c r="F1097" s="12">
        <v>1096</v>
      </c>
      <c r="G1097" s="17">
        <f t="shared" si="104"/>
        <v>1273</v>
      </c>
      <c r="H1097" s="2">
        <f t="shared" si="105"/>
        <v>177</v>
      </c>
      <c r="I1097" s="3" t="s">
        <v>3714</v>
      </c>
      <c r="J1097" s="17">
        <f t="shared" si="106"/>
        <v>952</v>
      </c>
      <c r="K1097" s="2">
        <f t="shared" si="107"/>
        <v>-144</v>
      </c>
      <c r="L1097" s="12" t="s">
        <v>3714</v>
      </c>
    </row>
    <row r="1098" spans="1:12" x14ac:dyDescent="0.25">
      <c r="A1098" s="11" t="s">
        <v>2497</v>
      </c>
      <c r="B1098" s="2" t="str">
        <f t="shared" si="102"/>
        <v>Club Clap</v>
      </c>
      <c r="C1098" s="3">
        <v>1097</v>
      </c>
      <c r="D1098" s="17" t="s">
        <v>1096</v>
      </c>
      <c r="E1098" s="2" t="str">
        <f t="shared" si="103"/>
        <v>TR606 Snr 2</v>
      </c>
      <c r="F1098" s="12">
        <v>1097</v>
      </c>
      <c r="G1098" s="17">
        <f t="shared" si="104"/>
        <v>1274</v>
      </c>
      <c r="H1098" s="2">
        <f t="shared" si="105"/>
        <v>177</v>
      </c>
      <c r="I1098" s="3" t="s">
        <v>3714</v>
      </c>
      <c r="J1098" s="17">
        <f t="shared" si="106"/>
        <v>953</v>
      </c>
      <c r="K1098" s="2">
        <f t="shared" si="107"/>
        <v>-144</v>
      </c>
      <c r="L1098" s="12" t="s">
        <v>3714</v>
      </c>
    </row>
    <row r="1099" spans="1:12" x14ac:dyDescent="0.25">
      <c r="A1099" s="11" t="s">
        <v>2498</v>
      </c>
      <c r="B1099" s="2" t="str">
        <f t="shared" si="102"/>
        <v>Short Clap</v>
      </c>
      <c r="C1099" s="3">
        <v>1098</v>
      </c>
      <c r="D1099" s="17" t="s">
        <v>1097</v>
      </c>
      <c r="E1099" s="2" t="str">
        <f t="shared" si="103"/>
        <v>CR78 Snare</v>
      </c>
      <c r="F1099" s="12">
        <v>1098</v>
      </c>
      <c r="G1099" s="17">
        <f t="shared" si="104"/>
        <v>0</v>
      </c>
      <c r="H1099" s="2">
        <f t="shared" si="105"/>
        <v>0</v>
      </c>
      <c r="I1099" s="3" t="s">
        <v>3714</v>
      </c>
      <c r="J1099" s="17">
        <f t="shared" si="106"/>
        <v>954</v>
      </c>
      <c r="K1099" s="2">
        <f t="shared" si="107"/>
        <v>-144</v>
      </c>
      <c r="L1099" s="12" t="s">
        <v>3714</v>
      </c>
    </row>
    <row r="1100" spans="1:12" x14ac:dyDescent="0.25">
      <c r="A1100" s="11" t="s">
        <v>2499</v>
      </c>
      <c r="B1100" s="2" t="str">
        <f t="shared" si="102"/>
        <v>Real Clap</v>
      </c>
      <c r="C1100" s="3">
        <v>1099</v>
      </c>
      <c r="D1100" s="17" t="s">
        <v>1098</v>
      </c>
      <c r="E1100" s="2" t="str">
        <f t="shared" si="103"/>
        <v>Urbn Sn Roll</v>
      </c>
      <c r="F1100" s="12">
        <v>1099</v>
      </c>
      <c r="G1100" s="17">
        <f t="shared" si="104"/>
        <v>1275</v>
      </c>
      <c r="H1100" s="2">
        <f t="shared" si="105"/>
        <v>176</v>
      </c>
      <c r="I1100" s="3" t="s">
        <v>3714</v>
      </c>
      <c r="J1100" s="17">
        <f t="shared" si="106"/>
        <v>955</v>
      </c>
      <c r="K1100" s="2">
        <f t="shared" si="107"/>
        <v>-144</v>
      </c>
      <c r="L1100" s="12" t="s">
        <v>3714</v>
      </c>
    </row>
    <row r="1101" spans="1:12" x14ac:dyDescent="0.25">
      <c r="A1101" s="11" t="s">
        <v>2500</v>
      </c>
      <c r="B1101" s="2" t="str">
        <f t="shared" si="102"/>
        <v>Bright Clap</v>
      </c>
      <c r="C1101" s="3">
        <v>1100</v>
      </c>
      <c r="D1101" s="17" t="s">
        <v>1099</v>
      </c>
      <c r="E1101" s="2" t="str">
        <f t="shared" si="103"/>
        <v>Vint Snr 1</v>
      </c>
      <c r="F1101" s="12">
        <v>1100</v>
      </c>
      <c r="G1101" s="17">
        <f t="shared" si="104"/>
        <v>1276</v>
      </c>
      <c r="H1101" s="2">
        <f t="shared" si="105"/>
        <v>176</v>
      </c>
      <c r="I1101" s="3" t="s">
        <v>3714</v>
      </c>
      <c r="J1101" s="17">
        <f t="shared" si="106"/>
        <v>0</v>
      </c>
      <c r="K1101" s="2">
        <f t="shared" si="107"/>
        <v>0</v>
      </c>
      <c r="L1101" s="12" t="s">
        <v>3714</v>
      </c>
    </row>
    <row r="1102" spans="1:12" x14ac:dyDescent="0.25">
      <c r="A1102" s="11" t="s">
        <v>2501</v>
      </c>
      <c r="B1102" s="2" t="str">
        <f t="shared" si="102"/>
        <v>R8 Clap</v>
      </c>
      <c r="C1102" s="3">
        <v>1101</v>
      </c>
      <c r="D1102" s="17" t="s">
        <v>1100</v>
      </c>
      <c r="E1102" s="2" t="str">
        <f t="shared" si="103"/>
        <v>Vint Snr 2</v>
      </c>
      <c r="F1102" s="12">
        <v>1101</v>
      </c>
      <c r="G1102" s="17">
        <f t="shared" si="104"/>
        <v>1277</v>
      </c>
      <c r="H1102" s="2">
        <f t="shared" si="105"/>
        <v>176</v>
      </c>
      <c r="I1102" s="3" t="s">
        <v>3714</v>
      </c>
      <c r="J1102" s="17">
        <f t="shared" si="106"/>
        <v>0</v>
      </c>
      <c r="K1102" s="2">
        <f t="shared" si="107"/>
        <v>0</v>
      </c>
      <c r="L1102" s="12" t="s">
        <v>3714</v>
      </c>
    </row>
    <row r="1103" spans="1:12" x14ac:dyDescent="0.25">
      <c r="A1103" s="11" t="s">
        <v>2502</v>
      </c>
      <c r="B1103" s="2" t="str">
        <f t="shared" si="102"/>
        <v>Gospel Clap</v>
      </c>
      <c r="C1103" s="3">
        <v>1102</v>
      </c>
      <c r="D1103" s="17" t="s">
        <v>1101</v>
      </c>
      <c r="E1103" s="2" t="str">
        <f t="shared" si="103"/>
        <v>Vint Snr 3</v>
      </c>
      <c r="F1103" s="12">
        <v>1102</v>
      </c>
      <c r="G1103" s="17">
        <f t="shared" si="104"/>
        <v>1278</v>
      </c>
      <c r="H1103" s="2">
        <f t="shared" si="105"/>
        <v>176</v>
      </c>
      <c r="I1103" s="3" t="s">
        <v>3714</v>
      </c>
      <c r="J1103" s="17">
        <f t="shared" si="106"/>
        <v>0</v>
      </c>
      <c r="K1103" s="2">
        <f t="shared" si="107"/>
        <v>0</v>
      </c>
      <c r="L1103" s="12" t="s">
        <v>3714</v>
      </c>
    </row>
    <row r="1104" spans="1:12" x14ac:dyDescent="0.25">
      <c r="A1104" s="11" t="s">
        <v>2503</v>
      </c>
      <c r="B1104" s="2" t="str">
        <f t="shared" si="102"/>
        <v>Amb Clap</v>
      </c>
      <c r="C1104" s="3">
        <v>1103</v>
      </c>
      <c r="D1104" s="17" t="s">
        <v>1102</v>
      </c>
      <c r="E1104" s="2" t="str">
        <f t="shared" si="103"/>
        <v>Vint Snr 4</v>
      </c>
      <c r="F1104" s="12">
        <v>1103</v>
      </c>
      <c r="G1104" s="17">
        <f t="shared" si="104"/>
        <v>1279</v>
      </c>
      <c r="H1104" s="2">
        <f t="shared" si="105"/>
        <v>176</v>
      </c>
      <c r="I1104" s="3" t="s">
        <v>3714</v>
      </c>
      <c r="J1104" s="17">
        <f t="shared" si="106"/>
        <v>0</v>
      </c>
      <c r="K1104" s="2">
        <f t="shared" si="107"/>
        <v>0</v>
      </c>
      <c r="L1104" s="12" t="s">
        <v>3714</v>
      </c>
    </row>
    <row r="1105" spans="1:12" x14ac:dyDescent="0.25">
      <c r="A1105" s="11" t="s">
        <v>2504</v>
      </c>
      <c r="B1105" s="2" t="str">
        <f t="shared" si="102"/>
        <v>Hip Clap</v>
      </c>
      <c r="C1105" s="3">
        <v>1104</v>
      </c>
      <c r="D1105" s="17" t="s">
        <v>1103</v>
      </c>
      <c r="E1105" s="2" t="str">
        <f t="shared" si="103"/>
        <v>Dist Snr</v>
      </c>
      <c r="F1105" s="12">
        <v>1104</v>
      </c>
      <c r="G1105" s="17">
        <f t="shared" si="104"/>
        <v>1280</v>
      </c>
      <c r="H1105" s="2">
        <f t="shared" si="105"/>
        <v>176</v>
      </c>
      <c r="I1105" s="3" t="s">
        <v>3714</v>
      </c>
      <c r="J1105" s="17">
        <f t="shared" si="106"/>
        <v>0</v>
      </c>
      <c r="K1105" s="2">
        <f t="shared" si="107"/>
        <v>0</v>
      </c>
      <c r="L1105" s="12" t="s">
        <v>3714</v>
      </c>
    </row>
    <row r="1106" spans="1:12" x14ac:dyDescent="0.25">
      <c r="A1106" s="11" t="s">
        <v>2505</v>
      </c>
      <c r="B1106" s="2" t="str">
        <f t="shared" si="102"/>
        <v>Funk Clap</v>
      </c>
      <c r="C1106" s="3">
        <v>1105</v>
      </c>
      <c r="D1106" s="17" t="s">
        <v>1104</v>
      </c>
      <c r="E1106" s="2" t="str">
        <f t="shared" si="103"/>
        <v>Short Snr1</v>
      </c>
      <c r="F1106" s="12">
        <v>1105</v>
      </c>
      <c r="G1106" s="17">
        <f t="shared" si="104"/>
        <v>1281</v>
      </c>
      <c r="H1106" s="2">
        <f t="shared" si="105"/>
        <v>176</v>
      </c>
      <c r="I1106" s="3" t="s">
        <v>3714</v>
      </c>
      <c r="J1106" s="17">
        <f t="shared" si="106"/>
        <v>0</v>
      </c>
      <c r="K1106" s="2">
        <f t="shared" si="107"/>
        <v>0</v>
      </c>
      <c r="L1106" s="12" t="s">
        <v>3714</v>
      </c>
    </row>
    <row r="1107" spans="1:12" x14ac:dyDescent="0.25">
      <c r="A1107" s="11" t="s">
        <v>2506</v>
      </c>
      <c r="B1107" s="2" t="str">
        <f t="shared" si="102"/>
        <v>Group Clap</v>
      </c>
      <c r="C1107" s="3">
        <v>1106</v>
      </c>
      <c r="D1107" s="17" t="s">
        <v>1105</v>
      </c>
      <c r="E1107" s="2" t="str">
        <f t="shared" si="103"/>
        <v>Short Snr2</v>
      </c>
      <c r="F1107" s="12">
        <v>1106</v>
      </c>
      <c r="G1107" s="17">
        <f t="shared" si="104"/>
        <v>0</v>
      </c>
      <c r="H1107" s="2">
        <f t="shared" si="105"/>
        <v>0</v>
      </c>
      <c r="I1107" s="3" t="s">
        <v>3714</v>
      </c>
      <c r="J1107" s="17">
        <f t="shared" si="106"/>
        <v>0</v>
      </c>
      <c r="K1107" s="2">
        <f t="shared" si="107"/>
        <v>0</v>
      </c>
      <c r="L1107" s="12" t="s">
        <v>3714</v>
      </c>
    </row>
    <row r="1108" spans="1:12" x14ac:dyDescent="0.25">
      <c r="A1108" s="11" t="s">
        <v>2507</v>
      </c>
      <c r="B1108" s="2" t="str">
        <f t="shared" si="102"/>
        <v>Claptail</v>
      </c>
      <c r="C1108" s="3">
        <v>1107</v>
      </c>
      <c r="D1108" s="17" t="s">
        <v>1106</v>
      </c>
      <c r="E1108" s="2" t="str">
        <f t="shared" si="103"/>
        <v>WD CStk mf L</v>
      </c>
      <c r="F1108" s="12">
        <v>1107</v>
      </c>
      <c r="G1108" s="17">
        <f t="shared" si="104"/>
        <v>1282</v>
      </c>
      <c r="H1108" s="2">
        <f t="shared" si="105"/>
        <v>175</v>
      </c>
      <c r="I1108" s="3" t="s">
        <v>3714</v>
      </c>
      <c r="J1108" s="17">
        <f t="shared" si="106"/>
        <v>0</v>
      </c>
      <c r="K1108" s="2">
        <f t="shared" si="107"/>
        <v>0</v>
      </c>
      <c r="L1108" s="12" t="s">
        <v>3714</v>
      </c>
    </row>
    <row r="1109" spans="1:12" x14ac:dyDescent="0.25">
      <c r="A1109" s="11" t="s">
        <v>2508</v>
      </c>
      <c r="B1109" s="2" t="str">
        <f t="shared" si="102"/>
        <v>Planet Clap</v>
      </c>
      <c r="C1109" s="3">
        <v>1108</v>
      </c>
      <c r="D1109" s="17" t="s">
        <v>1107</v>
      </c>
      <c r="E1109" s="2" t="str">
        <f t="shared" si="103"/>
        <v>WD CStk mf R</v>
      </c>
      <c r="F1109" s="12">
        <v>1108</v>
      </c>
      <c r="G1109" s="17">
        <f t="shared" si="104"/>
        <v>0</v>
      </c>
      <c r="H1109" s="2">
        <f t="shared" si="105"/>
        <v>0</v>
      </c>
      <c r="I1109" s="3" t="s">
        <v>3714</v>
      </c>
      <c r="J1109" s="17">
        <f t="shared" si="106"/>
        <v>0</v>
      </c>
      <c r="K1109" s="2">
        <f t="shared" si="107"/>
        <v>0</v>
      </c>
      <c r="L1109" s="12" t="s">
        <v>3714</v>
      </c>
    </row>
    <row r="1110" spans="1:12" x14ac:dyDescent="0.25">
      <c r="A1110" s="11" t="s">
        <v>2509</v>
      </c>
      <c r="B1110" s="2" t="str">
        <f t="shared" si="102"/>
        <v>Royal Clap</v>
      </c>
      <c r="C1110" s="3">
        <v>1109</v>
      </c>
      <c r="D1110" s="17" t="s">
        <v>1108</v>
      </c>
      <c r="E1110" s="2" t="str">
        <f t="shared" si="103"/>
        <v>WD CStk f L</v>
      </c>
      <c r="F1110" s="12">
        <v>1109</v>
      </c>
      <c r="G1110" s="17">
        <f t="shared" si="104"/>
        <v>0</v>
      </c>
      <c r="H1110" s="2">
        <f t="shared" si="105"/>
        <v>0</v>
      </c>
      <c r="I1110" s="3" t="s">
        <v>3714</v>
      </c>
      <c r="J1110" s="17">
        <f t="shared" si="106"/>
        <v>0</v>
      </c>
      <c r="K1110" s="2">
        <f t="shared" si="107"/>
        <v>0</v>
      </c>
      <c r="L1110" s="12" t="s">
        <v>3714</v>
      </c>
    </row>
    <row r="1111" spans="1:12" x14ac:dyDescent="0.25">
      <c r="A1111" s="11" t="s">
        <v>2510</v>
      </c>
      <c r="B1111" s="2" t="str">
        <f t="shared" si="102"/>
        <v>Happy Clap</v>
      </c>
      <c r="C1111" s="3">
        <v>1110</v>
      </c>
      <c r="D1111" s="17" t="s">
        <v>1109</v>
      </c>
      <c r="E1111" s="2" t="str">
        <f t="shared" si="103"/>
        <v>WD CStk f R</v>
      </c>
      <c r="F1111" s="12">
        <v>1110</v>
      </c>
      <c r="G1111" s="17">
        <f t="shared" si="104"/>
        <v>0</v>
      </c>
      <c r="H1111" s="2">
        <f t="shared" si="105"/>
        <v>0</v>
      </c>
      <c r="I1111" s="3" t="s">
        <v>3714</v>
      </c>
      <c r="J1111" s="17">
        <f t="shared" si="106"/>
        <v>0</v>
      </c>
      <c r="K1111" s="2">
        <f t="shared" si="107"/>
        <v>0</v>
      </c>
      <c r="L1111" s="12" t="s">
        <v>3714</v>
      </c>
    </row>
    <row r="1112" spans="1:12" x14ac:dyDescent="0.25">
      <c r="A1112" s="11" t="s">
        <v>2511</v>
      </c>
      <c r="B1112" s="2" t="str">
        <f t="shared" si="102"/>
        <v>TR808 Clap 1</v>
      </c>
      <c r="C1112" s="3">
        <v>1111</v>
      </c>
      <c r="D1112" s="17" t="s">
        <v>1110</v>
      </c>
      <c r="E1112" s="2" t="str">
        <f t="shared" si="103"/>
        <v>LD CStk mf L</v>
      </c>
      <c r="F1112" s="12">
        <v>1111</v>
      </c>
      <c r="G1112" s="17">
        <f t="shared" si="104"/>
        <v>1283</v>
      </c>
      <c r="H1112" s="2">
        <f t="shared" si="105"/>
        <v>172</v>
      </c>
      <c r="I1112" s="3" t="s">
        <v>3714</v>
      </c>
      <c r="J1112" s="17">
        <f t="shared" si="106"/>
        <v>0</v>
      </c>
      <c r="K1112" s="2">
        <f t="shared" si="107"/>
        <v>0</v>
      </c>
      <c r="L1112" s="12" t="s">
        <v>3714</v>
      </c>
    </row>
    <row r="1113" spans="1:12" x14ac:dyDescent="0.25">
      <c r="A1113" s="11" t="s">
        <v>2512</v>
      </c>
      <c r="B1113" s="2" t="str">
        <f t="shared" si="102"/>
        <v>Disc Clap</v>
      </c>
      <c r="C1113" s="3">
        <v>1112</v>
      </c>
      <c r="D1113" s="17" t="s">
        <v>1111</v>
      </c>
      <c r="E1113" s="2" t="str">
        <f t="shared" si="103"/>
        <v>LD CStk mf R</v>
      </c>
      <c r="F1113" s="12">
        <v>1112</v>
      </c>
      <c r="G1113" s="17">
        <f t="shared" si="104"/>
        <v>1284</v>
      </c>
      <c r="H1113" s="2">
        <f t="shared" si="105"/>
        <v>172</v>
      </c>
      <c r="I1113" s="3" t="s">
        <v>3714</v>
      </c>
      <c r="J1113" s="17">
        <f t="shared" si="106"/>
        <v>0</v>
      </c>
      <c r="K1113" s="2">
        <f t="shared" si="107"/>
        <v>0</v>
      </c>
      <c r="L1113" s="12" t="s">
        <v>3714</v>
      </c>
    </row>
    <row r="1114" spans="1:12" x14ac:dyDescent="0.25">
      <c r="A1114" s="11" t="s">
        <v>2513</v>
      </c>
      <c r="B1114" s="2" t="str">
        <f t="shared" si="102"/>
        <v>Dist Clap</v>
      </c>
      <c r="C1114" s="3">
        <v>1113</v>
      </c>
      <c r="D1114" s="17" t="s">
        <v>1112</v>
      </c>
      <c r="E1114" s="2" t="str">
        <f t="shared" si="103"/>
        <v>LD CStk f L</v>
      </c>
      <c r="F1114" s="12">
        <v>1113</v>
      </c>
      <c r="G1114" s="17">
        <f t="shared" si="104"/>
        <v>1285</v>
      </c>
      <c r="H1114" s="2">
        <f t="shared" si="105"/>
        <v>172</v>
      </c>
      <c r="I1114" s="3" t="s">
        <v>3714</v>
      </c>
      <c r="J1114" s="17">
        <f t="shared" si="106"/>
        <v>0</v>
      </c>
      <c r="K1114" s="2">
        <f t="shared" si="107"/>
        <v>0</v>
      </c>
      <c r="L1114" s="12" t="s">
        <v>3714</v>
      </c>
    </row>
    <row r="1115" spans="1:12" x14ac:dyDescent="0.25">
      <c r="A1115" s="11" t="s">
        <v>2514</v>
      </c>
      <c r="B1115" s="2" t="str">
        <f t="shared" si="102"/>
        <v>Old Clap</v>
      </c>
      <c r="C1115" s="3">
        <v>1114</v>
      </c>
      <c r="D1115" s="17" t="s">
        <v>1113</v>
      </c>
      <c r="E1115" s="2" t="str">
        <f t="shared" si="103"/>
        <v>LD CStk f R</v>
      </c>
      <c r="F1115" s="12">
        <v>1114</v>
      </c>
      <c r="G1115" s="17">
        <f t="shared" si="104"/>
        <v>1287</v>
      </c>
      <c r="H1115" s="2">
        <f t="shared" si="105"/>
        <v>173</v>
      </c>
      <c r="I1115" s="3" t="s">
        <v>3714</v>
      </c>
      <c r="J1115" s="17">
        <f t="shared" si="106"/>
        <v>0</v>
      </c>
      <c r="K1115" s="2">
        <f t="shared" si="107"/>
        <v>0</v>
      </c>
      <c r="L1115" s="12" t="s">
        <v>3714</v>
      </c>
    </row>
    <row r="1116" spans="1:12" x14ac:dyDescent="0.25">
      <c r="A1116" s="11" t="s">
        <v>2515</v>
      </c>
      <c r="B1116" s="2" t="str">
        <f t="shared" si="102"/>
        <v>TR909 Clap 1</v>
      </c>
      <c r="C1116" s="3">
        <v>1115</v>
      </c>
      <c r="D1116" s="17" t="s">
        <v>1114</v>
      </c>
      <c r="E1116" s="2" t="str">
        <f t="shared" si="103"/>
        <v>TY CStk mf L</v>
      </c>
      <c r="F1116" s="12">
        <v>1115</v>
      </c>
      <c r="G1116" s="17">
        <f t="shared" si="104"/>
        <v>1288</v>
      </c>
      <c r="H1116" s="2">
        <f t="shared" si="105"/>
        <v>173</v>
      </c>
      <c r="I1116" s="3" t="s">
        <v>3714</v>
      </c>
      <c r="J1116" s="17">
        <f t="shared" si="106"/>
        <v>0</v>
      </c>
      <c r="K1116" s="2">
        <f t="shared" si="107"/>
        <v>0</v>
      </c>
      <c r="L1116" s="12" t="s">
        <v>3714</v>
      </c>
    </row>
    <row r="1117" spans="1:12" x14ac:dyDescent="0.25">
      <c r="A1117" s="11" t="s">
        <v>2516</v>
      </c>
      <c r="B1117" s="2" t="str">
        <f t="shared" si="102"/>
        <v>TR909 Clap 2</v>
      </c>
      <c r="C1117" s="3">
        <v>1116</v>
      </c>
      <c r="D1117" s="17" t="s">
        <v>1115</v>
      </c>
      <c r="E1117" s="2" t="str">
        <f t="shared" si="103"/>
        <v>TY CStk mf R</v>
      </c>
      <c r="F1117" s="12">
        <v>1116</v>
      </c>
      <c r="G1117" s="17">
        <f t="shared" si="104"/>
        <v>1289</v>
      </c>
      <c r="H1117" s="2">
        <f t="shared" si="105"/>
        <v>173</v>
      </c>
      <c r="I1117" s="3" t="s">
        <v>3714</v>
      </c>
      <c r="J1117" s="17">
        <f t="shared" si="106"/>
        <v>0</v>
      </c>
      <c r="K1117" s="2">
        <f t="shared" si="107"/>
        <v>0</v>
      </c>
      <c r="L1117" s="12" t="s">
        <v>3714</v>
      </c>
    </row>
    <row r="1118" spans="1:12" x14ac:dyDescent="0.25">
      <c r="A1118" s="11" t="s">
        <v>2517</v>
      </c>
      <c r="B1118" s="2" t="str">
        <f t="shared" si="102"/>
        <v>TR808 Clap 2</v>
      </c>
      <c r="C1118" s="3">
        <v>1117</v>
      </c>
      <c r="D1118" s="17" t="s">
        <v>1116</v>
      </c>
      <c r="E1118" s="2" t="str">
        <f t="shared" si="103"/>
        <v>TY CStk f L</v>
      </c>
      <c r="F1118" s="12">
        <v>1117</v>
      </c>
      <c r="G1118" s="17">
        <f t="shared" si="104"/>
        <v>1290</v>
      </c>
      <c r="H1118" s="2">
        <f t="shared" si="105"/>
        <v>173</v>
      </c>
      <c r="I1118" s="3" t="s">
        <v>3714</v>
      </c>
      <c r="J1118" s="17">
        <f t="shared" si="106"/>
        <v>0</v>
      </c>
      <c r="K1118" s="2">
        <f t="shared" si="107"/>
        <v>0</v>
      </c>
      <c r="L1118" s="12" t="s">
        <v>3714</v>
      </c>
    </row>
    <row r="1119" spans="1:12" x14ac:dyDescent="0.25">
      <c r="A1119" s="11" t="s">
        <v>2518</v>
      </c>
      <c r="B1119" s="2" t="str">
        <f t="shared" si="102"/>
        <v>TR707 Clap</v>
      </c>
      <c r="C1119" s="3">
        <v>1118</v>
      </c>
      <c r="D1119" s="17" t="s">
        <v>1117</v>
      </c>
      <c r="E1119" s="2" t="str">
        <f t="shared" si="103"/>
        <v>TY CStk f R</v>
      </c>
      <c r="F1119" s="12">
        <v>1118</v>
      </c>
      <c r="G1119" s="17">
        <f t="shared" si="104"/>
        <v>1291</v>
      </c>
      <c r="H1119" s="2">
        <f t="shared" si="105"/>
        <v>173</v>
      </c>
      <c r="I1119" s="3" t="s">
        <v>3714</v>
      </c>
      <c r="J1119" s="17">
        <f t="shared" si="106"/>
        <v>0</v>
      </c>
      <c r="K1119" s="2">
        <f t="shared" si="107"/>
        <v>0</v>
      </c>
      <c r="L1119" s="12" t="s">
        <v>3714</v>
      </c>
    </row>
    <row r="1120" spans="1:12" x14ac:dyDescent="0.25">
      <c r="A1120" s="11" t="s">
        <v>2519</v>
      </c>
      <c r="B1120" s="2" t="str">
        <f t="shared" si="102"/>
        <v>Cheap Clap</v>
      </c>
      <c r="C1120" s="3">
        <v>1119</v>
      </c>
      <c r="D1120" s="17" t="s">
        <v>1118</v>
      </c>
      <c r="E1120" s="2" t="str">
        <f t="shared" si="103"/>
        <v>SF CStk p L</v>
      </c>
      <c r="F1120" s="12">
        <v>1119</v>
      </c>
      <c r="G1120" s="17">
        <f t="shared" si="104"/>
        <v>1292</v>
      </c>
      <c r="H1120" s="2">
        <f t="shared" si="105"/>
        <v>173</v>
      </c>
      <c r="I1120" s="3" t="s">
        <v>3714</v>
      </c>
      <c r="J1120" s="17">
        <f t="shared" si="106"/>
        <v>0</v>
      </c>
      <c r="K1120" s="2">
        <f t="shared" si="107"/>
        <v>0</v>
      </c>
      <c r="L1120" s="12" t="s">
        <v>3714</v>
      </c>
    </row>
    <row r="1121" spans="1:12" x14ac:dyDescent="0.25">
      <c r="A1121" s="11" t="s">
        <v>2520</v>
      </c>
      <c r="B1121" s="2" t="str">
        <f t="shared" si="102"/>
        <v>Finger Snap</v>
      </c>
      <c r="C1121" s="3">
        <v>1120</v>
      </c>
      <c r="D1121" s="17" t="s">
        <v>1119</v>
      </c>
      <c r="E1121" s="2" t="str">
        <f t="shared" si="103"/>
        <v>SF CStk p R</v>
      </c>
      <c r="F1121" s="12">
        <v>1120</v>
      </c>
      <c r="G1121" s="17">
        <f t="shared" si="104"/>
        <v>1299</v>
      </c>
      <c r="H1121" s="2">
        <f t="shared" si="105"/>
        <v>179</v>
      </c>
      <c r="I1121" s="3" t="s">
        <v>3714</v>
      </c>
      <c r="J1121" s="17">
        <f t="shared" si="106"/>
        <v>0</v>
      </c>
      <c r="K1121" s="2">
        <f t="shared" si="107"/>
        <v>0</v>
      </c>
      <c r="L1121" s="12" t="s">
        <v>3714</v>
      </c>
    </row>
    <row r="1122" spans="1:12" x14ac:dyDescent="0.25">
      <c r="A1122" s="11" t="s">
        <v>2521</v>
      </c>
      <c r="B1122" s="2" t="str">
        <f t="shared" si="102"/>
        <v>Club FinSnap</v>
      </c>
      <c r="C1122" s="3">
        <v>1121</v>
      </c>
      <c r="D1122" s="17" t="s">
        <v>1120</v>
      </c>
      <c r="E1122" s="2" t="str">
        <f t="shared" si="103"/>
        <v>SF CStk f L</v>
      </c>
      <c r="F1122" s="12">
        <v>1121</v>
      </c>
      <c r="G1122" s="17">
        <f t="shared" si="104"/>
        <v>1300</v>
      </c>
      <c r="H1122" s="2">
        <f t="shared" si="105"/>
        <v>179</v>
      </c>
      <c r="I1122" s="3" t="s">
        <v>3714</v>
      </c>
      <c r="J1122" s="17">
        <f t="shared" si="106"/>
        <v>0</v>
      </c>
      <c r="K1122" s="2">
        <f t="shared" si="107"/>
        <v>0</v>
      </c>
      <c r="L1122" s="12" t="s">
        <v>3714</v>
      </c>
    </row>
    <row r="1123" spans="1:12" x14ac:dyDescent="0.25">
      <c r="A1123" s="11" t="s">
        <v>2522</v>
      </c>
      <c r="B1123" s="2" t="str">
        <f t="shared" si="102"/>
        <v>Single Snap</v>
      </c>
      <c r="C1123" s="3">
        <v>1122</v>
      </c>
      <c r="D1123" s="17" t="s">
        <v>1121</v>
      </c>
      <c r="E1123" s="2" t="str">
        <f t="shared" si="103"/>
        <v>SF CStk f R</v>
      </c>
      <c r="F1123" s="12">
        <v>1122</v>
      </c>
      <c r="G1123" s="17">
        <f t="shared" si="104"/>
        <v>0</v>
      </c>
      <c r="H1123" s="2">
        <f t="shared" si="105"/>
        <v>0</v>
      </c>
      <c r="I1123" s="3" t="s">
        <v>3714</v>
      </c>
      <c r="J1123" s="17">
        <f t="shared" si="106"/>
        <v>0</v>
      </c>
      <c r="K1123" s="2">
        <f t="shared" si="107"/>
        <v>0</v>
      </c>
      <c r="L1123" s="12" t="s">
        <v>3714</v>
      </c>
    </row>
    <row r="1124" spans="1:12" x14ac:dyDescent="0.25">
      <c r="A1124" s="11" t="s">
        <v>2523</v>
      </c>
      <c r="B1124" s="2" t="str">
        <f t="shared" si="102"/>
        <v>Snap</v>
      </c>
      <c r="C1124" s="3">
        <v>1123</v>
      </c>
      <c r="D1124" s="17" t="s">
        <v>1122</v>
      </c>
      <c r="E1124" s="2" t="str">
        <f t="shared" si="103"/>
        <v>Reg.Stick L</v>
      </c>
      <c r="F1124" s="12">
        <v>1123</v>
      </c>
      <c r="G1124" s="17">
        <f t="shared" si="104"/>
        <v>1301</v>
      </c>
      <c r="H1124" s="2">
        <f t="shared" si="105"/>
        <v>178</v>
      </c>
      <c r="I1124" s="3" t="s">
        <v>3714</v>
      </c>
      <c r="J1124" s="17">
        <f t="shared" si="106"/>
        <v>957</v>
      </c>
      <c r="K1124" s="2">
        <f t="shared" si="107"/>
        <v>-166</v>
      </c>
      <c r="L1124" s="12" t="s">
        <v>3714</v>
      </c>
    </row>
    <row r="1125" spans="1:12" x14ac:dyDescent="0.25">
      <c r="A1125" s="11" t="s">
        <v>2524</v>
      </c>
      <c r="B1125" s="2" t="str">
        <f t="shared" si="102"/>
        <v>Group Snap</v>
      </c>
      <c r="C1125" s="3">
        <v>1124</v>
      </c>
      <c r="D1125" s="17" t="s">
        <v>1123</v>
      </c>
      <c r="E1125" s="2" t="str">
        <f t="shared" si="103"/>
        <v>Reg.Stick R</v>
      </c>
      <c r="F1125" s="12">
        <v>1124</v>
      </c>
      <c r="G1125" s="17">
        <f t="shared" si="104"/>
        <v>1302</v>
      </c>
      <c r="H1125" s="2">
        <f t="shared" si="105"/>
        <v>178</v>
      </c>
      <c r="I1125" s="3" t="s">
        <v>3714</v>
      </c>
      <c r="J1125" s="17">
        <f t="shared" si="106"/>
        <v>958</v>
      </c>
      <c r="K1125" s="2">
        <f t="shared" si="107"/>
        <v>-166</v>
      </c>
      <c r="L1125" s="12" t="s">
        <v>3714</v>
      </c>
    </row>
    <row r="1126" spans="1:12" x14ac:dyDescent="0.25">
      <c r="A1126" s="11" t="s">
        <v>2525</v>
      </c>
      <c r="B1126" s="2" t="str">
        <f t="shared" si="102"/>
        <v>Vox Kick 1</v>
      </c>
      <c r="C1126" s="3">
        <v>1125</v>
      </c>
      <c r="D1126" s="17" t="s">
        <v>1124</v>
      </c>
      <c r="E1126" s="2" t="str">
        <f t="shared" si="103"/>
        <v>Soft Stick</v>
      </c>
      <c r="F1126" s="12">
        <v>1125</v>
      </c>
      <c r="G1126" s="17">
        <f t="shared" si="104"/>
        <v>0</v>
      </c>
      <c r="H1126" s="2">
        <f t="shared" si="105"/>
        <v>0</v>
      </c>
      <c r="I1126" s="3" t="s">
        <v>3714</v>
      </c>
      <c r="J1126" s="17">
        <f t="shared" si="106"/>
        <v>959</v>
      </c>
      <c r="K1126" s="2">
        <f t="shared" si="107"/>
        <v>-166</v>
      </c>
      <c r="L1126" s="12" t="s">
        <v>3714</v>
      </c>
    </row>
    <row r="1127" spans="1:12" x14ac:dyDescent="0.25">
      <c r="A1127" s="11" t="s">
        <v>2526</v>
      </c>
      <c r="B1127" s="2" t="str">
        <f t="shared" si="102"/>
        <v>Vox Kick 2</v>
      </c>
      <c r="C1127" s="3">
        <v>1126</v>
      </c>
      <c r="D1127" s="17" t="s">
        <v>1125</v>
      </c>
      <c r="E1127" s="2" t="str">
        <f t="shared" si="103"/>
        <v>Hard Stick</v>
      </c>
      <c r="F1127" s="12">
        <v>1126</v>
      </c>
      <c r="G1127" s="17">
        <f t="shared" si="104"/>
        <v>0</v>
      </c>
      <c r="H1127" s="2">
        <f t="shared" si="105"/>
        <v>0</v>
      </c>
      <c r="I1127" s="3" t="s">
        <v>3714</v>
      </c>
      <c r="J1127" s="17">
        <f t="shared" si="106"/>
        <v>960</v>
      </c>
      <c r="K1127" s="2">
        <f t="shared" si="107"/>
        <v>-166</v>
      </c>
      <c r="L1127" s="12" t="s">
        <v>3714</v>
      </c>
    </row>
    <row r="1128" spans="1:12" x14ac:dyDescent="0.25">
      <c r="A1128" s="11" t="s">
        <v>2527</v>
      </c>
      <c r="B1128" s="2" t="str">
        <f t="shared" si="102"/>
        <v>VoxKickSweep</v>
      </c>
      <c r="C1128" s="3">
        <v>1127</v>
      </c>
      <c r="D1128" s="17" t="s">
        <v>1126</v>
      </c>
      <c r="E1128" s="2" t="str">
        <f t="shared" si="103"/>
        <v>Wild Stick</v>
      </c>
      <c r="F1128" s="12">
        <v>1127</v>
      </c>
      <c r="G1128" s="17">
        <f t="shared" si="104"/>
        <v>0</v>
      </c>
      <c r="H1128" s="2">
        <f t="shared" si="105"/>
        <v>0</v>
      </c>
      <c r="I1128" s="3" t="s">
        <v>3714</v>
      </c>
      <c r="J1128" s="17">
        <f t="shared" si="106"/>
        <v>961</v>
      </c>
      <c r="K1128" s="2">
        <f t="shared" si="107"/>
        <v>-166</v>
      </c>
      <c r="L1128" s="12" t="s">
        <v>3714</v>
      </c>
    </row>
    <row r="1129" spans="1:12" x14ac:dyDescent="0.25">
      <c r="A1129" s="11" t="s">
        <v>2528</v>
      </c>
      <c r="B1129" s="2" t="str">
        <f t="shared" si="102"/>
        <v>Vox Snare 1</v>
      </c>
      <c r="C1129" s="3">
        <v>1128</v>
      </c>
      <c r="D1129" s="17" t="s">
        <v>1127</v>
      </c>
      <c r="E1129" s="2" t="str">
        <f t="shared" si="103"/>
        <v>Lo-Bit Stk 1</v>
      </c>
      <c r="F1129" s="12">
        <v>1128</v>
      </c>
      <c r="G1129" s="17">
        <f t="shared" si="104"/>
        <v>0</v>
      </c>
      <c r="H1129" s="2">
        <f t="shared" si="105"/>
        <v>0</v>
      </c>
      <c r="I1129" s="3" t="s">
        <v>3714</v>
      </c>
      <c r="J1129" s="17">
        <f t="shared" si="106"/>
        <v>963</v>
      </c>
      <c r="K1129" s="2">
        <f t="shared" si="107"/>
        <v>-165</v>
      </c>
      <c r="L1129" s="12" t="s">
        <v>3714</v>
      </c>
    </row>
    <row r="1130" spans="1:12" x14ac:dyDescent="0.25">
      <c r="A1130" s="11" t="s">
        <v>2529</v>
      </c>
      <c r="B1130" s="2" t="str">
        <f t="shared" si="102"/>
        <v>Vox Snare 2</v>
      </c>
      <c r="C1130" s="3">
        <v>1129</v>
      </c>
      <c r="D1130" s="17" t="s">
        <v>1128</v>
      </c>
      <c r="E1130" s="2" t="str">
        <f t="shared" si="103"/>
        <v>Lo-Bit Stk 2</v>
      </c>
      <c r="F1130" s="12">
        <v>1129</v>
      </c>
      <c r="G1130" s="17">
        <f t="shared" si="104"/>
        <v>0</v>
      </c>
      <c r="H1130" s="2">
        <f t="shared" si="105"/>
        <v>0</v>
      </c>
      <c r="I1130" s="3" t="s">
        <v>3714</v>
      </c>
      <c r="J1130" s="17">
        <f t="shared" si="106"/>
        <v>964</v>
      </c>
      <c r="K1130" s="2">
        <f t="shared" si="107"/>
        <v>-165</v>
      </c>
      <c r="L1130" s="12" t="s">
        <v>3714</v>
      </c>
    </row>
    <row r="1131" spans="1:12" x14ac:dyDescent="0.25">
      <c r="A1131" s="11" t="s">
        <v>2530</v>
      </c>
      <c r="B1131" s="2" t="str">
        <f t="shared" si="102"/>
        <v>Vox Hihat 1</v>
      </c>
      <c r="C1131" s="3">
        <v>1130</v>
      </c>
      <c r="D1131" s="17" t="s">
        <v>1129</v>
      </c>
      <c r="E1131" s="2" t="str">
        <f t="shared" si="103"/>
        <v>Dry Stick 1</v>
      </c>
      <c r="F1131" s="12">
        <v>1130</v>
      </c>
      <c r="G1131" s="17">
        <f t="shared" si="104"/>
        <v>0</v>
      </c>
      <c r="H1131" s="2">
        <f t="shared" si="105"/>
        <v>0</v>
      </c>
      <c r="I1131" s="3" t="s">
        <v>3714</v>
      </c>
      <c r="J1131" s="17">
        <f t="shared" si="106"/>
        <v>967</v>
      </c>
      <c r="K1131" s="2">
        <f t="shared" si="107"/>
        <v>-163</v>
      </c>
      <c r="L1131" s="12" t="s">
        <v>3714</v>
      </c>
    </row>
    <row r="1132" spans="1:12" x14ac:dyDescent="0.25">
      <c r="A1132" s="11" t="s">
        <v>2531</v>
      </c>
      <c r="B1132" s="2" t="str">
        <f t="shared" si="102"/>
        <v>Vox Hihat 2</v>
      </c>
      <c r="C1132" s="3">
        <v>1131</v>
      </c>
      <c r="D1132" s="17" t="s">
        <v>1130</v>
      </c>
      <c r="E1132" s="2" t="str">
        <f t="shared" si="103"/>
        <v>Dry Stick 2</v>
      </c>
      <c r="F1132" s="12">
        <v>1131</v>
      </c>
      <c r="G1132" s="17">
        <f t="shared" si="104"/>
        <v>0</v>
      </c>
      <c r="H1132" s="2">
        <f t="shared" si="105"/>
        <v>0</v>
      </c>
      <c r="I1132" s="3" t="s">
        <v>3714</v>
      </c>
      <c r="J1132" s="17">
        <f t="shared" si="106"/>
        <v>968</v>
      </c>
      <c r="K1132" s="2">
        <f t="shared" si="107"/>
        <v>-163</v>
      </c>
      <c r="L1132" s="12" t="s">
        <v>3714</v>
      </c>
    </row>
    <row r="1133" spans="1:12" x14ac:dyDescent="0.25">
      <c r="A1133" s="11" t="s">
        <v>2532</v>
      </c>
      <c r="B1133" s="2" t="str">
        <f t="shared" si="102"/>
        <v>Vox Hihat 3</v>
      </c>
      <c r="C1133" s="3">
        <v>1132</v>
      </c>
      <c r="D1133" s="17" t="s">
        <v>1131</v>
      </c>
      <c r="E1133" s="2" t="str">
        <f t="shared" si="103"/>
        <v>Dry Stick 3</v>
      </c>
      <c r="F1133" s="12">
        <v>1132</v>
      </c>
      <c r="G1133" s="17">
        <f t="shared" si="104"/>
        <v>0</v>
      </c>
      <c r="H1133" s="2">
        <f t="shared" si="105"/>
        <v>0</v>
      </c>
      <c r="I1133" s="3" t="s">
        <v>3714</v>
      </c>
      <c r="J1133" s="17">
        <f t="shared" si="106"/>
        <v>969</v>
      </c>
      <c r="K1133" s="2">
        <f t="shared" si="107"/>
        <v>-163</v>
      </c>
      <c r="L1133" s="12" t="s">
        <v>3714</v>
      </c>
    </row>
    <row r="1134" spans="1:12" x14ac:dyDescent="0.25">
      <c r="A1134" s="11" t="s">
        <v>2533</v>
      </c>
      <c r="B1134" s="2" t="str">
        <f t="shared" si="102"/>
        <v>Vox Cymbal</v>
      </c>
      <c r="C1134" s="3">
        <v>1133</v>
      </c>
      <c r="D1134" s="17" t="s">
        <v>1132</v>
      </c>
      <c r="E1134" s="2" t="str">
        <f t="shared" si="103"/>
        <v>R8 Comp Rim</v>
      </c>
      <c r="F1134" s="12">
        <v>1133</v>
      </c>
      <c r="G1134" s="17">
        <f t="shared" si="104"/>
        <v>0</v>
      </c>
      <c r="H1134" s="2">
        <f t="shared" si="105"/>
        <v>0</v>
      </c>
      <c r="I1134" s="3" t="s">
        <v>3714</v>
      </c>
      <c r="J1134" s="17">
        <f t="shared" si="106"/>
        <v>972</v>
      </c>
      <c r="K1134" s="2">
        <f t="shared" si="107"/>
        <v>-161</v>
      </c>
      <c r="L1134" s="12" t="s">
        <v>3714</v>
      </c>
    </row>
    <row r="1135" spans="1:12" x14ac:dyDescent="0.25">
      <c r="A1135" s="11" t="s">
        <v>2534</v>
      </c>
      <c r="B1135" s="2" t="str">
        <f t="shared" si="102"/>
        <v>Pa!</v>
      </c>
      <c r="C1135" s="3">
        <v>1134</v>
      </c>
      <c r="D1135" s="17" t="s">
        <v>1133</v>
      </c>
      <c r="E1135" s="2" t="str">
        <f t="shared" si="103"/>
        <v>R&amp;B ShrtRim1</v>
      </c>
      <c r="F1135" s="12">
        <v>1134</v>
      </c>
      <c r="G1135" s="17">
        <f t="shared" si="104"/>
        <v>0</v>
      </c>
      <c r="H1135" s="2">
        <f t="shared" si="105"/>
        <v>0</v>
      </c>
      <c r="I1135" s="3" t="s">
        <v>3714</v>
      </c>
      <c r="J1135" s="17">
        <f t="shared" si="106"/>
        <v>0</v>
      </c>
      <c r="K1135" s="2">
        <f t="shared" si="107"/>
        <v>0</v>
      </c>
      <c r="L1135" s="12" t="s">
        <v>3714</v>
      </c>
    </row>
    <row r="1136" spans="1:12" x14ac:dyDescent="0.25">
      <c r="A1136" s="11" t="s">
        <v>2535</v>
      </c>
      <c r="B1136" s="2" t="str">
        <f t="shared" si="102"/>
        <v>Chiki!</v>
      </c>
      <c r="C1136" s="3">
        <v>1135</v>
      </c>
      <c r="D1136" s="17" t="s">
        <v>1134</v>
      </c>
      <c r="E1136" s="2" t="str">
        <f t="shared" si="103"/>
        <v>R&amp;B ShrtRim2</v>
      </c>
      <c r="F1136" s="12">
        <v>1135</v>
      </c>
      <c r="G1136" s="17">
        <f t="shared" si="104"/>
        <v>0</v>
      </c>
      <c r="H1136" s="2">
        <f t="shared" si="105"/>
        <v>0</v>
      </c>
      <c r="I1136" s="3" t="s">
        <v>3714</v>
      </c>
      <c r="J1136" s="17">
        <f t="shared" si="106"/>
        <v>0</v>
      </c>
      <c r="K1136" s="2">
        <f t="shared" si="107"/>
        <v>0</v>
      </c>
      <c r="L1136" s="12" t="s">
        <v>3714</v>
      </c>
    </row>
    <row r="1137" spans="1:12" x14ac:dyDescent="0.25">
      <c r="A1137" s="11" t="s">
        <v>2536</v>
      </c>
      <c r="B1137" s="2" t="str">
        <f t="shared" si="102"/>
        <v>Cowbell</v>
      </c>
      <c r="C1137" s="3">
        <v>1136</v>
      </c>
      <c r="D1137" s="17" t="s">
        <v>1135</v>
      </c>
      <c r="E1137" s="2" t="str">
        <f t="shared" si="103"/>
        <v>TR909 Rim</v>
      </c>
      <c r="F1137" s="12">
        <v>1136</v>
      </c>
      <c r="G1137" s="17">
        <f t="shared" si="104"/>
        <v>1303</v>
      </c>
      <c r="H1137" s="2">
        <f t="shared" si="105"/>
        <v>167</v>
      </c>
      <c r="I1137" s="3" t="s">
        <v>3714</v>
      </c>
      <c r="J1137" s="17">
        <f t="shared" si="106"/>
        <v>982</v>
      </c>
      <c r="K1137" s="2">
        <f t="shared" si="107"/>
        <v>-154</v>
      </c>
      <c r="L1137" s="12" t="s">
        <v>3714</v>
      </c>
    </row>
    <row r="1138" spans="1:12" x14ac:dyDescent="0.25">
      <c r="A1138" s="11" t="s">
        <v>2537</v>
      </c>
      <c r="B1138" s="2" t="str">
        <f t="shared" si="102"/>
        <v>Cowbell Mute</v>
      </c>
      <c r="C1138" s="3">
        <v>1137</v>
      </c>
      <c r="D1138" s="17" t="s">
        <v>1136</v>
      </c>
      <c r="E1138" s="2" t="str">
        <f t="shared" si="103"/>
        <v>TR808 Rim</v>
      </c>
      <c r="F1138" s="12">
        <v>1137</v>
      </c>
      <c r="G1138" s="17">
        <f t="shared" si="104"/>
        <v>1304</v>
      </c>
      <c r="H1138" s="2">
        <f t="shared" si="105"/>
        <v>167</v>
      </c>
      <c r="I1138" s="3" t="s">
        <v>3714</v>
      </c>
      <c r="J1138" s="17">
        <f t="shared" si="106"/>
        <v>983</v>
      </c>
      <c r="K1138" s="2">
        <f t="shared" si="107"/>
        <v>-154</v>
      </c>
      <c r="L1138" s="12" t="s">
        <v>3714</v>
      </c>
    </row>
    <row r="1139" spans="1:12" x14ac:dyDescent="0.25">
      <c r="A1139" s="11" t="s">
        <v>2538</v>
      </c>
      <c r="B1139" s="2" t="str">
        <f t="shared" si="102"/>
        <v>Wood Block</v>
      </c>
      <c r="C1139" s="3">
        <v>1138</v>
      </c>
      <c r="D1139" s="17" t="s">
        <v>1137</v>
      </c>
      <c r="E1139" s="2" t="str">
        <f t="shared" si="103"/>
        <v>LD L.Tom mf</v>
      </c>
      <c r="F1139" s="12">
        <v>1138</v>
      </c>
      <c r="G1139" s="17">
        <f t="shared" si="104"/>
        <v>1310</v>
      </c>
      <c r="H1139" s="2">
        <f t="shared" si="105"/>
        <v>172</v>
      </c>
      <c r="I1139" s="3" t="s">
        <v>3714</v>
      </c>
      <c r="J1139" s="17">
        <f t="shared" si="106"/>
        <v>0</v>
      </c>
      <c r="K1139" s="2">
        <f t="shared" si="107"/>
        <v>0</v>
      </c>
      <c r="L1139" s="12" t="s">
        <v>3714</v>
      </c>
    </row>
    <row r="1140" spans="1:12" x14ac:dyDescent="0.25">
      <c r="A1140" s="11" t="s">
        <v>2539</v>
      </c>
      <c r="B1140" s="2" t="str">
        <f t="shared" si="102"/>
        <v>Claves</v>
      </c>
      <c r="C1140" s="3">
        <v>1139</v>
      </c>
      <c r="D1140" s="17" t="s">
        <v>1138</v>
      </c>
      <c r="E1140" s="2" t="str">
        <f t="shared" si="103"/>
        <v>LD L.Tom f</v>
      </c>
      <c r="F1140" s="12">
        <v>1139</v>
      </c>
      <c r="G1140" s="17">
        <f t="shared" si="104"/>
        <v>1313</v>
      </c>
      <c r="H1140" s="2">
        <f t="shared" si="105"/>
        <v>174</v>
      </c>
      <c r="I1140" s="3" t="s">
        <v>3714</v>
      </c>
      <c r="J1140" s="17">
        <f t="shared" si="106"/>
        <v>0</v>
      </c>
      <c r="K1140" s="2">
        <f t="shared" si="107"/>
        <v>0</v>
      </c>
      <c r="L1140" s="12" t="s">
        <v>3714</v>
      </c>
    </row>
    <row r="1141" spans="1:12" x14ac:dyDescent="0.25">
      <c r="A1141" s="11" t="s">
        <v>2540</v>
      </c>
      <c r="B1141" s="2" t="str">
        <f t="shared" si="102"/>
        <v>TR808 Claves</v>
      </c>
      <c r="C1141" s="3">
        <v>1140</v>
      </c>
      <c r="D1141" s="17" t="s">
        <v>1139</v>
      </c>
      <c r="E1141" s="2" t="str">
        <f t="shared" si="103"/>
        <v>LD L.Tom ff</v>
      </c>
      <c r="F1141" s="12">
        <v>1140</v>
      </c>
      <c r="G1141" s="17">
        <f t="shared" si="104"/>
        <v>1315</v>
      </c>
      <c r="H1141" s="2">
        <f t="shared" si="105"/>
        <v>175</v>
      </c>
      <c r="I1141" s="3" t="s">
        <v>3714</v>
      </c>
      <c r="J1141" s="17">
        <f t="shared" si="106"/>
        <v>0</v>
      </c>
      <c r="K1141" s="2">
        <f t="shared" si="107"/>
        <v>0</v>
      </c>
      <c r="L1141" s="12" t="s">
        <v>3714</v>
      </c>
    </row>
    <row r="1142" spans="1:12" x14ac:dyDescent="0.25">
      <c r="A1142" s="11" t="s">
        <v>2541</v>
      </c>
      <c r="B1142" s="2" t="str">
        <f t="shared" si="102"/>
        <v>CR78 Beat</v>
      </c>
      <c r="C1142" s="3">
        <v>1141</v>
      </c>
      <c r="D1142" s="17" t="s">
        <v>1140</v>
      </c>
      <c r="E1142" s="2" t="str">
        <f t="shared" si="103"/>
        <v>LD M.Tom mf</v>
      </c>
      <c r="F1142" s="12">
        <v>1141</v>
      </c>
      <c r="G1142" s="17">
        <f t="shared" si="104"/>
        <v>1316</v>
      </c>
      <c r="H1142" s="2">
        <f t="shared" si="105"/>
        <v>175</v>
      </c>
      <c r="I1142" s="3" t="s">
        <v>3714</v>
      </c>
      <c r="J1142" s="17">
        <f t="shared" si="106"/>
        <v>0</v>
      </c>
      <c r="K1142" s="2">
        <f t="shared" si="107"/>
        <v>0</v>
      </c>
      <c r="L1142" s="12" t="s">
        <v>3714</v>
      </c>
    </row>
    <row r="1143" spans="1:12" x14ac:dyDescent="0.25">
      <c r="A1143" s="11" t="s">
        <v>2542</v>
      </c>
      <c r="B1143" s="2" t="str">
        <f t="shared" si="102"/>
        <v>Castanet</v>
      </c>
      <c r="C1143" s="3">
        <v>1142</v>
      </c>
      <c r="D1143" s="17" t="s">
        <v>1141</v>
      </c>
      <c r="E1143" s="2" t="str">
        <f t="shared" si="103"/>
        <v>LD M.Tom f</v>
      </c>
      <c r="F1143" s="12">
        <v>1142</v>
      </c>
      <c r="G1143" s="17">
        <f t="shared" si="104"/>
        <v>1317</v>
      </c>
      <c r="H1143" s="2">
        <f t="shared" si="105"/>
        <v>175</v>
      </c>
      <c r="I1143" s="3" t="s">
        <v>3714</v>
      </c>
      <c r="J1143" s="17">
        <f t="shared" si="106"/>
        <v>0</v>
      </c>
      <c r="K1143" s="2">
        <f t="shared" si="107"/>
        <v>0</v>
      </c>
      <c r="L1143" s="12" t="s">
        <v>3714</v>
      </c>
    </row>
    <row r="1144" spans="1:12" x14ac:dyDescent="0.25">
      <c r="A1144" s="11" t="s">
        <v>2543</v>
      </c>
      <c r="B1144" s="2" t="str">
        <f t="shared" si="102"/>
        <v>Whistle</v>
      </c>
      <c r="C1144" s="3">
        <v>1143</v>
      </c>
      <c r="D1144" s="17" t="s">
        <v>1142</v>
      </c>
      <c r="E1144" s="2" t="str">
        <f t="shared" si="103"/>
        <v>LD M.Tom ff</v>
      </c>
      <c r="F1144" s="12">
        <v>1143</v>
      </c>
      <c r="G1144" s="17">
        <f t="shared" si="104"/>
        <v>1318</v>
      </c>
      <c r="H1144" s="2">
        <f t="shared" si="105"/>
        <v>175</v>
      </c>
      <c r="I1144" s="3" t="s">
        <v>3714</v>
      </c>
      <c r="J1144" s="17">
        <f t="shared" si="106"/>
        <v>0</v>
      </c>
      <c r="K1144" s="2">
        <f t="shared" si="107"/>
        <v>0</v>
      </c>
      <c r="L1144" s="12" t="s">
        <v>3714</v>
      </c>
    </row>
    <row r="1145" spans="1:12" x14ac:dyDescent="0.25">
      <c r="A1145" s="11" t="s">
        <v>2544</v>
      </c>
      <c r="B1145" s="2" t="str">
        <f t="shared" si="102"/>
        <v>Bongo Hi Mt</v>
      </c>
      <c r="C1145" s="3">
        <v>1144</v>
      </c>
      <c r="D1145" s="17" t="s">
        <v>1143</v>
      </c>
      <c r="E1145" s="2" t="str">
        <f t="shared" si="103"/>
        <v>LD H.Tom mf</v>
      </c>
      <c r="F1145" s="12">
        <v>1144</v>
      </c>
      <c r="G1145" s="17">
        <f t="shared" si="104"/>
        <v>1321</v>
      </c>
      <c r="H1145" s="2">
        <f t="shared" si="105"/>
        <v>177</v>
      </c>
      <c r="I1145" s="3" t="s">
        <v>3714</v>
      </c>
      <c r="J1145" s="17">
        <f t="shared" si="106"/>
        <v>0</v>
      </c>
      <c r="K1145" s="2">
        <f t="shared" si="107"/>
        <v>0</v>
      </c>
      <c r="L1145" s="12" t="s">
        <v>3714</v>
      </c>
    </row>
    <row r="1146" spans="1:12" x14ac:dyDescent="0.25">
      <c r="A1146" s="11" t="s">
        <v>2545</v>
      </c>
      <c r="B1146" s="2" t="str">
        <f t="shared" si="102"/>
        <v>Bongo Hi Slp</v>
      </c>
      <c r="C1146" s="3">
        <v>1145</v>
      </c>
      <c r="D1146" s="17" t="s">
        <v>1144</v>
      </c>
      <c r="E1146" s="2" t="str">
        <f t="shared" si="103"/>
        <v>LD H.Tom f</v>
      </c>
      <c r="F1146" s="12">
        <v>1145</v>
      </c>
      <c r="G1146" s="17">
        <f t="shared" si="104"/>
        <v>1322</v>
      </c>
      <c r="H1146" s="2">
        <f t="shared" si="105"/>
        <v>177</v>
      </c>
      <c r="I1146" s="3" t="s">
        <v>3714</v>
      </c>
      <c r="J1146" s="17">
        <f t="shared" si="106"/>
        <v>0</v>
      </c>
      <c r="K1146" s="2">
        <f t="shared" si="107"/>
        <v>0</v>
      </c>
      <c r="L1146" s="12" t="s">
        <v>3714</v>
      </c>
    </row>
    <row r="1147" spans="1:12" x14ac:dyDescent="0.25">
      <c r="A1147" s="11" t="s">
        <v>2546</v>
      </c>
      <c r="B1147" s="2" t="str">
        <f t="shared" si="102"/>
        <v>Bongo Lo Slp</v>
      </c>
      <c r="C1147" s="3">
        <v>1146</v>
      </c>
      <c r="D1147" s="17" t="s">
        <v>1145</v>
      </c>
      <c r="E1147" s="2" t="str">
        <f t="shared" si="103"/>
        <v>LD H.Tom ff</v>
      </c>
      <c r="F1147" s="12">
        <v>1146</v>
      </c>
      <c r="G1147" s="17">
        <f t="shared" si="104"/>
        <v>1325</v>
      </c>
      <c r="H1147" s="2">
        <f t="shared" si="105"/>
        <v>179</v>
      </c>
      <c r="I1147" s="3" t="s">
        <v>3714</v>
      </c>
      <c r="J1147" s="17">
        <f t="shared" si="106"/>
        <v>0</v>
      </c>
      <c r="K1147" s="2">
        <f t="shared" si="107"/>
        <v>0</v>
      </c>
      <c r="L1147" s="12" t="s">
        <v>3714</v>
      </c>
    </row>
    <row r="1148" spans="1:12" x14ac:dyDescent="0.25">
      <c r="A1148" s="11" t="s">
        <v>2547</v>
      </c>
      <c r="B1148" s="2" t="str">
        <f t="shared" si="102"/>
        <v>Bongo Hi Op</v>
      </c>
      <c r="C1148" s="3">
        <v>1147</v>
      </c>
      <c r="D1148" s="17" t="s">
        <v>1146</v>
      </c>
      <c r="E1148" s="2" t="str">
        <f t="shared" si="103"/>
        <v>TY L.Tom mf</v>
      </c>
      <c r="F1148" s="12">
        <v>1147</v>
      </c>
      <c r="G1148" s="17">
        <f t="shared" si="104"/>
        <v>1323</v>
      </c>
      <c r="H1148" s="2">
        <f t="shared" si="105"/>
        <v>176</v>
      </c>
      <c r="I1148" s="3" t="s">
        <v>3714</v>
      </c>
      <c r="J1148" s="17">
        <f t="shared" si="106"/>
        <v>0</v>
      </c>
      <c r="K1148" s="2">
        <f t="shared" si="107"/>
        <v>0</v>
      </c>
      <c r="L1148" s="12" t="s">
        <v>3714</v>
      </c>
    </row>
    <row r="1149" spans="1:12" x14ac:dyDescent="0.25">
      <c r="A1149" s="11" t="s">
        <v>2548</v>
      </c>
      <c r="B1149" s="2" t="str">
        <f t="shared" si="102"/>
        <v>Bongo Lo Op</v>
      </c>
      <c r="C1149" s="3">
        <v>1148</v>
      </c>
      <c r="D1149" s="17" t="s">
        <v>1147</v>
      </c>
      <c r="E1149" s="2" t="str">
        <f t="shared" si="103"/>
        <v>TY L.Tom f</v>
      </c>
      <c r="F1149" s="12">
        <v>1148</v>
      </c>
      <c r="G1149" s="17">
        <f t="shared" si="104"/>
        <v>1324</v>
      </c>
      <c r="H1149" s="2">
        <f t="shared" si="105"/>
        <v>176</v>
      </c>
      <c r="I1149" s="3" t="s">
        <v>3714</v>
      </c>
      <c r="J1149" s="17">
        <f t="shared" si="106"/>
        <v>0</v>
      </c>
      <c r="K1149" s="2">
        <f t="shared" si="107"/>
        <v>0</v>
      </c>
      <c r="L1149" s="12" t="s">
        <v>3714</v>
      </c>
    </row>
    <row r="1150" spans="1:12" x14ac:dyDescent="0.25">
      <c r="A1150" s="11" t="s">
        <v>2549</v>
      </c>
      <c r="B1150" s="2" t="str">
        <f t="shared" si="102"/>
        <v>Conga Hi Mt</v>
      </c>
      <c r="C1150" s="3">
        <v>1149</v>
      </c>
      <c r="D1150" s="17" t="s">
        <v>1148</v>
      </c>
      <c r="E1150" s="2" t="str">
        <f t="shared" si="103"/>
        <v>TY L.Tom ff</v>
      </c>
      <c r="F1150" s="12">
        <v>1149</v>
      </c>
      <c r="G1150" s="17">
        <f t="shared" si="104"/>
        <v>1326</v>
      </c>
      <c r="H1150" s="2">
        <f t="shared" si="105"/>
        <v>177</v>
      </c>
      <c r="I1150" s="3" t="s">
        <v>3714</v>
      </c>
      <c r="J1150" s="17">
        <f t="shared" si="106"/>
        <v>0</v>
      </c>
      <c r="K1150" s="2">
        <f t="shared" si="107"/>
        <v>0</v>
      </c>
      <c r="L1150" s="12" t="s">
        <v>3714</v>
      </c>
    </row>
    <row r="1151" spans="1:12" x14ac:dyDescent="0.25">
      <c r="A1151" s="11" t="s">
        <v>2550</v>
      </c>
      <c r="B1151" s="2" t="str">
        <f t="shared" si="102"/>
        <v>Conga Lo Mt</v>
      </c>
      <c r="C1151" s="3">
        <v>1150</v>
      </c>
      <c r="D1151" s="17" t="s">
        <v>1149</v>
      </c>
      <c r="E1151" s="2" t="str">
        <f t="shared" si="103"/>
        <v>TY M.Tom mf</v>
      </c>
      <c r="F1151" s="12">
        <v>1150</v>
      </c>
      <c r="G1151" s="17">
        <f t="shared" si="104"/>
        <v>1327</v>
      </c>
      <c r="H1151" s="2">
        <f t="shared" si="105"/>
        <v>177</v>
      </c>
      <c r="I1151" s="3" t="s">
        <v>3714</v>
      </c>
      <c r="J1151" s="17">
        <f t="shared" si="106"/>
        <v>0</v>
      </c>
      <c r="K1151" s="2">
        <f t="shared" si="107"/>
        <v>0</v>
      </c>
      <c r="L1151" s="12" t="s">
        <v>3714</v>
      </c>
    </row>
    <row r="1152" spans="1:12" x14ac:dyDescent="0.25">
      <c r="A1152" s="11" t="s">
        <v>2551</v>
      </c>
      <c r="B1152" s="2" t="str">
        <f t="shared" si="102"/>
        <v>Conga Hi Slp</v>
      </c>
      <c r="C1152" s="3">
        <v>1151</v>
      </c>
      <c r="D1152" s="17" t="s">
        <v>1150</v>
      </c>
      <c r="E1152" s="2" t="str">
        <f t="shared" si="103"/>
        <v>TY M.Tom f</v>
      </c>
      <c r="F1152" s="12">
        <v>1151</v>
      </c>
      <c r="G1152" s="17">
        <f t="shared" si="104"/>
        <v>1328</v>
      </c>
      <c r="H1152" s="2">
        <f t="shared" si="105"/>
        <v>177</v>
      </c>
      <c r="I1152" s="3" t="s">
        <v>3714</v>
      </c>
      <c r="J1152" s="17">
        <f t="shared" si="106"/>
        <v>0</v>
      </c>
      <c r="K1152" s="2">
        <f t="shared" si="107"/>
        <v>0</v>
      </c>
      <c r="L1152" s="12" t="s">
        <v>3714</v>
      </c>
    </row>
    <row r="1153" spans="1:12" x14ac:dyDescent="0.25">
      <c r="A1153" s="11" t="s">
        <v>2552</v>
      </c>
      <c r="B1153" s="2" t="str">
        <f t="shared" si="102"/>
        <v>Conga Lo Slp</v>
      </c>
      <c r="C1153" s="3">
        <v>1152</v>
      </c>
      <c r="D1153" s="17" t="s">
        <v>1151</v>
      </c>
      <c r="E1153" s="2" t="str">
        <f t="shared" si="103"/>
        <v>TY M.Tom ff</v>
      </c>
      <c r="F1153" s="12">
        <v>1152</v>
      </c>
      <c r="G1153" s="17">
        <f t="shared" si="104"/>
        <v>1329</v>
      </c>
      <c r="H1153" s="2">
        <f t="shared" si="105"/>
        <v>177</v>
      </c>
      <c r="I1153" s="3" t="s">
        <v>3714</v>
      </c>
      <c r="J1153" s="17">
        <f t="shared" si="106"/>
        <v>0</v>
      </c>
      <c r="K1153" s="2">
        <f t="shared" si="107"/>
        <v>0</v>
      </c>
      <c r="L1153" s="12" t="s">
        <v>3714</v>
      </c>
    </row>
    <row r="1154" spans="1:12" x14ac:dyDescent="0.25">
      <c r="A1154" s="11" t="s">
        <v>2553</v>
      </c>
      <c r="B1154" s="2" t="str">
        <f t="shared" ref="B1154:B1217" si="108">_xlfn.TEXTAFTER(A1154," ",1)</f>
        <v>Conga Hi Op</v>
      </c>
      <c r="C1154" s="3">
        <v>1153</v>
      </c>
      <c r="D1154" s="17" t="s">
        <v>1152</v>
      </c>
      <c r="E1154" s="2" t="str">
        <f t="shared" ref="E1154:E1217" si="109">_xlfn.TEXTAFTER(D1154," ",1)</f>
        <v>TY H.Tom mf</v>
      </c>
      <c r="F1154" s="12">
        <v>1153</v>
      </c>
      <c r="G1154" s="17">
        <f t="shared" si="104"/>
        <v>1330</v>
      </c>
      <c r="H1154" s="2">
        <f t="shared" si="105"/>
        <v>177</v>
      </c>
      <c r="I1154" s="3" t="s">
        <v>3714</v>
      </c>
      <c r="J1154" s="17">
        <f t="shared" si="106"/>
        <v>0</v>
      </c>
      <c r="K1154" s="2">
        <f t="shared" si="107"/>
        <v>0</v>
      </c>
      <c r="L1154" s="12" t="s">
        <v>3714</v>
      </c>
    </row>
    <row r="1155" spans="1:12" x14ac:dyDescent="0.25">
      <c r="A1155" s="11" t="s">
        <v>2554</v>
      </c>
      <c r="B1155" s="2" t="str">
        <f t="shared" si="108"/>
        <v>Conga Lo Op</v>
      </c>
      <c r="C1155" s="3">
        <v>1154</v>
      </c>
      <c r="D1155" s="17" t="s">
        <v>1153</v>
      </c>
      <c r="E1155" s="2" t="str">
        <f t="shared" si="109"/>
        <v>TY H.Tom f</v>
      </c>
      <c r="F1155" s="12">
        <v>1154</v>
      </c>
      <c r="G1155" s="17">
        <f t="shared" ref="G1155:G1218" si="110">_xlfn.IFNA(_xlfn.XMATCH(B1155,E$2:E$1402,0,1),0)</f>
        <v>1331</v>
      </c>
      <c r="H1155" s="2">
        <f t="shared" ref="H1155:H1218" si="111">IF(G1155=0,0,G1155-C1155)</f>
        <v>177</v>
      </c>
      <c r="I1155" s="3" t="s">
        <v>3714</v>
      </c>
      <c r="J1155" s="17">
        <f t="shared" ref="J1155:J1218" si="112">_xlfn.IFNA(_xlfn.XMATCH(E1155,B$2:B$1229,0,1),0)</f>
        <v>0</v>
      </c>
      <c r="K1155" s="2">
        <f t="shared" ref="K1155:K1218" si="113">IF(J1155=0,0,J1155-F1155)</f>
        <v>0</v>
      </c>
      <c r="L1155" s="12" t="s">
        <v>3714</v>
      </c>
    </row>
    <row r="1156" spans="1:12" x14ac:dyDescent="0.25">
      <c r="A1156" s="11" t="s">
        <v>2555</v>
      </c>
      <c r="B1156" s="2" t="str">
        <f t="shared" si="108"/>
        <v>Conga Slp Op</v>
      </c>
      <c r="C1156" s="3">
        <v>1155</v>
      </c>
      <c r="D1156" s="17" t="s">
        <v>1154</v>
      </c>
      <c r="E1156" s="2" t="str">
        <f t="shared" si="109"/>
        <v>TY H.Tom ff</v>
      </c>
      <c r="F1156" s="12">
        <v>1155</v>
      </c>
      <c r="G1156" s="17">
        <f t="shared" si="110"/>
        <v>1332</v>
      </c>
      <c r="H1156" s="2">
        <f t="shared" si="111"/>
        <v>177</v>
      </c>
      <c r="I1156" s="3" t="s">
        <v>3714</v>
      </c>
      <c r="J1156" s="17">
        <f t="shared" si="112"/>
        <v>0</v>
      </c>
      <c r="K1156" s="2">
        <f t="shared" si="113"/>
        <v>0</v>
      </c>
      <c r="L1156" s="12" t="s">
        <v>3714</v>
      </c>
    </row>
    <row r="1157" spans="1:12" x14ac:dyDescent="0.25">
      <c r="A1157" s="11" t="s">
        <v>2556</v>
      </c>
      <c r="B1157" s="2" t="str">
        <f t="shared" si="108"/>
        <v>Conga Efx</v>
      </c>
      <c r="C1157" s="3">
        <v>1156</v>
      </c>
      <c r="D1157" s="17" t="s">
        <v>1155</v>
      </c>
      <c r="E1157" s="2" t="str">
        <f t="shared" si="109"/>
        <v>RR F.Tom mp</v>
      </c>
      <c r="F1157" s="12">
        <v>1156</v>
      </c>
      <c r="G1157" s="17">
        <f t="shared" si="110"/>
        <v>1333</v>
      </c>
      <c r="H1157" s="2">
        <f t="shared" si="111"/>
        <v>177</v>
      </c>
      <c r="I1157" s="3" t="s">
        <v>3714</v>
      </c>
      <c r="J1157" s="17">
        <f t="shared" si="112"/>
        <v>0</v>
      </c>
      <c r="K1157" s="2">
        <f t="shared" si="113"/>
        <v>0</v>
      </c>
      <c r="L1157" s="12" t="s">
        <v>3714</v>
      </c>
    </row>
    <row r="1158" spans="1:12" x14ac:dyDescent="0.25">
      <c r="A1158" s="11" t="s">
        <v>2557</v>
      </c>
      <c r="B1158" s="2" t="str">
        <f t="shared" si="108"/>
        <v>Conga Thumb</v>
      </c>
      <c r="C1158" s="3">
        <v>1157</v>
      </c>
      <c r="D1158" s="17" t="s">
        <v>1156</v>
      </c>
      <c r="E1158" s="2" t="str">
        <f t="shared" si="109"/>
        <v>RR F.Tom f</v>
      </c>
      <c r="F1158" s="12">
        <v>1157</v>
      </c>
      <c r="G1158" s="17">
        <f t="shared" si="110"/>
        <v>1334</v>
      </c>
      <c r="H1158" s="2">
        <f t="shared" si="111"/>
        <v>177</v>
      </c>
      <c r="I1158" s="3" t="s">
        <v>3714</v>
      </c>
      <c r="J1158" s="17">
        <f t="shared" si="112"/>
        <v>0</v>
      </c>
      <c r="K1158" s="2">
        <f t="shared" si="113"/>
        <v>0</v>
      </c>
      <c r="L1158" s="12" t="s">
        <v>3714</v>
      </c>
    </row>
    <row r="1159" spans="1:12" x14ac:dyDescent="0.25">
      <c r="A1159" s="11" t="s">
        <v>2558</v>
      </c>
      <c r="B1159" s="2" t="str">
        <f t="shared" si="108"/>
        <v>Timbale 1</v>
      </c>
      <c r="C1159" s="3">
        <v>1158</v>
      </c>
      <c r="D1159" s="17" t="s">
        <v>1157</v>
      </c>
      <c r="E1159" s="2" t="str">
        <f t="shared" si="109"/>
        <v>RR F.Tom ff</v>
      </c>
      <c r="F1159" s="12">
        <v>1158</v>
      </c>
      <c r="G1159" s="17">
        <f t="shared" si="110"/>
        <v>1342</v>
      </c>
      <c r="H1159" s="2">
        <f t="shared" si="111"/>
        <v>184</v>
      </c>
      <c r="I1159" s="3" t="s">
        <v>3714</v>
      </c>
      <c r="J1159" s="17">
        <f t="shared" si="112"/>
        <v>0</v>
      </c>
      <c r="K1159" s="2">
        <f t="shared" si="113"/>
        <v>0</v>
      </c>
      <c r="L1159" s="12" t="s">
        <v>3714</v>
      </c>
    </row>
    <row r="1160" spans="1:12" x14ac:dyDescent="0.25">
      <c r="A1160" s="11" t="s">
        <v>2559</v>
      </c>
      <c r="B1160" s="2" t="str">
        <f t="shared" si="108"/>
        <v>Timbale 2</v>
      </c>
      <c r="C1160" s="3">
        <v>1159</v>
      </c>
      <c r="D1160" s="17" t="s">
        <v>1158</v>
      </c>
      <c r="E1160" s="2" t="str">
        <f t="shared" si="109"/>
        <v>SF L.Tom mf</v>
      </c>
      <c r="F1160" s="12">
        <v>1159</v>
      </c>
      <c r="G1160" s="17">
        <f t="shared" si="110"/>
        <v>1343</v>
      </c>
      <c r="H1160" s="2">
        <f t="shared" si="111"/>
        <v>184</v>
      </c>
      <c r="I1160" s="3" t="s">
        <v>3714</v>
      </c>
      <c r="J1160" s="17">
        <f t="shared" si="112"/>
        <v>0</v>
      </c>
      <c r="K1160" s="2">
        <f t="shared" si="113"/>
        <v>0</v>
      </c>
      <c r="L1160" s="12" t="s">
        <v>3714</v>
      </c>
    </row>
    <row r="1161" spans="1:12" x14ac:dyDescent="0.25">
      <c r="A1161" s="11" t="s">
        <v>2560</v>
      </c>
      <c r="B1161" s="2" t="str">
        <f t="shared" si="108"/>
        <v>Cabasa Up</v>
      </c>
      <c r="C1161" s="3">
        <v>1160</v>
      </c>
      <c r="D1161" s="17" t="s">
        <v>1159</v>
      </c>
      <c r="E1161" s="2" t="str">
        <f t="shared" si="109"/>
        <v>SF L.Tom ff</v>
      </c>
      <c r="F1161" s="12">
        <v>1160</v>
      </c>
      <c r="G1161" s="17">
        <f t="shared" si="110"/>
        <v>1346</v>
      </c>
      <c r="H1161" s="2">
        <f t="shared" si="111"/>
        <v>186</v>
      </c>
      <c r="I1161" s="3" t="s">
        <v>3714</v>
      </c>
      <c r="J1161" s="17">
        <f t="shared" si="112"/>
        <v>0</v>
      </c>
      <c r="K1161" s="2">
        <f t="shared" si="113"/>
        <v>0</v>
      </c>
      <c r="L1161" s="12" t="s">
        <v>3714</v>
      </c>
    </row>
    <row r="1162" spans="1:12" x14ac:dyDescent="0.25">
      <c r="A1162" s="11" t="s">
        <v>2561</v>
      </c>
      <c r="B1162" s="2" t="str">
        <f t="shared" si="108"/>
        <v>Cabasa Down</v>
      </c>
      <c r="C1162" s="3">
        <v>1161</v>
      </c>
      <c r="D1162" s="17" t="s">
        <v>1160</v>
      </c>
      <c r="E1162" s="2" t="str">
        <f t="shared" si="109"/>
        <v>SF M.Tom mf</v>
      </c>
      <c r="F1162" s="12">
        <v>1161</v>
      </c>
      <c r="G1162" s="17">
        <f t="shared" si="110"/>
        <v>1347</v>
      </c>
      <c r="H1162" s="2">
        <f t="shared" si="111"/>
        <v>186</v>
      </c>
      <c r="I1162" s="3" t="s">
        <v>3714</v>
      </c>
      <c r="J1162" s="17">
        <f t="shared" si="112"/>
        <v>0</v>
      </c>
      <c r="K1162" s="2">
        <f t="shared" si="113"/>
        <v>0</v>
      </c>
      <c r="L1162" s="12" t="s">
        <v>3714</v>
      </c>
    </row>
    <row r="1163" spans="1:12" x14ac:dyDescent="0.25">
      <c r="A1163" s="11" t="s">
        <v>2562</v>
      </c>
      <c r="B1163" s="2" t="str">
        <f t="shared" si="108"/>
        <v>Cabasa Cut</v>
      </c>
      <c r="C1163" s="3">
        <v>1162</v>
      </c>
      <c r="D1163" s="17" t="s">
        <v>1161</v>
      </c>
      <c r="E1163" s="2" t="str">
        <f t="shared" si="109"/>
        <v>SF M.Tom f</v>
      </c>
      <c r="F1163" s="12">
        <v>1162</v>
      </c>
      <c r="G1163" s="17">
        <f t="shared" si="110"/>
        <v>1348</v>
      </c>
      <c r="H1163" s="2">
        <f t="shared" si="111"/>
        <v>186</v>
      </c>
      <c r="I1163" s="3" t="s">
        <v>3714</v>
      </c>
      <c r="J1163" s="17">
        <f t="shared" si="112"/>
        <v>0</v>
      </c>
      <c r="K1163" s="2">
        <f t="shared" si="113"/>
        <v>0</v>
      </c>
      <c r="L1163" s="12" t="s">
        <v>3714</v>
      </c>
    </row>
    <row r="1164" spans="1:12" x14ac:dyDescent="0.25">
      <c r="A1164" s="11" t="s">
        <v>2563</v>
      </c>
      <c r="B1164" s="2" t="str">
        <f t="shared" si="108"/>
        <v>Maracas</v>
      </c>
      <c r="C1164" s="3">
        <v>1163</v>
      </c>
      <c r="D1164" s="17" t="s">
        <v>1162</v>
      </c>
      <c r="E1164" s="2" t="str">
        <f t="shared" si="109"/>
        <v>SF M.Tom ff</v>
      </c>
      <c r="F1164" s="12">
        <v>1163</v>
      </c>
      <c r="G1164" s="17">
        <f t="shared" si="110"/>
        <v>1351</v>
      </c>
      <c r="H1164" s="2">
        <f t="shared" si="111"/>
        <v>188</v>
      </c>
      <c r="I1164" s="3" t="s">
        <v>3714</v>
      </c>
      <c r="J1164" s="17">
        <f t="shared" si="112"/>
        <v>0</v>
      </c>
      <c r="K1164" s="2">
        <f t="shared" si="113"/>
        <v>0</v>
      </c>
      <c r="L1164" s="12" t="s">
        <v>3714</v>
      </c>
    </row>
    <row r="1165" spans="1:12" x14ac:dyDescent="0.25">
      <c r="A1165" s="11" t="s">
        <v>2564</v>
      </c>
      <c r="B1165" s="2" t="str">
        <f t="shared" si="108"/>
        <v>808 Maracas</v>
      </c>
      <c r="C1165" s="3">
        <v>1164</v>
      </c>
      <c r="D1165" s="17" t="s">
        <v>1163</v>
      </c>
      <c r="E1165" s="2" t="str">
        <f t="shared" si="109"/>
        <v>SF H.Tom mf</v>
      </c>
      <c r="F1165" s="12">
        <v>1164</v>
      </c>
      <c r="G1165" s="17">
        <f t="shared" si="110"/>
        <v>1352</v>
      </c>
      <c r="H1165" s="2">
        <f t="shared" si="111"/>
        <v>188</v>
      </c>
      <c r="I1165" s="3" t="s">
        <v>3714</v>
      </c>
      <c r="J1165" s="17">
        <f t="shared" si="112"/>
        <v>0</v>
      </c>
      <c r="K1165" s="2">
        <f t="shared" si="113"/>
        <v>0</v>
      </c>
      <c r="L1165" s="12" t="s">
        <v>3714</v>
      </c>
    </row>
    <row r="1166" spans="1:12" x14ac:dyDescent="0.25">
      <c r="A1166" s="11" t="s">
        <v>2565</v>
      </c>
      <c r="B1166" s="2" t="str">
        <f t="shared" si="108"/>
        <v>R8 Shaker 1</v>
      </c>
      <c r="C1166" s="3">
        <v>1165</v>
      </c>
      <c r="D1166" s="17" t="s">
        <v>1164</v>
      </c>
      <c r="E1166" s="2" t="str">
        <f t="shared" si="109"/>
        <v>SF H.Tom f</v>
      </c>
      <c r="F1166" s="12">
        <v>1165</v>
      </c>
      <c r="G1166" s="17">
        <f t="shared" si="110"/>
        <v>0</v>
      </c>
      <c r="H1166" s="2">
        <f t="shared" si="111"/>
        <v>0</v>
      </c>
      <c r="I1166" s="3" t="s">
        <v>3714</v>
      </c>
      <c r="J1166" s="17">
        <f t="shared" si="112"/>
        <v>0</v>
      </c>
      <c r="K1166" s="2">
        <f t="shared" si="113"/>
        <v>0</v>
      </c>
      <c r="L1166" s="12" t="s">
        <v>3714</v>
      </c>
    </row>
    <row r="1167" spans="1:12" x14ac:dyDescent="0.25">
      <c r="A1167" s="11" t="s">
        <v>2566</v>
      </c>
      <c r="B1167" s="2" t="str">
        <f t="shared" si="108"/>
        <v>R8 Shaker 2</v>
      </c>
      <c r="C1167" s="3">
        <v>1166</v>
      </c>
      <c r="D1167" s="17" t="s">
        <v>1165</v>
      </c>
      <c r="E1167" s="2" t="str">
        <f t="shared" si="109"/>
        <v>SF H.Tom ff</v>
      </c>
      <c r="F1167" s="12">
        <v>1166</v>
      </c>
      <c r="G1167" s="17">
        <f t="shared" si="110"/>
        <v>0</v>
      </c>
      <c r="H1167" s="2">
        <f t="shared" si="111"/>
        <v>0</v>
      </c>
      <c r="I1167" s="3" t="s">
        <v>3714</v>
      </c>
      <c r="J1167" s="17">
        <f t="shared" si="112"/>
        <v>0</v>
      </c>
      <c r="K1167" s="2">
        <f t="shared" si="113"/>
        <v>0</v>
      </c>
      <c r="L1167" s="12" t="s">
        <v>3714</v>
      </c>
    </row>
    <row r="1168" spans="1:12" x14ac:dyDescent="0.25">
      <c r="A1168" s="11" t="s">
        <v>2567</v>
      </c>
      <c r="B1168" s="2" t="str">
        <f t="shared" si="108"/>
        <v>Shaker 1</v>
      </c>
      <c r="C1168" s="3">
        <v>1167</v>
      </c>
      <c r="D1168" s="17" t="s">
        <v>1166</v>
      </c>
      <c r="E1168" s="2" t="str">
        <f t="shared" si="109"/>
        <v>RR FT Flm ff</v>
      </c>
      <c r="F1168" s="12">
        <v>1167</v>
      </c>
      <c r="G1168" s="17">
        <f t="shared" si="110"/>
        <v>1354</v>
      </c>
      <c r="H1168" s="2">
        <f t="shared" si="111"/>
        <v>187</v>
      </c>
      <c r="I1168" s="3" t="s">
        <v>3714</v>
      </c>
      <c r="J1168" s="17">
        <f t="shared" si="112"/>
        <v>0</v>
      </c>
      <c r="K1168" s="2">
        <f t="shared" si="113"/>
        <v>0</v>
      </c>
      <c r="L1168" s="12" t="s">
        <v>3714</v>
      </c>
    </row>
    <row r="1169" spans="1:12" x14ac:dyDescent="0.25">
      <c r="A1169" s="11" t="s">
        <v>2568</v>
      </c>
      <c r="B1169" s="2" t="str">
        <f t="shared" si="108"/>
        <v>Shaker 2</v>
      </c>
      <c r="C1169" s="3">
        <v>1168</v>
      </c>
      <c r="D1169" s="17" t="s">
        <v>1167</v>
      </c>
      <c r="E1169" s="2" t="str">
        <f t="shared" si="109"/>
        <v>SF LT Flm ff</v>
      </c>
      <c r="F1169" s="12">
        <v>1168</v>
      </c>
      <c r="G1169" s="17">
        <f t="shared" si="110"/>
        <v>1355</v>
      </c>
      <c r="H1169" s="2">
        <f t="shared" si="111"/>
        <v>187</v>
      </c>
      <c r="I1169" s="3" t="s">
        <v>3714</v>
      </c>
      <c r="J1169" s="17">
        <f t="shared" si="112"/>
        <v>0</v>
      </c>
      <c r="K1169" s="2">
        <f t="shared" si="113"/>
        <v>0</v>
      </c>
      <c r="L1169" s="12" t="s">
        <v>3714</v>
      </c>
    </row>
    <row r="1170" spans="1:12" x14ac:dyDescent="0.25">
      <c r="A1170" s="11" t="s">
        <v>2569</v>
      </c>
      <c r="B1170" s="2" t="str">
        <f t="shared" si="108"/>
        <v>Bone Shake</v>
      </c>
      <c r="C1170" s="3">
        <v>1169</v>
      </c>
      <c r="D1170" s="17" t="s">
        <v>1168</v>
      </c>
      <c r="E1170" s="2" t="str">
        <f t="shared" si="109"/>
        <v>SF MT Flm f</v>
      </c>
      <c r="F1170" s="12">
        <v>1169</v>
      </c>
      <c r="G1170" s="17">
        <f t="shared" si="110"/>
        <v>0</v>
      </c>
      <c r="H1170" s="2">
        <f t="shared" si="111"/>
        <v>0</v>
      </c>
      <c r="I1170" s="3" t="s">
        <v>3714</v>
      </c>
      <c r="J1170" s="17">
        <f t="shared" si="112"/>
        <v>0</v>
      </c>
      <c r="K1170" s="2">
        <f t="shared" si="113"/>
        <v>0</v>
      </c>
      <c r="L1170" s="12" t="s">
        <v>3714</v>
      </c>
    </row>
    <row r="1171" spans="1:12" x14ac:dyDescent="0.25">
      <c r="A1171" s="11" t="s">
        <v>2570</v>
      </c>
      <c r="B1171" s="2" t="str">
        <f t="shared" si="108"/>
        <v>CR78 Guiro</v>
      </c>
      <c r="C1171" s="3">
        <v>1170</v>
      </c>
      <c r="D1171" s="17" t="s">
        <v>1169</v>
      </c>
      <c r="E1171" s="2" t="str">
        <f t="shared" si="109"/>
        <v>SF HT Flm p</v>
      </c>
      <c r="F1171" s="12">
        <v>1170</v>
      </c>
      <c r="G1171" s="17">
        <f t="shared" si="110"/>
        <v>0</v>
      </c>
      <c r="H1171" s="2">
        <f t="shared" si="111"/>
        <v>0</v>
      </c>
      <c r="I1171" s="3" t="s">
        <v>3714</v>
      </c>
      <c r="J1171" s="17">
        <f t="shared" si="112"/>
        <v>0</v>
      </c>
      <c r="K1171" s="2">
        <f t="shared" si="113"/>
        <v>0</v>
      </c>
      <c r="L1171" s="12" t="s">
        <v>3714</v>
      </c>
    </row>
    <row r="1172" spans="1:12" x14ac:dyDescent="0.25">
      <c r="A1172" s="11" t="s">
        <v>2571</v>
      </c>
      <c r="B1172" s="2" t="str">
        <f t="shared" si="108"/>
        <v>Guiro 1</v>
      </c>
      <c r="C1172" s="3">
        <v>1171</v>
      </c>
      <c r="D1172" s="17" t="s">
        <v>1170</v>
      </c>
      <c r="E1172" s="2" t="str">
        <f t="shared" si="109"/>
        <v>SF HT Flm f</v>
      </c>
      <c r="F1172" s="12">
        <v>1171</v>
      </c>
      <c r="G1172" s="17">
        <f t="shared" si="110"/>
        <v>1357</v>
      </c>
      <c r="H1172" s="2">
        <f t="shared" si="111"/>
        <v>186</v>
      </c>
      <c r="I1172" s="3" t="s">
        <v>3714</v>
      </c>
      <c r="J1172" s="17">
        <f t="shared" si="112"/>
        <v>0</v>
      </c>
      <c r="K1172" s="2">
        <f t="shared" si="113"/>
        <v>0</v>
      </c>
      <c r="L1172" s="12" t="s">
        <v>3714</v>
      </c>
    </row>
    <row r="1173" spans="1:12" x14ac:dyDescent="0.25">
      <c r="A1173" s="11" t="s">
        <v>2572</v>
      </c>
      <c r="B1173" s="2" t="str">
        <f t="shared" si="108"/>
        <v>Guiro 2</v>
      </c>
      <c r="C1173" s="3">
        <v>1172</v>
      </c>
      <c r="D1173" s="17" t="s">
        <v>1171</v>
      </c>
      <c r="E1173" s="2" t="str">
        <f t="shared" si="109"/>
        <v>SF HT Flm ff</v>
      </c>
      <c r="F1173" s="12">
        <v>1172</v>
      </c>
      <c r="G1173" s="17">
        <f t="shared" si="110"/>
        <v>1358</v>
      </c>
      <c r="H1173" s="2">
        <f t="shared" si="111"/>
        <v>186</v>
      </c>
      <c r="I1173" s="3" t="s">
        <v>3714</v>
      </c>
      <c r="J1173" s="17">
        <f t="shared" si="112"/>
        <v>0</v>
      </c>
      <c r="K1173" s="2">
        <f t="shared" si="113"/>
        <v>0</v>
      </c>
      <c r="L1173" s="12" t="s">
        <v>3714</v>
      </c>
    </row>
    <row r="1174" spans="1:12" x14ac:dyDescent="0.25">
      <c r="A1174" s="11" t="s">
        <v>2573</v>
      </c>
      <c r="B1174" s="2" t="str">
        <f t="shared" si="108"/>
        <v>Guiro Long</v>
      </c>
      <c r="C1174" s="3">
        <v>1173</v>
      </c>
      <c r="D1174" s="17" t="s">
        <v>1172</v>
      </c>
      <c r="E1174" s="2" t="str">
        <f t="shared" si="109"/>
        <v>Reg.F.Tom p</v>
      </c>
      <c r="F1174" s="12">
        <v>1173</v>
      </c>
      <c r="G1174" s="17">
        <f t="shared" si="110"/>
        <v>1359</v>
      </c>
      <c r="H1174" s="2">
        <f t="shared" si="111"/>
        <v>186</v>
      </c>
      <c r="I1174" s="3" t="s">
        <v>3714</v>
      </c>
      <c r="J1174" s="17">
        <f t="shared" si="112"/>
        <v>984</v>
      </c>
      <c r="K1174" s="2">
        <f t="shared" si="113"/>
        <v>-189</v>
      </c>
      <c r="L1174" s="12" t="s">
        <v>3714</v>
      </c>
    </row>
    <row r="1175" spans="1:12" x14ac:dyDescent="0.25">
      <c r="A1175" s="11" t="s">
        <v>2574</v>
      </c>
      <c r="B1175" s="2" t="str">
        <f t="shared" si="108"/>
        <v>TR727Quijada</v>
      </c>
      <c r="C1175" s="3">
        <v>1174</v>
      </c>
      <c r="D1175" s="17" t="s">
        <v>1173</v>
      </c>
      <c r="E1175" s="2" t="str">
        <f t="shared" si="109"/>
        <v>Reg.F.Tom f</v>
      </c>
      <c r="F1175" s="12">
        <v>1174</v>
      </c>
      <c r="G1175" s="17">
        <f t="shared" si="110"/>
        <v>0</v>
      </c>
      <c r="H1175" s="2">
        <f t="shared" si="111"/>
        <v>0</v>
      </c>
      <c r="I1175" s="3" t="s">
        <v>3714</v>
      </c>
      <c r="J1175" s="17">
        <f t="shared" si="112"/>
        <v>985</v>
      </c>
      <c r="K1175" s="2">
        <f t="shared" si="113"/>
        <v>-189</v>
      </c>
      <c r="L1175" s="12" t="s">
        <v>3714</v>
      </c>
    </row>
    <row r="1176" spans="1:12" x14ac:dyDescent="0.25">
      <c r="A1176" s="11" t="s">
        <v>2575</v>
      </c>
      <c r="B1176" s="2" t="str">
        <f t="shared" si="108"/>
        <v>Vibraslap</v>
      </c>
      <c r="C1176" s="3">
        <v>1175</v>
      </c>
      <c r="D1176" s="17" t="s">
        <v>1174</v>
      </c>
      <c r="E1176" s="2" t="str">
        <f t="shared" si="109"/>
        <v>Reg.L.Tom p</v>
      </c>
      <c r="F1176" s="12">
        <v>1175</v>
      </c>
      <c r="G1176" s="17">
        <f t="shared" si="110"/>
        <v>1363</v>
      </c>
      <c r="H1176" s="2">
        <f t="shared" si="111"/>
        <v>188</v>
      </c>
      <c r="I1176" s="3" t="s">
        <v>3714</v>
      </c>
      <c r="J1176" s="17">
        <f t="shared" si="112"/>
        <v>986</v>
      </c>
      <c r="K1176" s="2">
        <f t="shared" si="113"/>
        <v>-189</v>
      </c>
      <c r="L1176" s="12" t="s">
        <v>3714</v>
      </c>
    </row>
    <row r="1177" spans="1:12" x14ac:dyDescent="0.25">
      <c r="A1177" s="11" t="s">
        <v>2576</v>
      </c>
      <c r="B1177" s="2" t="str">
        <f t="shared" si="108"/>
        <v>Tamborine 1</v>
      </c>
      <c r="C1177" s="3">
        <v>1176</v>
      </c>
      <c r="D1177" s="17" t="s">
        <v>1175</v>
      </c>
      <c r="E1177" s="2" t="str">
        <f t="shared" si="109"/>
        <v>Reg.L.Tom f</v>
      </c>
      <c r="F1177" s="12">
        <v>1176</v>
      </c>
      <c r="G1177" s="17">
        <f t="shared" si="110"/>
        <v>1364</v>
      </c>
      <c r="H1177" s="2">
        <f t="shared" si="111"/>
        <v>188</v>
      </c>
      <c r="I1177" s="3" t="s">
        <v>3714</v>
      </c>
      <c r="J1177" s="17">
        <f t="shared" si="112"/>
        <v>987</v>
      </c>
      <c r="K1177" s="2">
        <f t="shared" si="113"/>
        <v>-189</v>
      </c>
      <c r="L1177" s="12" t="s">
        <v>3714</v>
      </c>
    </row>
    <row r="1178" spans="1:12" x14ac:dyDescent="0.25">
      <c r="A1178" s="11" t="s">
        <v>2577</v>
      </c>
      <c r="B1178" s="2" t="str">
        <f t="shared" si="108"/>
        <v>Tamborine 2</v>
      </c>
      <c r="C1178" s="3">
        <v>1177</v>
      </c>
      <c r="D1178" s="17" t="s">
        <v>1176</v>
      </c>
      <c r="E1178" s="2" t="str">
        <f t="shared" si="109"/>
        <v>Reg.M.Tom p</v>
      </c>
      <c r="F1178" s="12">
        <v>1177</v>
      </c>
      <c r="G1178" s="17">
        <f t="shared" si="110"/>
        <v>1365</v>
      </c>
      <c r="H1178" s="2">
        <f t="shared" si="111"/>
        <v>188</v>
      </c>
      <c r="I1178" s="3" t="s">
        <v>3714</v>
      </c>
      <c r="J1178" s="17">
        <f t="shared" si="112"/>
        <v>988</v>
      </c>
      <c r="K1178" s="2">
        <f t="shared" si="113"/>
        <v>-189</v>
      </c>
      <c r="L1178" s="12" t="s">
        <v>3714</v>
      </c>
    </row>
    <row r="1179" spans="1:12" x14ac:dyDescent="0.25">
      <c r="A1179" s="11" t="s">
        <v>2578</v>
      </c>
      <c r="B1179" s="2" t="str">
        <f t="shared" si="108"/>
        <v>Tamborine 3</v>
      </c>
      <c r="C1179" s="3">
        <v>1178</v>
      </c>
      <c r="D1179" s="17" t="s">
        <v>1177</v>
      </c>
      <c r="E1179" s="2" t="str">
        <f t="shared" si="109"/>
        <v>Reg.M.Tom f</v>
      </c>
      <c r="F1179" s="12">
        <v>1178</v>
      </c>
      <c r="G1179" s="17">
        <f t="shared" si="110"/>
        <v>1366</v>
      </c>
      <c r="H1179" s="2">
        <f t="shared" si="111"/>
        <v>188</v>
      </c>
      <c r="I1179" s="3" t="s">
        <v>3714</v>
      </c>
      <c r="J1179" s="17">
        <f t="shared" si="112"/>
        <v>989</v>
      </c>
      <c r="K1179" s="2">
        <f t="shared" si="113"/>
        <v>-189</v>
      </c>
      <c r="L1179" s="12" t="s">
        <v>3714</v>
      </c>
    </row>
    <row r="1180" spans="1:12" x14ac:dyDescent="0.25">
      <c r="A1180" s="11" t="s">
        <v>2579</v>
      </c>
      <c r="B1180" s="2" t="str">
        <f t="shared" si="108"/>
        <v>CR78 Tamb</v>
      </c>
      <c r="C1180" s="3">
        <v>1179</v>
      </c>
      <c r="D1180" s="17" t="s">
        <v>1178</v>
      </c>
      <c r="E1180" s="2" t="str">
        <f t="shared" si="109"/>
        <v>Reg.H.Tom p</v>
      </c>
      <c r="F1180" s="12">
        <v>1179</v>
      </c>
      <c r="G1180" s="17">
        <f t="shared" si="110"/>
        <v>1369</v>
      </c>
      <c r="H1180" s="2">
        <f t="shared" si="111"/>
        <v>190</v>
      </c>
      <c r="I1180" s="3" t="s">
        <v>3714</v>
      </c>
      <c r="J1180" s="17">
        <f t="shared" si="112"/>
        <v>990</v>
      </c>
      <c r="K1180" s="2">
        <f t="shared" si="113"/>
        <v>-189</v>
      </c>
      <c r="L1180" s="12" t="s">
        <v>3714</v>
      </c>
    </row>
    <row r="1181" spans="1:12" x14ac:dyDescent="0.25">
      <c r="A1181" s="11" t="s">
        <v>2580</v>
      </c>
      <c r="B1181" s="2" t="str">
        <f t="shared" si="108"/>
        <v>TablaBayam 1</v>
      </c>
      <c r="C1181" s="3">
        <v>1180</v>
      </c>
      <c r="D1181" s="17" t="s">
        <v>1179</v>
      </c>
      <c r="E1181" s="2" t="str">
        <f t="shared" si="109"/>
        <v>Reg.H.Tom f</v>
      </c>
      <c r="F1181" s="12">
        <v>1180</v>
      </c>
      <c r="G1181" s="17">
        <f t="shared" si="110"/>
        <v>0</v>
      </c>
      <c r="H1181" s="2">
        <f t="shared" si="111"/>
        <v>0</v>
      </c>
      <c r="I1181" s="3" t="s">
        <v>3714</v>
      </c>
      <c r="J1181" s="17">
        <f t="shared" si="112"/>
        <v>991</v>
      </c>
      <c r="K1181" s="2">
        <f t="shared" si="113"/>
        <v>-189</v>
      </c>
      <c r="L1181" s="12" t="s">
        <v>3714</v>
      </c>
    </row>
    <row r="1182" spans="1:12" x14ac:dyDescent="0.25">
      <c r="A1182" s="11" t="s">
        <v>2581</v>
      </c>
      <c r="B1182" s="2" t="str">
        <f t="shared" si="108"/>
        <v>TablaBayam 2</v>
      </c>
      <c r="C1182" s="3">
        <v>1181</v>
      </c>
      <c r="D1182" s="17" t="s">
        <v>1180</v>
      </c>
      <c r="E1182" s="2" t="str">
        <f t="shared" si="109"/>
        <v>Reg.L.TomFlm</v>
      </c>
      <c r="F1182" s="12">
        <v>1181</v>
      </c>
      <c r="G1182" s="17">
        <f t="shared" si="110"/>
        <v>0</v>
      </c>
      <c r="H1182" s="2">
        <f t="shared" si="111"/>
        <v>0</v>
      </c>
      <c r="I1182" s="3" t="s">
        <v>3714</v>
      </c>
      <c r="J1182" s="17">
        <f t="shared" si="112"/>
        <v>992</v>
      </c>
      <c r="K1182" s="2">
        <f t="shared" si="113"/>
        <v>-189</v>
      </c>
      <c r="L1182" s="12" t="s">
        <v>3714</v>
      </c>
    </row>
    <row r="1183" spans="1:12" x14ac:dyDescent="0.25">
      <c r="A1183" s="11" t="s">
        <v>2582</v>
      </c>
      <c r="B1183" s="2" t="str">
        <f t="shared" si="108"/>
        <v>TablaBayam 3</v>
      </c>
      <c r="C1183" s="3">
        <v>1182</v>
      </c>
      <c r="D1183" s="17" t="s">
        <v>1181</v>
      </c>
      <c r="E1183" s="2" t="str">
        <f t="shared" si="109"/>
        <v>Reg.M.TomFlm</v>
      </c>
      <c r="F1183" s="12">
        <v>1182</v>
      </c>
      <c r="G1183" s="17">
        <f t="shared" si="110"/>
        <v>0</v>
      </c>
      <c r="H1183" s="2">
        <f t="shared" si="111"/>
        <v>0</v>
      </c>
      <c r="I1183" s="3" t="s">
        <v>3714</v>
      </c>
      <c r="J1183" s="17">
        <f t="shared" si="112"/>
        <v>993</v>
      </c>
      <c r="K1183" s="2">
        <f t="shared" si="113"/>
        <v>-189</v>
      </c>
      <c r="L1183" s="12" t="s">
        <v>3714</v>
      </c>
    </row>
    <row r="1184" spans="1:12" x14ac:dyDescent="0.25">
      <c r="A1184" s="11" t="s">
        <v>2583</v>
      </c>
      <c r="B1184" s="2" t="str">
        <f t="shared" si="108"/>
        <v>TablaBayam 4</v>
      </c>
      <c r="C1184" s="3">
        <v>1183</v>
      </c>
      <c r="D1184" s="17" t="s">
        <v>1182</v>
      </c>
      <c r="E1184" s="2" t="str">
        <f t="shared" si="109"/>
        <v>Reg.H.TomFlm</v>
      </c>
      <c r="F1184" s="12">
        <v>1183</v>
      </c>
      <c r="G1184" s="17">
        <f t="shared" si="110"/>
        <v>0</v>
      </c>
      <c r="H1184" s="2">
        <f t="shared" si="111"/>
        <v>0</v>
      </c>
      <c r="I1184" s="3" t="s">
        <v>3714</v>
      </c>
      <c r="J1184" s="17">
        <f t="shared" si="112"/>
        <v>994</v>
      </c>
      <c r="K1184" s="2">
        <f t="shared" si="113"/>
        <v>-189</v>
      </c>
      <c r="L1184" s="12" t="s">
        <v>3714</v>
      </c>
    </row>
    <row r="1185" spans="1:12" x14ac:dyDescent="0.25">
      <c r="A1185" s="11" t="s">
        <v>2584</v>
      </c>
      <c r="B1185" s="2" t="str">
        <f t="shared" si="108"/>
        <v>TablaBayam 5</v>
      </c>
      <c r="C1185" s="3">
        <v>1184</v>
      </c>
      <c r="D1185" s="17" t="s">
        <v>1183</v>
      </c>
      <c r="E1185" s="2" t="str">
        <f t="shared" si="109"/>
        <v>Jazz Lo Tom</v>
      </c>
      <c r="F1185" s="12">
        <v>1184</v>
      </c>
      <c r="G1185" s="17">
        <f t="shared" si="110"/>
        <v>0</v>
      </c>
      <c r="H1185" s="2">
        <f t="shared" si="111"/>
        <v>0</v>
      </c>
      <c r="I1185" s="3" t="s">
        <v>3714</v>
      </c>
      <c r="J1185" s="17">
        <f t="shared" si="112"/>
        <v>995</v>
      </c>
      <c r="K1185" s="2">
        <f t="shared" si="113"/>
        <v>-189</v>
      </c>
      <c r="L1185" s="12" t="s">
        <v>3714</v>
      </c>
    </row>
    <row r="1186" spans="1:12" x14ac:dyDescent="0.25">
      <c r="A1186" s="11" t="s">
        <v>2585</v>
      </c>
      <c r="B1186" s="2" t="str">
        <f t="shared" si="108"/>
        <v>TablaBayam 6</v>
      </c>
      <c r="C1186" s="3">
        <v>1185</v>
      </c>
      <c r="D1186" s="17" t="s">
        <v>1184</v>
      </c>
      <c r="E1186" s="2" t="str">
        <f t="shared" si="109"/>
        <v>Jazz Mid Tom</v>
      </c>
      <c r="F1186" s="12">
        <v>1185</v>
      </c>
      <c r="G1186" s="17">
        <f t="shared" si="110"/>
        <v>0</v>
      </c>
      <c r="H1186" s="2">
        <f t="shared" si="111"/>
        <v>0</v>
      </c>
      <c r="I1186" s="3" t="s">
        <v>3714</v>
      </c>
      <c r="J1186" s="17">
        <f t="shared" si="112"/>
        <v>996</v>
      </c>
      <c r="K1186" s="2">
        <f t="shared" si="113"/>
        <v>-189</v>
      </c>
      <c r="L1186" s="12" t="s">
        <v>3714</v>
      </c>
    </row>
    <row r="1187" spans="1:12" x14ac:dyDescent="0.25">
      <c r="A1187" s="11" t="s">
        <v>2586</v>
      </c>
      <c r="B1187" s="2" t="str">
        <f t="shared" si="108"/>
        <v>TablaBayam 7</v>
      </c>
      <c r="C1187" s="3">
        <v>1186</v>
      </c>
      <c r="D1187" s="17" t="s">
        <v>1185</v>
      </c>
      <c r="E1187" s="2" t="str">
        <f t="shared" si="109"/>
        <v>Jazz Hi Tom</v>
      </c>
      <c r="F1187" s="12">
        <v>1186</v>
      </c>
      <c r="G1187" s="17">
        <f t="shared" si="110"/>
        <v>0</v>
      </c>
      <c r="H1187" s="2">
        <f t="shared" si="111"/>
        <v>0</v>
      </c>
      <c r="I1187" s="3" t="s">
        <v>3714</v>
      </c>
      <c r="J1187" s="17">
        <f t="shared" si="112"/>
        <v>997</v>
      </c>
      <c r="K1187" s="2">
        <f t="shared" si="113"/>
        <v>-189</v>
      </c>
      <c r="L1187" s="12" t="s">
        <v>3714</v>
      </c>
    </row>
    <row r="1188" spans="1:12" x14ac:dyDescent="0.25">
      <c r="A1188" s="11" t="s">
        <v>2587</v>
      </c>
      <c r="B1188" s="2" t="str">
        <f t="shared" si="108"/>
        <v>Cajon 1</v>
      </c>
      <c r="C1188" s="3">
        <v>1187</v>
      </c>
      <c r="D1188" s="17" t="s">
        <v>1186</v>
      </c>
      <c r="E1188" s="2" t="str">
        <f t="shared" si="109"/>
        <v>Jazz Lo Flm</v>
      </c>
      <c r="F1188" s="12">
        <v>1187</v>
      </c>
      <c r="G1188" s="17">
        <f t="shared" si="110"/>
        <v>1370</v>
      </c>
      <c r="H1188" s="2">
        <f t="shared" si="111"/>
        <v>183</v>
      </c>
      <c r="I1188" s="3" t="s">
        <v>3714</v>
      </c>
      <c r="J1188" s="17">
        <f t="shared" si="112"/>
        <v>998</v>
      </c>
      <c r="K1188" s="2">
        <f t="shared" si="113"/>
        <v>-189</v>
      </c>
      <c r="L1188" s="12" t="s">
        <v>3714</v>
      </c>
    </row>
    <row r="1189" spans="1:12" x14ac:dyDescent="0.25">
      <c r="A1189" s="11" t="s">
        <v>2588</v>
      </c>
      <c r="B1189" s="2" t="str">
        <f t="shared" si="108"/>
        <v>Cajon 2</v>
      </c>
      <c r="C1189" s="3">
        <v>1188</v>
      </c>
      <c r="D1189" s="17" t="s">
        <v>1187</v>
      </c>
      <c r="E1189" s="2" t="str">
        <f t="shared" si="109"/>
        <v>Jazz Mid Flm</v>
      </c>
      <c r="F1189" s="12">
        <v>1188</v>
      </c>
      <c r="G1189" s="17">
        <f t="shared" si="110"/>
        <v>1371</v>
      </c>
      <c r="H1189" s="2">
        <f t="shared" si="111"/>
        <v>183</v>
      </c>
      <c r="I1189" s="3" t="s">
        <v>3714</v>
      </c>
      <c r="J1189" s="17">
        <f t="shared" si="112"/>
        <v>999</v>
      </c>
      <c r="K1189" s="2">
        <f t="shared" si="113"/>
        <v>-189</v>
      </c>
      <c r="L1189" s="12" t="s">
        <v>3714</v>
      </c>
    </row>
    <row r="1190" spans="1:12" x14ac:dyDescent="0.25">
      <c r="A1190" s="11" t="s">
        <v>2589</v>
      </c>
      <c r="B1190" s="2" t="str">
        <f t="shared" si="108"/>
        <v>Cajon 3</v>
      </c>
      <c r="C1190" s="3">
        <v>1189</v>
      </c>
      <c r="D1190" s="17" t="s">
        <v>1188</v>
      </c>
      <c r="E1190" s="2" t="str">
        <f t="shared" si="109"/>
        <v>Jazz Hi Flm</v>
      </c>
      <c r="F1190" s="12">
        <v>1189</v>
      </c>
      <c r="G1190" s="17">
        <f t="shared" si="110"/>
        <v>1372</v>
      </c>
      <c r="H1190" s="2">
        <f t="shared" si="111"/>
        <v>183</v>
      </c>
      <c r="I1190" s="3" t="s">
        <v>3714</v>
      </c>
      <c r="J1190" s="17">
        <f t="shared" si="112"/>
        <v>1000</v>
      </c>
      <c r="K1190" s="2">
        <f t="shared" si="113"/>
        <v>-189</v>
      </c>
      <c r="L1190" s="12" t="s">
        <v>3714</v>
      </c>
    </row>
    <row r="1191" spans="1:12" x14ac:dyDescent="0.25">
      <c r="A1191" s="11" t="s">
        <v>2590</v>
      </c>
      <c r="B1191" s="2" t="str">
        <f t="shared" si="108"/>
        <v>Udo</v>
      </c>
      <c r="C1191" s="3">
        <v>1190</v>
      </c>
      <c r="D1191" s="17" t="s">
        <v>1189</v>
      </c>
      <c r="E1191" s="2" t="str">
        <f t="shared" si="109"/>
        <v>Sharp Lo Tom</v>
      </c>
      <c r="F1191" s="12">
        <v>1190</v>
      </c>
      <c r="G1191" s="17">
        <f t="shared" si="110"/>
        <v>0</v>
      </c>
      <c r="H1191" s="2">
        <f t="shared" si="111"/>
        <v>0</v>
      </c>
      <c r="I1191" s="3" t="s">
        <v>3714</v>
      </c>
      <c r="J1191" s="17">
        <f t="shared" si="112"/>
        <v>1001</v>
      </c>
      <c r="K1191" s="2">
        <f t="shared" si="113"/>
        <v>-189</v>
      </c>
      <c r="L1191" s="12" t="s">
        <v>3714</v>
      </c>
    </row>
    <row r="1192" spans="1:12" x14ac:dyDescent="0.25">
      <c r="A1192" s="11" t="s">
        <v>2591</v>
      </c>
      <c r="B1192" s="2" t="str">
        <f t="shared" si="108"/>
        <v>Udu Pot Hi</v>
      </c>
      <c r="C1192" s="3">
        <v>1191</v>
      </c>
      <c r="D1192" s="17" t="s">
        <v>1190</v>
      </c>
      <c r="E1192" s="2" t="str">
        <f t="shared" si="109"/>
        <v>Sharp Hi Tom</v>
      </c>
      <c r="F1192" s="12">
        <v>1191</v>
      </c>
      <c r="G1192" s="17">
        <f t="shared" si="110"/>
        <v>0</v>
      </c>
      <c r="H1192" s="2">
        <f t="shared" si="111"/>
        <v>0</v>
      </c>
      <c r="I1192" s="3" t="s">
        <v>3714</v>
      </c>
      <c r="J1192" s="17">
        <f t="shared" si="112"/>
        <v>1002</v>
      </c>
      <c r="K1192" s="2">
        <f t="shared" si="113"/>
        <v>-189</v>
      </c>
      <c r="L1192" s="12" t="s">
        <v>3714</v>
      </c>
    </row>
    <row r="1193" spans="1:12" x14ac:dyDescent="0.25">
      <c r="A1193" s="11" t="s">
        <v>2592</v>
      </c>
      <c r="B1193" s="2" t="str">
        <f t="shared" si="108"/>
        <v>Udu Pot Slp</v>
      </c>
      <c r="C1193" s="3">
        <v>1192</v>
      </c>
      <c r="D1193" s="17" t="s">
        <v>1191</v>
      </c>
      <c r="E1193" s="2" t="str">
        <f t="shared" si="109"/>
        <v>Dry Lo Tom</v>
      </c>
      <c r="F1193" s="12">
        <v>1192</v>
      </c>
      <c r="G1193" s="17">
        <f t="shared" si="110"/>
        <v>0</v>
      </c>
      <c r="H1193" s="2">
        <f t="shared" si="111"/>
        <v>0</v>
      </c>
      <c r="I1193" s="3" t="s">
        <v>3714</v>
      </c>
      <c r="J1193" s="17">
        <f t="shared" si="112"/>
        <v>1003</v>
      </c>
      <c r="K1193" s="2">
        <f t="shared" si="113"/>
        <v>-189</v>
      </c>
      <c r="L1193" s="12" t="s">
        <v>3714</v>
      </c>
    </row>
    <row r="1194" spans="1:12" x14ac:dyDescent="0.25">
      <c r="A1194" s="11" t="s">
        <v>2593</v>
      </c>
      <c r="B1194" s="2" t="str">
        <f t="shared" si="108"/>
        <v>SprgDrm Hit</v>
      </c>
      <c r="C1194" s="3">
        <v>1193</v>
      </c>
      <c r="D1194" s="17" t="s">
        <v>1192</v>
      </c>
      <c r="E1194" s="2" t="str">
        <f t="shared" si="109"/>
        <v>TR909 Tom</v>
      </c>
      <c r="F1194" s="12">
        <v>1193</v>
      </c>
      <c r="G1194" s="17">
        <f t="shared" si="110"/>
        <v>1374</v>
      </c>
      <c r="H1194" s="2">
        <f t="shared" si="111"/>
        <v>181</v>
      </c>
      <c r="I1194" s="3" t="s">
        <v>3714</v>
      </c>
      <c r="J1194" s="17">
        <f t="shared" si="112"/>
        <v>1005</v>
      </c>
      <c r="K1194" s="2">
        <f t="shared" si="113"/>
        <v>-188</v>
      </c>
      <c r="L1194" s="12" t="s">
        <v>3714</v>
      </c>
    </row>
    <row r="1195" spans="1:12" x14ac:dyDescent="0.25">
      <c r="A1195" s="11" t="s">
        <v>2594</v>
      </c>
      <c r="B1195" s="2" t="str">
        <f t="shared" si="108"/>
        <v>Op Pandeiro</v>
      </c>
      <c r="C1195" s="3">
        <v>1194</v>
      </c>
      <c r="D1195" s="17" t="s">
        <v>1193</v>
      </c>
      <c r="E1195" s="2" t="str">
        <f t="shared" si="109"/>
        <v>TR909 DstTom</v>
      </c>
      <c r="F1195" s="12">
        <v>1194</v>
      </c>
      <c r="G1195" s="17">
        <f t="shared" si="110"/>
        <v>0</v>
      </c>
      <c r="H1195" s="2">
        <f t="shared" si="111"/>
        <v>0</v>
      </c>
      <c r="I1195" s="3" t="s">
        <v>3714</v>
      </c>
      <c r="J1195" s="17">
        <f t="shared" si="112"/>
        <v>1006</v>
      </c>
      <c r="K1195" s="2">
        <f t="shared" si="113"/>
        <v>-188</v>
      </c>
      <c r="L1195" s="12" t="s">
        <v>3714</v>
      </c>
    </row>
    <row r="1196" spans="1:12" x14ac:dyDescent="0.25">
      <c r="A1196" s="11" t="s">
        <v>2595</v>
      </c>
      <c r="B1196" s="2" t="str">
        <f t="shared" si="108"/>
        <v>Mt Pandeiro</v>
      </c>
      <c r="C1196" s="3">
        <v>1195</v>
      </c>
      <c r="D1196" s="17" t="s">
        <v>1194</v>
      </c>
      <c r="E1196" s="2" t="str">
        <f t="shared" si="109"/>
        <v>TR808 Tom</v>
      </c>
      <c r="F1196" s="12">
        <v>1195</v>
      </c>
      <c r="G1196" s="17">
        <f t="shared" si="110"/>
        <v>0</v>
      </c>
      <c r="H1196" s="2">
        <f t="shared" si="111"/>
        <v>0</v>
      </c>
      <c r="I1196" s="3" t="s">
        <v>3714</v>
      </c>
      <c r="J1196" s="17">
        <f t="shared" si="112"/>
        <v>1007</v>
      </c>
      <c r="K1196" s="2">
        <f t="shared" si="113"/>
        <v>-188</v>
      </c>
      <c r="L1196" s="12" t="s">
        <v>3714</v>
      </c>
    </row>
    <row r="1197" spans="1:12" x14ac:dyDescent="0.25">
      <c r="A1197" s="11" t="s">
        <v>2596</v>
      </c>
      <c r="B1197" s="2" t="str">
        <f t="shared" si="108"/>
        <v>Cuica</v>
      </c>
      <c r="C1197" s="3">
        <v>1196</v>
      </c>
      <c r="D1197" s="17" t="s">
        <v>1195</v>
      </c>
      <c r="E1197" s="2" t="str">
        <f t="shared" si="109"/>
        <v>TR606 Tom</v>
      </c>
      <c r="F1197" s="12">
        <v>1196</v>
      </c>
      <c r="G1197" s="17">
        <f t="shared" si="110"/>
        <v>1375</v>
      </c>
      <c r="H1197" s="2">
        <f t="shared" si="111"/>
        <v>179</v>
      </c>
      <c r="I1197" s="3" t="s">
        <v>3714</v>
      </c>
      <c r="J1197" s="17">
        <f t="shared" si="112"/>
        <v>1008</v>
      </c>
      <c r="K1197" s="2">
        <f t="shared" si="113"/>
        <v>-188</v>
      </c>
      <c r="L1197" s="12" t="s">
        <v>3714</v>
      </c>
    </row>
    <row r="1198" spans="1:12" x14ac:dyDescent="0.25">
      <c r="A1198" s="11" t="s">
        <v>2597</v>
      </c>
      <c r="B1198" s="2" t="str">
        <f t="shared" si="108"/>
        <v>Timpani p</v>
      </c>
      <c r="C1198" s="3">
        <v>1197</v>
      </c>
      <c r="D1198" s="17" t="s">
        <v>1196</v>
      </c>
      <c r="E1198" s="2" t="str">
        <f t="shared" si="109"/>
        <v>Deep Tom</v>
      </c>
      <c r="F1198" s="12">
        <v>1197</v>
      </c>
      <c r="G1198" s="17">
        <f t="shared" si="110"/>
        <v>1378</v>
      </c>
      <c r="H1198" s="2">
        <f t="shared" si="111"/>
        <v>181</v>
      </c>
      <c r="I1198" s="3" t="s">
        <v>3714</v>
      </c>
      <c r="J1198" s="17">
        <f t="shared" si="112"/>
        <v>1009</v>
      </c>
      <c r="K1198" s="2">
        <f t="shared" si="113"/>
        <v>-188</v>
      </c>
      <c r="L1198" s="12" t="s">
        <v>3714</v>
      </c>
    </row>
    <row r="1199" spans="1:12" x14ac:dyDescent="0.25">
      <c r="A1199" s="11" t="s">
        <v>2598</v>
      </c>
      <c r="B1199" s="2" t="str">
        <f t="shared" si="108"/>
        <v>Timpani f</v>
      </c>
      <c r="C1199" s="3">
        <v>1198</v>
      </c>
      <c r="D1199" s="17" t="s">
        <v>1197</v>
      </c>
      <c r="E1199" s="2" t="str">
        <f t="shared" si="109"/>
        <v>Reg.CHH 1 p</v>
      </c>
      <c r="F1199" s="12">
        <v>1198</v>
      </c>
      <c r="G1199" s="17">
        <f t="shared" si="110"/>
        <v>1379</v>
      </c>
      <c r="H1199" s="2">
        <f t="shared" si="111"/>
        <v>181</v>
      </c>
      <c r="I1199" s="3" t="s">
        <v>3714</v>
      </c>
      <c r="J1199" s="17">
        <f t="shared" si="112"/>
        <v>1010</v>
      </c>
      <c r="K1199" s="2">
        <f t="shared" si="113"/>
        <v>-188</v>
      </c>
      <c r="L1199" s="12" t="s">
        <v>3714</v>
      </c>
    </row>
    <row r="1200" spans="1:12" x14ac:dyDescent="0.25">
      <c r="A1200" s="11" t="s">
        <v>2599</v>
      </c>
      <c r="B1200" s="2" t="str">
        <f t="shared" si="108"/>
        <v>Timpani Roll</v>
      </c>
      <c r="C1200" s="3">
        <v>1199</v>
      </c>
      <c r="D1200" s="17" t="s">
        <v>1198</v>
      </c>
      <c r="E1200" s="2" t="str">
        <f t="shared" si="109"/>
        <v>Reg.CHH 1 mf</v>
      </c>
      <c r="F1200" s="12">
        <v>1199</v>
      </c>
      <c r="G1200" s="17">
        <f t="shared" si="110"/>
        <v>1380</v>
      </c>
      <c r="H1200" s="2">
        <f t="shared" si="111"/>
        <v>181</v>
      </c>
      <c r="I1200" s="3" t="s">
        <v>3714</v>
      </c>
      <c r="J1200" s="17">
        <f t="shared" si="112"/>
        <v>1011</v>
      </c>
      <c r="K1200" s="2">
        <f t="shared" si="113"/>
        <v>-188</v>
      </c>
      <c r="L1200" s="12" t="s">
        <v>3714</v>
      </c>
    </row>
    <row r="1201" spans="1:12" x14ac:dyDescent="0.25">
      <c r="A1201" s="11" t="s">
        <v>2600</v>
      </c>
      <c r="B1201" s="2" t="str">
        <f t="shared" si="108"/>
        <v>Timpani Lp</v>
      </c>
      <c r="C1201" s="3">
        <v>1200</v>
      </c>
      <c r="D1201" s="17" t="s">
        <v>1199</v>
      </c>
      <c r="E1201" s="2" t="str">
        <f t="shared" si="109"/>
        <v>Reg.CHH 1 f</v>
      </c>
      <c r="F1201" s="12">
        <v>1200</v>
      </c>
      <c r="G1201" s="17">
        <f t="shared" si="110"/>
        <v>1381</v>
      </c>
      <c r="H1201" s="2">
        <f t="shared" si="111"/>
        <v>181</v>
      </c>
      <c r="I1201" s="3" t="s">
        <v>3714</v>
      </c>
      <c r="J1201" s="17">
        <f t="shared" si="112"/>
        <v>1012</v>
      </c>
      <c r="K1201" s="2">
        <f t="shared" si="113"/>
        <v>-188</v>
      </c>
      <c r="L1201" s="12" t="s">
        <v>3714</v>
      </c>
    </row>
    <row r="1202" spans="1:12" x14ac:dyDescent="0.25">
      <c r="A1202" s="11" t="s">
        <v>2601</v>
      </c>
      <c r="B1202" s="2" t="str">
        <f t="shared" si="108"/>
        <v>ConcertBD p</v>
      </c>
      <c r="C1202" s="3">
        <v>1201</v>
      </c>
      <c r="D1202" s="17" t="s">
        <v>1200</v>
      </c>
      <c r="E1202" s="2" t="str">
        <f t="shared" si="109"/>
        <v>Reg.CHH 1 ff</v>
      </c>
      <c r="F1202" s="12">
        <v>1201</v>
      </c>
      <c r="G1202" s="17">
        <f t="shared" si="110"/>
        <v>1382</v>
      </c>
      <c r="H1202" s="2">
        <f t="shared" si="111"/>
        <v>181</v>
      </c>
      <c r="I1202" s="3" t="s">
        <v>3714</v>
      </c>
      <c r="J1202" s="17">
        <f t="shared" si="112"/>
        <v>1013</v>
      </c>
      <c r="K1202" s="2">
        <f t="shared" si="113"/>
        <v>-188</v>
      </c>
      <c r="L1202" s="12" t="s">
        <v>3714</v>
      </c>
    </row>
    <row r="1203" spans="1:12" x14ac:dyDescent="0.25">
      <c r="A1203" s="11" t="s">
        <v>2602</v>
      </c>
      <c r="B1203" s="2" t="str">
        <f t="shared" si="108"/>
        <v>ConcertBD f</v>
      </c>
      <c r="C1203" s="3">
        <v>1202</v>
      </c>
      <c r="D1203" s="17" t="s">
        <v>1201</v>
      </c>
      <c r="E1203" s="2" t="str">
        <f t="shared" si="109"/>
        <v>Reg.CHH 2 mf</v>
      </c>
      <c r="F1203" s="12">
        <v>1202</v>
      </c>
      <c r="G1203" s="17">
        <f t="shared" si="110"/>
        <v>1383</v>
      </c>
      <c r="H1203" s="2">
        <f t="shared" si="111"/>
        <v>181</v>
      </c>
      <c r="I1203" s="3" t="s">
        <v>3714</v>
      </c>
      <c r="J1203" s="17">
        <f t="shared" si="112"/>
        <v>1014</v>
      </c>
      <c r="K1203" s="2">
        <f t="shared" si="113"/>
        <v>-188</v>
      </c>
      <c r="L1203" s="12" t="s">
        <v>3714</v>
      </c>
    </row>
    <row r="1204" spans="1:12" x14ac:dyDescent="0.25">
      <c r="A1204" s="11" t="s">
        <v>2603</v>
      </c>
      <c r="B1204" s="2" t="str">
        <f t="shared" si="108"/>
        <v>ConcertBD ff</v>
      </c>
      <c r="C1204" s="3">
        <v>1203</v>
      </c>
      <c r="D1204" s="17" t="s">
        <v>1202</v>
      </c>
      <c r="E1204" s="2" t="str">
        <f t="shared" si="109"/>
        <v>Reg.CHH 2 f</v>
      </c>
      <c r="F1204" s="12">
        <v>1203</v>
      </c>
      <c r="G1204" s="17">
        <f t="shared" si="110"/>
        <v>1384</v>
      </c>
      <c r="H1204" s="2">
        <f t="shared" si="111"/>
        <v>181</v>
      </c>
      <c r="I1204" s="3" t="s">
        <v>3714</v>
      </c>
      <c r="J1204" s="17">
        <f t="shared" si="112"/>
        <v>1015</v>
      </c>
      <c r="K1204" s="2">
        <f t="shared" si="113"/>
        <v>-188</v>
      </c>
      <c r="L1204" s="12" t="s">
        <v>3714</v>
      </c>
    </row>
    <row r="1205" spans="1:12" x14ac:dyDescent="0.25">
      <c r="A1205" s="11" t="s">
        <v>2604</v>
      </c>
      <c r="B1205" s="2" t="str">
        <f t="shared" si="108"/>
        <v>ConcertBD Lp</v>
      </c>
      <c r="C1205" s="3">
        <v>1204</v>
      </c>
      <c r="D1205" s="17" t="s">
        <v>1203</v>
      </c>
      <c r="E1205" s="2" t="str">
        <f t="shared" si="109"/>
        <v>Reg.CHH 2 ff</v>
      </c>
      <c r="F1205" s="12">
        <v>1204</v>
      </c>
      <c r="G1205" s="17">
        <f t="shared" si="110"/>
        <v>1385</v>
      </c>
      <c r="H1205" s="2">
        <f t="shared" si="111"/>
        <v>181</v>
      </c>
      <c r="I1205" s="3" t="s">
        <v>3714</v>
      </c>
      <c r="J1205" s="17">
        <f t="shared" si="112"/>
        <v>1016</v>
      </c>
      <c r="K1205" s="2">
        <f t="shared" si="113"/>
        <v>-188</v>
      </c>
      <c r="L1205" s="12" t="s">
        <v>3714</v>
      </c>
    </row>
    <row r="1206" spans="1:12" x14ac:dyDescent="0.25">
      <c r="A1206" s="11" t="s">
        <v>2605</v>
      </c>
      <c r="B1206" s="2" t="str">
        <f t="shared" si="108"/>
        <v>Triangle 1</v>
      </c>
      <c r="C1206" s="3">
        <v>1205</v>
      </c>
      <c r="D1206" s="17" t="s">
        <v>1204</v>
      </c>
      <c r="E1206" s="2" t="str">
        <f t="shared" si="109"/>
        <v>Reg.PHH mf</v>
      </c>
      <c r="F1206" s="12">
        <v>1205</v>
      </c>
      <c r="G1206" s="17">
        <f t="shared" si="110"/>
        <v>1386</v>
      </c>
      <c r="H1206" s="2">
        <f t="shared" si="111"/>
        <v>181</v>
      </c>
      <c r="I1206" s="3" t="s">
        <v>3714</v>
      </c>
      <c r="J1206" s="17">
        <f t="shared" si="112"/>
        <v>1017</v>
      </c>
      <c r="K1206" s="2">
        <f t="shared" si="113"/>
        <v>-188</v>
      </c>
      <c r="L1206" s="12" t="s">
        <v>3714</v>
      </c>
    </row>
    <row r="1207" spans="1:12" x14ac:dyDescent="0.25">
      <c r="A1207" s="11" t="s">
        <v>2606</v>
      </c>
      <c r="B1207" s="2" t="str">
        <f t="shared" si="108"/>
        <v>Triangle 2</v>
      </c>
      <c r="C1207" s="3">
        <v>1206</v>
      </c>
      <c r="D1207" s="17" t="s">
        <v>1205</v>
      </c>
      <c r="E1207" s="2" t="str">
        <f t="shared" si="109"/>
        <v>Reg.PHH f</v>
      </c>
      <c r="F1207" s="12">
        <v>1206</v>
      </c>
      <c r="G1207" s="17">
        <f t="shared" si="110"/>
        <v>1387</v>
      </c>
      <c r="H1207" s="2">
        <f t="shared" si="111"/>
        <v>181</v>
      </c>
      <c r="I1207" s="3" t="s">
        <v>3714</v>
      </c>
      <c r="J1207" s="17">
        <f t="shared" si="112"/>
        <v>1018</v>
      </c>
      <c r="K1207" s="2">
        <f t="shared" si="113"/>
        <v>-188</v>
      </c>
      <c r="L1207" s="12" t="s">
        <v>3714</v>
      </c>
    </row>
    <row r="1208" spans="1:12" x14ac:dyDescent="0.25">
      <c r="A1208" s="11" t="s">
        <v>2607</v>
      </c>
      <c r="B1208" s="2" t="str">
        <f t="shared" si="108"/>
        <v>Tibet Cymbal</v>
      </c>
      <c r="C1208" s="3">
        <v>1207</v>
      </c>
      <c r="D1208" s="17" t="s">
        <v>1206</v>
      </c>
      <c r="E1208" s="2" t="str">
        <f t="shared" si="109"/>
        <v>Reg.OHH mf</v>
      </c>
      <c r="F1208" s="12">
        <v>1207</v>
      </c>
      <c r="G1208" s="17">
        <f t="shared" si="110"/>
        <v>1388</v>
      </c>
      <c r="H1208" s="2">
        <f t="shared" si="111"/>
        <v>181</v>
      </c>
      <c r="I1208" s="3" t="s">
        <v>3714</v>
      </c>
      <c r="J1208" s="17">
        <f t="shared" si="112"/>
        <v>1019</v>
      </c>
      <c r="K1208" s="2">
        <f t="shared" si="113"/>
        <v>-188</v>
      </c>
      <c r="L1208" s="12" t="s">
        <v>3714</v>
      </c>
    </row>
    <row r="1209" spans="1:12" x14ac:dyDescent="0.25">
      <c r="A1209" s="11" t="s">
        <v>2608</v>
      </c>
      <c r="B1209" s="2" t="str">
        <f t="shared" si="108"/>
        <v>Slight Bell</v>
      </c>
      <c r="C1209" s="3">
        <v>1208</v>
      </c>
      <c r="D1209" s="17" t="s">
        <v>1207</v>
      </c>
      <c r="E1209" s="2" t="str">
        <f t="shared" si="109"/>
        <v>Reg.OHH f</v>
      </c>
      <c r="F1209" s="12">
        <v>1208</v>
      </c>
      <c r="G1209" s="17">
        <f t="shared" si="110"/>
        <v>1389</v>
      </c>
      <c r="H1209" s="2">
        <f t="shared" si="111"/>
        <v>181</v>
      </c>
      <c r="I1209" s="3" t="s">
        <v>3714</v>
      </c>
      <c r="J1209" s="17">
        <f t="shared" si="112"/>
        <v>1020</v>
      </c>
      <c r="K1209" s="2">
        <f t="shared" si="113"/>
        <v>-188</v>
      </c>
      <c r="L1209" s="12" t="s">
        <v>3714</v>
      </c>
    </row>
    <row r="1210" spans="1:12" x14ac:dyDescent="0.25">
      <c r="A1210" s="11" t="s">
        <v>2609</v>
      </c>
      <c r="B1210" s="2" t="str">
        <f t="shared" si="108"/>
        <v>Wind Chime</v>
      </c>
      <c r="C1210" s="3">
        <v>1209</v>
      </c>
      <c r="D1210" s="17" t="s">
        <v>1208</v>
      </c>
      <c r="E1210" s="2" t="str">
        <f t="shared" si="109"/>
        <v>Reg.OHH ff</v>
      </c>
      <c r="F1210" s="12">
        <v>1209</v>
      </c>
      <c r="G1210" s="17">
        <f t="shared" si="110"/>
        <v>1390</v>
      </c>
      <c r="H1210" s="2">
        <f t="shared" si="111"/>
        <v>181</v>
      </c>
      <c r="I1210" s="3" t="s">
        <v>3714</v>
      </c>
      <c r="J1210" s="17">
        <f t="shared" si="112"/>
        <v>1021</v>
      </c>
      <c r="K1210" s="2">
        <f t="shared" si="113"/>
        <v>-188</v>
      </c>
      <c r="L1210" s="12" t="s">
        <v>3714</v>
      </c>
    </row>
    <row r="1211" spans="1:12" x14ac:dyDescent="0.25">
      <c r="A1211" s="11" t="s">
        <v>2610</v>
      </c>
      <c r="B1211" s="2" t="str">
        <f t="shared" si="108"/>
        <v>Crotale</v>
      </c>
      <c r="C1211" s="3">
        <v>1210</v>
      </c>
      <c r="D1211" s="17" t="s">
        <v>1209</v>
      </c>
      <c r="E1211" s="2" t="str">
        <f t="shared" si="109"/>
        <v>Rock CHH1 mf</v>
      </c>
      <c r="F1211" s="12">
        <v>1210</v>
      </c>
      <c r="G1211" s="17">
        <f t="shared" si="110"/>
        <v>1391</v>
      </c>
      <c r="H1211" s="2">
        <f t="shared" si="111"/>
        <v>181</v>
      </c>
      <c r="I1211" s="3" t="s">
        <v>3714</v>
      </c>
      <c r="J1211" s="17">
        <f t="shared" si="112"/>
        <v>1022</v>
      </c>
      <c r="K1211" s="2">
        <f t="shared" si="113"/>
        <v>-188</v>
      </c>
      <c r="L1211" s="12" t="s">
        <v>3714</v>
      </c>
    </row>
    <row r="1212" spans="1:12" x14ac:dyDescent="0.25">
      <c r="A1212" s="11" t="s">
        <v>2611</v>
      </c>
      <c r="B1212" s="2" t="str">
        <f t="shared" si="108"/>
        <v>R8 Click</v>
      </c>
      <c r="C1212" s="3">
        <v>1211</v>
      </c>
      <c r="D1212" s="17" t="s">
        <v>1210</v>
      </c>
      <c r="E1212" s="2" t="str">
        <f t="shared" si="109"/>
        <v>Rock CHH1 f</v>
      </c>
      <c r="F1212" s="12">
        <v>1211</v>
      </c>
      <c r="G1212" s="17">
        <f t="shared" si="110"/>
        <v>1392</v>
      </c>
      <c r="H1212" s="2">
        <f t="shared" si="111"/>
        <v>181</v>
      </c>
      <c r="I1212" s="3" t="s">
        <v>3714</v>
      </c>
      <c r="J1212" s="17">
        <f t="shared" si="112"/>
        <v>1023</v>
      </c>
      <c r="K1212" s="2">
        <f t="shared" si="113"/>
        <v>-188</v>
      </c>
      <c r="L1212" s="12" t="s">
        <v>3714</v>
      </c>
    </row>
    <row r="1213" spans="1:12" x14ac:dyDescent="0.25">
      <c r="A1213" s="11" t="s">
        <v>2612</v>
      </c>
      <c r="B1213" s="2" t="str">
        <f t="shared" si="108"/>
        <v>Metro Bell</v>
      </c>
      <c r="C1213" s="3">
        <v>1212</v>
      </c>
      <c r="D1213" s="17" t="s">
        <v>1211</v>
      </c>
      <c r="E1213" s="2" t="str">
        <f t="shared" si="109"/>
        <v>Rock CHH2 mf</v>
      </c>
      <c r="F1213" s="12">
        <v>1212</v>
      </c>
      <c r="G1213" s="17">
        <f t="shared" si="110"/>
        <v>1393</v>
      </c>
      <c r="H1213" s="2">
        <f t="shared" si="111"/>
        <v>181</v>
      </c>
      <c r="I1213" s="3" t="s">
        <v>3714</v>
      </c>
      <c r="J1213" s="17">
        <f t="shared" si="112"/>
        <v>1024</v>
      </c>
      <c r="K1213" s="2">
        <f t="shared" si="113"/>
        <v>-188</v>
      </c>
      <c r="L1213" s="12" t="s">
        <v>3714</v>
      </c>
    </row>
    <row r="1214" spans="1:12" x14ac:dyDescent="0.25">
      <c r="A1214" s="11" t="s">
        <v>2613</v>
      </c>
      <c r="B1214" s="2" t="str">
        <f t="shared" si="108"/>
        <v>Metro Click</v>
      </c>
      <c r="C1214" s="3">
        <v>1213</v>
      </c>
      <c r="D1214" s="17" t="s">
        <v>1212</v>
      </c>
      <c r="E1214" s="2" t="str">
        <f t="shared" si="109"/>
        <v>Rock CHH2 f</v>
      </c>
      <c r="F1214" s="12">
        <v>1213</v>
      </c>
      <c r="G1214" s="17">
        <f t="shared" si="110"/>
        <v>1394</v>
      </c>
      <c r="H1214" s="2">
        <f t="shared" si="111"/>
        <v>181</v>
      </c>
      <c r="I1214" s="3" t="s">
        <v>3714</v>
      </c>
      <c r="J1214" s="17">
        <f t="shared" si="112"/>
        <v>1025</v>
      </c>
      <c r="K1214" s="2">
        <f t="shared" si="113"/>
        <v>-188</v>
      </c>
      <c r="L1214" s="12" t="s">
        <v>3714</v>
      </c>
    </row>
    <row r="1215" spans="1:12" x14ac:dyDescent="0.25">
      <c r="A1215" s="11" t="s">
        <v>2614</v>
      </c>
      <c r="B1215" s="2" t="str">
        <f t="shared" si="108"/>
        <v>MC500 Beep 1</v>
      </c>
      <c r="C1215" s="3">
        <v>1214</v>
      </c>
      <c r="D1215" s="17" t="s">
        <v>1213</v>
      </c>
      <c r="E1215" s="2" t="str">
        <f t="shared" si="109"/>
        <v>Rock OHH</v>
      </c>
      <c r="F1215" s="12">
        <v>1214</v>
      </c>
      <c r="G1215" s="17">
        <f t="shared" si="110"/>
        <v>1395</v>
      </c>
      <c r="H1215" s="2">
        <f t="shared" si="111"/>
        <v>181</v>
      </c>
      <c r="I1215" s="3" t="s">
        <v>3714</v>
      </c>
      <c r="J1215" s="17">
        <f t="shared" si="112"/>
        <v>1027</v>
      </c>
      <c r="K1215" s="2">
        <f t="shared" si="113"/>
        <v>-187</v>
      </c>
      <c r="L1215" s="12" t="s">
        <v>3714</v>
      </c>
    </row>
    <row r="1216" spans="1:12" x14ac:dyDescent="0.25">
      <c r="A1216" s="11" t="s">
        <v>2615</v>
      </c>
      <c r="B1216" s="2" t="str">
        <f t="shared" si="108"/>
        <v>MC500 Beep 2</v>
      </c>
      <c r="C1216" s="3">
        <v>1215</v>
      </c>
      <c r="D1216" s="17" t="s">
        <v>1214</v>
      </c>
      <c r="E1216" s="2" t="str">
        <f t="shared" si="109"/>
        <v>Lo-Bit CHH 1</v>
      </c>
      <c r="F1216" s="12">
        <v>1215</v>
      </c>
      <c r="G1216" s="17">
        <f t="shared" si="110"/>
        <v>1396</v>
      </c>
      <c r="H1216" s="2">
        <f t="shared" si="111"/>
        <v>181</v>
      </c>
      <c r="I1216" s="3" t="s">
        <v>3714</v>
      </c>
      <c r="J1216" s="17">
        <f t="shared" si="112"/>
        <v>1028</v>
      </c>
      <c r="K1216" s="2">
        <f t="shared" si="113"/>
        <v>-187</v>
      </c>
      <c r="L1216" s="12" t="s">
        <v>3714</v>
      </c>
    </row>
    <row r="1217" spans="1:12" x14ac:dyDescent="0.25">
      <c r="A1217" s="11" t="s">
        <v>2616</v>
      </c>
      <c r="B1217" s="2" t="str">
        <f t="shared" si="108"/>
        <v>DR202 Beep</v>
      </c>
      <c r="C1217" s="3">
        <v>1216</v>
      </c>
      <c r="D1217" s="17" t="s">
        <v>1215</v>
      </c>
      <c r="E1217" s="2" t="str">
        <f t="shared" si="109"/>
        <v>Lo-Bit CHH 2</v>
      </c>
      <c r="F1217" s="12">
        <v>1216</v>
      </c>
      <c r="G1217" s="17">
        <f t="shared" si="110"/>
        <v>1397</v>
      </c>
      <c r="H1217" s="2">
        <f t="shared" si="111"/>
        <v>181</v>
      </c>
      <c r="I1217" s="3" t="s">
        <v>3714</v>
      </c>
      <c r="J1217" s="17">
        <f t="shared" si="112"/>
        <v>1029</v>
      </c>
      <c r="K1217" s="2">
        <f t="shared" si="113"/>
        <v>-187</v>
      </c>
      <c r="L1217" s="12" t="s">
        <v>3714</v>
      </c>
    </row>
    <row r="1218" spans="1:12" x14ac:dyDescent="0.25">
      <c r="A1218" s="11" t="s">
        <v>2617</v>
      </c>
      <c r="B1218" s="2" t="str">
        <f t="shared" ref="B1218:B1229" si="114">_xlfn.TEXTAFTER(A1218," ",1)</f>
        <v>Low Saw1</v>
      </c>
      <c r="C1218" s="3">
        <v>1217</v>
      </c>
      <c r="D1218" s="17" t="s">
        <v>1216</v>
      </c>
      <c r="E1218" s="2" t="str">
        <f t="shared" ref="E1218:E1281" si="115">_xlfn.TEXTAFTER(D1218," ",1)</f>
        <v>Lo-Bit CHH 3</v>
      </c>
      <c r="F1218" s="12">
        <v>1217</v>
      </c>
      <c r="G1218" s="17">
        <f t="shared" si="110"/>
        <v>0</v>
      </c>
      <c r="H1218" s="2">
        <f t="shared" si="111"/>
        <v>0</v>
      </c>
      <c r="I1218" s="3" t="s">
        <v>3714</v>
      </c>
      <c r="J1218" s="17">
        <f t="shared" si="112"/>
        <v>1030</v>
      </c>
      <c r="K1218" s="2">
        <f t="shared" si="113"/>
        <v>-187</v>
      </c>
      <c r="L1218" s="12" t="s">
        <v>3714</v>
      </c>
    </row>
    <row r="1219" spans="1:12" x14ac:dyDescent="0.25">
      <c r="A1219" s="11" t="s">
        <v>2618</v>
      </c>
      <c r="B1219" s="2" t="str">
        <f t="shared" si="114"/>
        <v>Low Saw1 inv</v>
      </c>
      <c r="C1219" s="3">
        <v>1218</v>
      </c>
      <c r="D1219" s="17" t="s">
        <v>1217</v>
      </c>
      <c r="E1219" s="2" t="str">
        <f t="shared" si="115"/>
        <v>Lo-Bit CHH 4</v>
      </c>
      <c r="F1219" s="12">
        <v>1218</v>
      </c>
      <c r="G1219" s="17">
        <f t="shared" ref="G1219:G1229" si="116">_xlfn.IFNA(_xlfn.XMATCH(B1219,E$2:E$1402,0,1),0)</f>
        <v>0</v>
      </c>
      <c r="H1219" s="2">
        <f t="shared" ref="H1219:H1229" si="117">IF(G1219=0,0,G1219-C1219)</f>
        <v>0</v>
      </c>
      <c r="I1219" s="3" t="s">
        <v>3714</v>
      </c>
      <c r="J1219" s="17">
        <f t="shared" ref="J1219:J1282" si="118">_xlfn.IFNA(_xlfn.XMATCH(E1219,B$2:B$1229,0,1),0)</f>
        <v>1031</v>
      </c>
      <c r="K1219" s="2">
        <f t="shared" ref="K1219:K1282" si="119">IF(J1219=0,0,J1219-F1219)</f>
        <v>-187</v>
      </c>
      <c r="L1219" s="12" t="s">
        <v>3714</v>
      </c>
    </row>
    <row r="1220" spans="1:12" x14ac:dyDescent="0.25">
      <c r="A1220" s="11" t="s">
        <v>2619</v>
      </c>
      <c r="B1220" s="2" t="str">
        <f t="shared" si="114"/>
        <v>Low Saw2</v>
      </c>
      <c r="C1220" s="3">
        <v>1219</v>
      </c>
      <c r="D1220" s="17" t="s">
        <v>1218</v>
      </c>
      <c r="E1220" s="2" t="str">
        <f t="shared" si="115"/>
        <v>Lo-Bit CHH 5</v>
      </c>
      <c r="F1220" s="12">
        <v>1219</v>
      </c>
      <c r="G1220" s="17">
        <f t="shared" si="116"/>
        <v>0</v>
      </c>
      <c r="H1220" s="2">
        <f t="shared" si="117"/>
        <v>0</v>
      </c>
      <c r="I1220" s="3" t="s">
        <v>3714</v>
      </c>
      <c r="J1220" s="17">
        <f t="shared" si="118"/>
        <v>1032</v>
      </c>
      <c r="K1220" s="2">
        <f t="shared" si="119"/>
        <v>-187</v>
      </c>
      <c r="L1220" s="12" t="s">
        <v>3714</v>
      </c>
    </row>
    <row r="1221" spans="1:12" x14ac:dyDescent="0.25">
      <c r="A1221" s="11" t="s">
        <v>2620</v>
      </c>
      <c r="B1221" s="2" t="str">
        <f t="shared" si="114"/>
        <v>Low Pulse 1</v>
      </c>
      <c r="C1221" s="3">
        <v>1220</v>
      </c>
      <c r="D1221" s="17" t="s">
        <v>1219</v>
      </c>
      <c r="E1221" s="2" t="str">
        <f t="shared" si="115"/>
        <v>HipHop CHH</v>
      </c>
      <c r="F1221" s="12">
        <v>1220</v>
      </c>
      <c r="G1221" s="17">
        <f t="shared" si="116"/>
        <v>0</v>
      </c>
      <c r="H1221" s="2">
        <f t="shared" si="117"/>
        <v>0</v>
      </c>
      <c r="I1221" s="3" t="s">
        <v>3714</v>
      </c>
      <c r="J1221" s="17">
        <f t="shared" si="118"/>
        <v>0</v>
      </c>
      <c r="K1221" s="2">
        <f t="shared" si="119"/>
        <v>0</v>
      </c>
      <c r="L1221" s="12" t="s">
        <v>3714</v>
      </c>
    </row>
    <row r="1222" spans="1:12" x14ac:dyDescent="0.25">
      <c r="A1222" s="11" t="s">
        <v>2621</v>
      </c>
      <c r="B1222" s="2" t="str">
        <f t="shared" si="114"/>
        <v>Low Pulse 2</v>
      </c>
      <c r="C1222" s="3">
        <v>1221</v>
      </c>
      <c r="D1222" s="17" t="s">
        <v>1220</v>
      </c>
      <c r="E1222" s="2" t="str">
        <f t="shared" si="115"/>
        <v>TR909 CHH 1</v>
      </c>
      <c r="F1222" s="12">
        <v>1221</v>
      </c>
      <c r="G1222" s="17">
        <f t="shared" si="116"/>
        <v>0</v>
      </c>
      <c r="H1222" s="2">
        <f t="shared" si="117"/>
        <v>0</v>
      </c>
      <c r="I1222" s="3" t="s">
        <v>3714</v>
      </c>
      <c r="J1222" s="17">
        <f t="shared" si="118"/>
        <v>1041</v>
      </c>
      <c r="K1222" s="2">
        <f t="shared" si="119"/>
        <v>-180</v>
      </c>
      <c r="L1222" s="12" t="s">
        <v>3714</v>
      </c>
    </row>
    <row r="1223" spans="1:12" x14ac:dyDescent="0.25">
      <c r="A1223" s="11" t="s">
        <v>2622</v>
      </c>
      <c r="B1223" s="2" t="str">
        <f t="shared" si="114"/>
        <v>Low Square</v>
      </c>
      <c r="C1223" s="3">
        <v>1222</v>
      </c>
      <c r="D1223" s="17" t="s">
        <v>1221</v>
      </c>
      <c r="E1223" s="2" t="str">
        <f t="shared" si="115"/>
        <v>TR909 CHH 2</v>
      </c>
      <c r="F1223" s="12">
        <v>1222</v>
      </c>
      <c r="G1223" s="17">
        <f t="shared" si="116"/>
        <v>1398</v>
      </c>
      <c r="H1223" s="2">
        <f t="shared" si="117"/>
        <v>176</v>
      </c>
      <c r="I1223" s="3" t="s">
        <v>3714</v>
      </c>
      <c r="J1223" s="17">
        <f t="shared" si="118"/>
        <v>1042</v>
      </c>
      <c r="K1223" s="2">
        <f t="shared" si="119"/>
        <v>-180</v>
      </c>
      <c r="L1223" s="12" t="s">
        <v>3714</v>
      </c>
    </row>
    <row r="1224" spans="1:12" x14ac:dyDescent="0.25">
      <c r="A1224" s="11" t="s">
        <v>2623</v>
      </c>
      <c r="B1224" s="2" t="str">
        <f t="shared" si="114"/>
        <v>Low Sine</v>
      </c>
      <c r="C1224" s="3">
        <v>1223</v>
      </c>
      <c r="D1224" s="17" t="s">
        <v>1222</v>
      </c>
      <c r="E1224" s="2" t="str">
        <f t="shared" si="115"/>
        <v>TR808 CHH 1</v>
      </c>
      <c r="F1224" s="12">
        <v>1223</v>
      </c>
      <c r="G1224" s="17">
        <f t="shared" si="116"/>
        <v>1399</v>
      </c>
      <c r="H1224" s="2">
        <f t="shared" si="117"/>
        <v>176</v>
      </c>
      <c r="I1224" s="3" t="s">
        <v>3714</v>
      </c>
      <c r="J1224" s="17">
        <f t="shared" si="118"/>
        <v>1045</v>
      </c>
      <c r="K1224" s="2">
        <f t="shared" si="119"/>
        <v>-178</v>
      </c>
      <c r="L1224" s="12" t="s">
        <v>3714</v>
      </c>
    </row>
    <row r="1225" spans="1:12" x14ac:dyDescent="0.25">
      <c r="A1225" s="11" t="s">
        <v>2624</v>
      </c>
      <c r="B1225" s="2" t="str">
        <f t="shared" si="114"/>
        <v>Low Triangle</v>
      </c>
      <c r="C1225" s="3">
        <v>1224</v>
      </c>
      <c r="D1225" s="17" t="s">
        <v>1223</v>
      </c>
      <c r="E1225" s="2" t="str">
        <f t="shared" si="115"/>
        <v>TR808 CHH 2</v>
      </c>
      <c r="F1225" s="12">
        <v>1224</v>
      </c>
      <c r="G1225" s="17">
        <f t="shared" si="116"/>
        <v>0</v>
      </c>
      <c r="H1225" s="2">
        <f t="shared" si="117"/>
        <v>0</v>
      </c>
      <c r="I1225" s="3" t="s">
        <v>3714</v>
      </c>
      <c r="J1225" s="17">
        <f t="shared" si="118"/>
        <v>1046</v>
      </c>
      <c r="K1225" s="2">
        <f t="shared" si="119"/>
        <v>-178</v>
      </c>
      <c r="L1225" s="12" t="s">
        <v>3714</v>
      </c>
    </row>
    <row r="1226" spans="1:12" x14ac:dyDescent="0.25">
      <c r="A1226" s="11" t="s">
        <v>2625</v>
      </c>
      <c r="B1226" s="2" t="str">
        <f t="shared" si="114"/>
        <v>Low White Nz</v>
      </c>
      <c r="C1226" s="3">
        <v>1225</v>
      </c>
      <c r="D1226" s="17" t="s">
        <v>1224</v>
      </c>
      <c r="E1226" s="2" t="str">
        <f t="shared" si="115"/>
        <v>TR606 CHH 1</v>
      </c>
      <c r="F1226" s="12">
        <v>1225</v>
      </c>
      <c r="G1226" s="17">
        <f t="shared" si="116"/>
        <v>0</v>
      </c>
      <c r="H1226" s="2">
        <f t="shared" si="117"/>
        <v>0</v>
      </c>
      <c r="I1226" s="3" t="s">
        <v>3714</v>
      </c>
      <c r="J1226" s="17">
        <f t="shared" si="118"/>
        <v>1047</v>
      </c>
      <c r="K1226" s="2">
        <f t="shared" si="119"/>
        <v>-178</v>
      </c>
      <c r="L1226" s="12" t="s">
        <v>3714</v>
      </c>
    </row>
    <row r="1227" spans="1:12" x14ac:dyDescent="0.25">
      <c r="A1227" s="11" t="s">
        <v>2626</v>
      </c>
      <c r="B1227" s="2" t="str">
        <f t="shared" si="114"/>
        <v>Low Pink Nz</v>
      </c>
      <c r="C1227" s="3">
        <v>1226</v>
      </c>
      <c r="D1227" s="17" t="s">
        <v>1225</v>
      </c>
      <c r="E1227" s="2" t="str">
        <f t="shared" si="115"/>
        <v>TR606 CHH 2</v>
      </c>
      <c r="F1227" s="12">
        <v>1226</v>
      </c>
      <c r="G1227" s="17">
        <f t="shared" si="116"/>
        <v>0</v>
      </c>
      <c r="H1227" s="2">
        <f t="shared" si="117"/>
        <v>0</v>
      </c>
      <c r="I1227" s="3" t="s">
        <v>3714</v>
      </c>
      <c r="J1227" s="17">
        <f t="shared" si="118"/>
        <v>1048</v>
      </c>
      <c r="K1227" s="2">
        <f t="shared" si="119"/>
        <v>-178</v>
      </c>
      <c r="L1227" s="12" t="s">
        <v>3714</v>
      </c>
    </row>
    <row r="1228" spans="1:12" x14ac:dyDescent="0.25">
      <c r="A1228" s="11" t="s">
        <v>2627</v>
      </c>
      <c r="B1228" s="2" t="str">
        <f t="shared" si="114"/>
        <v>DC</v>
      </c>
      <c r="C1228" s="3">
        <v>1227</v>
      </c>
      <c r="D1228" s="17" t="s">
        <v>1226</v>
      </c>
      <c r="E1228" s="2" t="str">
        <f t="shared" si="115"/>
        <v>TR606 DstCHH</v>
      </c>
      <c r="F1228" s="12">
        <v>1227</v>
      </c>
      <c r="G1228" s="17">
        <f t="shared" si="116"/>
        <v>1400</v>
      </c>
      <c r="H1228" s="2">
        <f t="shared" si="117"/>
        <v>173</v>
      </c>
      <c r="I1228" s="3" t="s">
        <v>3714</v>
      </c>
      <c r="J1228" s="17">
        <f t="shared" si="118"/>
        <v>1049</v>
      </c>
      <c r="K1228" s="2">
        <f t="shared" si="119"/>
        <v>-178</v>
      </c>
      <c r="L1228" s="12" t="s">
        <v>3714</v>
      </c>
    </row>
    <row r="1229" spans="1:12" ht="15.75" thickBot="1" x14ac:dyDescent="0.3">
      <c r="A1229" s="13" t="s">
        <v>2628</v>
      </c>
      <c r="B1229" s="14" t="str">
        <f t="shared" si="114"/>
        <v>Reverse Cym</v>
      </c>
      <c r="C1229" s="15">
        <v>1228</v>
      </c>
      <c r="D1229" s="17" t="s">
        <v>1227</v>
      </c>
      <c r="E1229" s="2" t="str">
        <f t="shared" si="115"/>
        <v>Lite CHH</v>
      </c>
      <c r="F1229" s="12">
        <v>1228</v>
      </c>
      <c r="G1229" s="7">
        <f t="shared" si="116"/>
        <v>1401</v>
      </c>
      <c r="H1229" s="14">
        <f t="shared" si="117"/>
        <v>173</v>
      </c>
      <c r="I1229" s="15" t="s">
        <v>3714</v>
      </c>
      <c r="J1229" s="17">
        <f t="shared" si="118"/>
        <v>1050</v>
      </c>
      <c r="K1229" s="2">
        <f t="shared" si="119"/>
        <v>-178</v>
      </c>
      <c r="L1229" s="12" t="s">
        <v>3714</v>
      </c>
    </row>
    <row r="1230" spans="1:12" x14ac:dyDescent="0.25">
      <c r="D1230" s="17" t="s">
        <v>1228</v>
      </c>
      <c r="E1230" s="2" t="str">
        <f t="shared" si="115"/>
        <v>CR78 CHH</v>
      </c>
      <c r="F1230" s="12">
        <v>1229</v>
      </c>
      <c r="J1230" s="17">
        <f t="shared" si="118"/>
        <v>1051</v>
      </c>
      <c r="K1230" s="2">
        <f t="shared" si="119"/>
        <v>-178</v>
      </c>
      <c r="L1230" s="12" t="s">
        <v>3714</v>
      </c>
    </row>
    <row r="1231" spans="1:12" x14ac:dyDescent="0.25">
      <c r="D1231" s="17" t="s">
        <v>1229</v>
      </c>
      <c r="E1231" s="2" t="str">
        <f t="shared" si="115"/>
        <v>Dance CHH</v>
      </c>
      <c r="F1231" s="12">
        <v>1230</v>
      </c>
      <c r="J1231" s="17">
        <f t="shared" si="118"/>
        <v>1054</v>
      </c>
      <c r="K1231" s="2">
        <f t="shared" si="119"/>
        <v>-176</v>
      </c>
      <c r="L1231" s="12" t="s">
        <v>3714</v>
      </c>
    </row>
    <row r="1232" spans="1:12" x14ac:dyDescent="0.25">
      <c r="D1232" s="17" t="s">
        <v>1230</v>
      </c>
      <c r="E1232" s="2" t="str">
        <f t="shared" si="115"/>
        <v>Noise CHH</v>
      </c>
      <c r="F1232" s="12">
        <v>1231</v>
      </c>
      <c r="J1232" s="17">
        <f t="shared" si="118"/>
        <v>0</v>
      </c>
      <c r="K1232" s="2">
        <f t="shared" si="119"/>
        <v>0</v>
      </c>
      <c r="L1232" s="12" t="s">
        <v>3714</v>
      </c>
    </row>
    <row r="1233" spans="4:12" x14ac:dyDescent="0.25">
      <c r="D1233" s="17" t="s">
        <v>1231</v>
      </c>
      <c r="E1233" s="2" t="str">
        <f t="shared" si="115"/>
        <v>Hip PHH</v>
      </c>
      <c r="F1233" s="12">
        <v>1232</v>
      </c>
      <c r="J1233" s="17">
        <f t="shared" si="118"/>
        <v>1057</v>
      </c>
      <c r="K1233" s="2">
        <f t="shared" si="119"/>
        <v>-175</v>
      </c>
      <c r="L1233" s="12" t="s">
        <v>3714</v>
      </c>
    </row>
    <row r="1234" spans="4:12" x14ac:dyDescent="0.25">
      <c r="D1234" s="17" t="s">
        <v>1232</v>
      </c>
      <c r="E1234" s="2" t="str">
        <f t="shared" si="115"/>
        <v>TR909 PHH 1</v>
      </c>
      <c r="F1234" s="12">
        <v>1233</v>
      </c>
      <c r="J1234" s="17">
        <f t="shared" si="118"/>
        <v>1058</v>
      </c>
      <c r="K1234" s="2">
        <f t="shared" si="119"/>
        <v>-175</v>
      </c>
      <c r="L1234" s="12" t="s">
        <v>3714</v>
      </c>
    </row>
    <row r="1235" spans="4:12" x14ac:dyDescent="0.25">
      <c r="D1235" s="17" t="s">
        <v>1233</v>
      </c>
      <c r="E1235" s="2" t="str">
        <f t="shared" si="115"/>
        <v>TR909 PHH 2</v>
      </c>
      <c r="F1235" s="12">
        <v>1234</v>
      </c>
      <c r="J1235" s="17">
        <f t="shared" si="118"/>
        <v>1059</v>
      </c>
      <c r="K1235" s="2">
        <f t="shared" si="119"/>
        <v>-175</v>
      </c>
      <c r="L1235" s="12" t="s">
        <v>3714</v>
      </c>
    </row>
    <row r="1236" spans="4:12" x14ac:dyDescent="0.25">
      <c r="D1236" s="17" t="s">
        <v>1234</v>
      </c>
      <c r="E1236" s="2" t="str">
        <f t="shared" si="115"/>
        <v>TR808 PHH</v>
      </c>
      <c r="F1236" s="12">
        <v>1235</v>
      </c>
      <c r="J1236" s="17">
        <f t="shared" si="118"/>
        <v>1060</v>
      </c>
      <c r="K1236" s="2">
        <f t="shared" si="119"/>
        <v>-175</v>
      </c>
      <c r="L1236" s="12" t="s">
        <v>3714</v>
      </c>
    </row>
    <row r="1237" spans="4:12" x14ac:dyDescent="0.25">
      <c r="D1237" s="17" t="s">
        <v>1235</v>
      </c>
      <c r="E1237" s="2" t="str">
        <f t="shared" si="115"/>
        <v>TR606 PHH 1</v>
      </c>
      <c r="F1237" s="12">
        <v>1236</v>
      </c>
      <c r="J1237" s="17">
        <f t="shared" si="118"/>
        <v>1061</v>
      </c>
      <c r="K1237" s="2">
        <f t="shared" si="119"/>
        <v>-175</v>
      </c>
      <c r="L1237" s="12" t="s">
        <v>3714</v>
      </c>
    </row>
    <row r="1238" spans="4:12" x14ac:dyDescent="0.25">
      <c r="D1238" s="17" t="s">
        <v>1236</v>
      </c>
      <c r="E1238" s="2" t="str">
        <f t="shared" si="115"/>
        <v>TR606 PHH 2</v>
      </c>
      <c r="F1238" s="12">
        <v>1237</v>
      </c>
      <c r="J1238" s="17">
        <f t="shared" si="118"/>
        <v>1062</v>
      </c>
      <c r="K1238" s="2">
        <f t="shared" si="119"/>
        <v>-175</v>
      </c>
      <c r="L1238" s="12" t="s">
        <v>3714</v>
      </c>
    </row>
    <row r="1239" spans="4:12" x14ac:dyDescent="0.25">
      <c r="D1239" s="17" t="s">
        <v>1237</v>
      </c>
      <c r="E1239" s="2" t="str">
        <f t="shared" si="115"/>
        <v>Lo-Bit PHH</v>
      </c>
      <c r="F1239" s="12">
        <v>1238</v>
      </c>
      <c r="J1239" s="17">
        <f t="shared" si="118"/>
        <v>1063</v>
      </c>
      <c r="K1239" s="2">
        <f t="shared" si="119"/>
        <v>-175</v>
      </c>
      <c r="L1239" s="12" t="s">
        <v>3714</v>
      </c>
    </row>
    <row r="1240" spans="4:12" x14ac:dyDescent="0.25">
      <c r="D1240" s="17" t="s">
        <v>1238</v>
      </c>
      <c r="E1240" s="2" t="str">
        <f t="shared" si="115"/>
        <v>Lo-Bit OHH 1</v>
      </c>
      <c r="F1240" s="12">
        <v>1239</v>
      </c>
      <c r="J1240" s="17">
        <f t="shared" si="118"/>
        <v>1064</v>
      </c>
      <c r="K1240" s="2">
        <f t="shared" si="119"/>
        <v>-175</v>
      </c>
      <c r="L1240" s="12" t="s">
        <v>3714</v>
      </c>
    </row>
    <row r="1241" spans="4:12" x14ac:dyDescent="0.25">
      <c r="D1241" s="17" t="s">
        <v>1239</v>
      </c>
      <c r="E1241" s="2" t="str">
        <f t="shared" si="115"/>
        <v>Lo-Bit OHH 2</v>
      </c>
      <c r="F1241" s="12">
        <v>1240</v>
      </c>
      <c r="J1241" s="17">
        <f t="shared" si="118"/>
        <v>1065</v>
      </c>
      <c r="K1241" s="2">
        <f t="shared" si="119"/>
        <v>-175</v>
      </c>
      <c r="L1241" s="12" t="s">
        <v>3714</v>
      </c>
    </row>
    <row r="1242" spans="4:12" x14ac:dyDescent="0.25">
      <c r="D1242" s="17" t="s">
        <v>1240</v>
      </c>
      <c r="E1242" s="2" t="str">
        <f t="shared" si="115"/>
        <v>Lo-Bit OHH 3</v>
      </c>
      <c r="F1242" s="12">
        <v>1241</v>
      </c>
      <c r="J1242" s="17">
        <f t="shared" si="118"/>
        <v>1066</v>
      </c>
      <c r="K1242" s="2">
        <f t="shared" si="119"/>
        <v>-175</v>
      </c>
      <c r="L1242" s="12" t="s">
        <v>3714</v>
      </c>
    </row>
    <row r="1243" spans="4:12" x14ac:dyDescent="0.25">
      <c r="D1243" s="17" t="s">
        <v>1241</v>
      </c>
      <c r="E1243" s="2" t="str">
        <f t="shared" si="115"/>
        <v>HipHop OHH</v>
      </c>
      <c r="F1243" s="12">
        <v>1242</v>
      </c>
      <c r="J1243" s="17">
        <f t="shared" si="118"/>
        <v>1069</v>
      </c>
      <c r="K1243" s="2">
        <f t="shared" si="119"/>
        <v>-173</v>
      </c>
      <c r="L1243" s="12" t="s">
        <v>3714</v>
      </c>
    </row>
    <row r="1244" spans="4:12" x14ac:dyDescent="0.25">
      <c r="D1244" s="17" t="s">
        <v>1242</v>
      </c>
      <c r="E1244" s="2" t="str">
        <f t="shared" si="115"/>
        <v>TR909 OHH 1</v>
      </c>
      <c r="F1244" s="12">
        <v>1243</v>
      </c>
      <c r="J1244" s="17">
        <f t="shared" si="118"/>
        <v>1070</v>
      </c>
      <c r="K1244" s="2">
        <f t="shared" si="119"/>
        <v>-173</v>
      </c>
      <c r="L1244" s="12" t="s">
        <v>3714</v>
      </c>
    </row>
    <row r="1245" spans="4:12" x14ac:dyDescent="0.25">
      <c r="D1245" s="17" t="s">
        <v>1243</v>
      </c>
      <c r="E1245" s="2" t="str">
        <f t="shared" si="115"/>
        <v>TR909 OHH 2</v>
      </c>
      <c r="F1245" s="12">
        <v>1244</v>
      </c>
      <c r="J1245" s="17">
        <f t="shared" si="118"/>
        <v>1071</v>
      </c>
      <c r="K1245" s="2">
        <f t="shared" si="119"/>
        <v>-173</v>
      </c>
      <c r="L1245" s="12" t="s">
        <v>3714</v>
      </c>
    </row>
    <row r="1246" spans="4:12" x14ac:dyDescent="0.25">
      <c r="D1246" s="17" t="s">
        <v>1244</v>
      </c>
      <c r="E1246" s="2" t="str">
        <f t="shared" si="115"/>
        <v>TR808 OHH 1</v>
      </c>
      <c r="F1246" s="12">
        <v>1245</v>
      </c>
      <c r="J1246" s="17">
        <f t="shared" si="118"/>
        <v>1072</v>
      </c>
      <c r="K1246" s="2">
        <f t="shared" si="119"/>
        <v>-173</v>
      </c>
      <c r="L1246" s="12" t="s">
        <v>3714</v>
      </c>
    </row>
    <row r="1247" spans="4:12" x14ac:dyDescent="0.25">
      <c r="D1247" s="17" t="s">
        <v>1245</v>
      </c>
      <c r="E1247" s="2" t="str">
        <f t="shared" si="115"/>
        <v>TR808 OHH 2</v>
      </c>
      <c r="F1247" s="12">
        <v>1246</v>
      </c>
      <c r="J1247" s="17">
        <f t="shared" si="118"/>
        <v>1073</v>
      </c>
      <c r="K1247" s="2">
        <f t="shared" si="119"/>
        <v>-173</v>
      </c>
      <c r="L1247" s="12" t="s">
        <v>3714</v>
      </c>
    </row>
    <row r="1248" spans="4:12" x14ac:dyDescent="0.25">
      <c r="D1248" s="17" t="s">
        <v>1246</v>
      </c>
      <c r="E1248" s="2" t="str">
        <f t="shared" si="115"/>
        <v>TR606 OHH</v>
      </c>
      <c r="F1248" s="12">
        <v>1247</v>
      </c>
      <c r="J1248" s="17">
        <f t="shared" si="118"/>
        <v>1074</v>
      </c>
      <c r="K1248" s="2">
        <f t="shared" si="119"/>
        <v>-173</v>
      </c>
      <c r="L1248" s="12" t="s">
        <v>3714</v>
      </c>
    </row>
    <row r="1249" spans="4:12" x14ac:dyDescent="0.25">
      <c r="D1249" s="17" t="s">
        <v>1247</v>
      </c>
      <c r="E1249" s="2" t="str">
        <f t="shared" si="115"/>
        <v>Lite OHH</v>
      </c>
      <c r="F1249" s="12">
        <v>1248</v>
      </c>
      <c r="J1249" s="17">
        <f t="shared" si="118"/>
        <v>1075</v>
      </c>
      <c r="K1249" s="2">
        <f t="shared" si="119"/>
        <v>-173</v>
      </c>
      <c r="L1249" s="12" t="s">
        <v>3714</v>
      </c>
    </row>
    <row r="1250" spans="4:12" x14ac:dyDescent="0.25">
      <c r="D1250" s="17" t="s">
        <v>1248</v>
      </c>
      <c r="E1250" s="2" t="str">
        <f t="shared" si="115"/>
        <v>CR78 OHH</v>
      </c>
      <c r="F1250" s="12">
        <v>1249</v>
      </c>
      <c r="J1250" s="17">
        <f t="shared" si="118"/>
        <v>1076</v>
      </c>
      <c r="K1250" s="2">
        <f t="shared" si="119"/>
        <v>-173</v>
      </c>
      <c r="L1250" s="12" t="s">
        <v>3714</v>
      </c>
    </row>
    <row r="1251" spans="4:12" x14ac:dyDescent="0.25">
      <c r="D1251" s="17" t="s">
        <v>1249</v>
      </c>
      <c r="E1251" s="2" t="str">
        <f t="shared" si="115"/>
        <v>Noise OHH</v>
      </c>
      <c r="F1251" s="12">
        <v>1250</v>
      </c>
      <c r="J1251" s="17">
        <f t="shared" si="118"/>
        <v>0</v>
      </c>
      <c r="K1251" s="2">
        <f t="shared" si="119"/>
        <v>0</v>
      </c>
      <c r="L1251" s="12" t="s">
        <v>3714</v>
      </c>
    </row>
    <row r="1252" spans="4:12" x14ac:dyDescent="0.25">
      <c r="D1252" s="17" t="s">
        <v>1250</v>
      </c>
      <c r="E1252" s="2" t="str">
        <f t="shared" si="115"/>
        <v>Noise OHH 2</v>
      </c>
      <c r="F1252" s="12">
        <v>1251</v>
      </c>
      <c r="J1252" s="17">
        <f t="shared" si="118"/>
        <v>0</v>
      </c>
      <c r="K1252" s="2">
        <f t="shared" si="119"/>
        <v>0</v>
      </c>
      <c r="L1252" s="12" t="s">
        <v>3714</v>
      </c>
    </row>
    <row r="1253" spans="4:12" x14ac:dyDescent="0.25">
      <c r="D1253" s="17" t="s">
        <v>1251</v>
      </c>
      <c r="E1253" s="2" t="str">
        <f t="shared" si="115"/>
        <v>Crash Cym1 p</v>
      </c>
      <c r="F1253" s="12">
        <v>1252</v>
      </c>
      <c r="J1253" s="17">
        <f t="shared" si="118"/>
        <v>1077</v>
      </c>
      <c r="K1253" s="2">
        <f t="shared" si="119"/>
        <v>-175</v>
      </c>
      <c r="L1253" s="12" t="s">
        <v>3714</v>
      </c>
    </row>
    <row r="1254" spans="4:12" x14ac:dyDescent="0.25">
      <c r="D1254" s="17" t="s">
        <v>1252</v>
      </c>
      <c r="E1254" s="2" t="str">
        <f t="shared" si="115"/>
        <v>Crash Cym1 f</v>
      </c>
      <c r="F1254" s="12">
        <v>1253</v>
      </c>
      <c r="J1254" s="17">
        <f t="shared" si="118"/>
        <v>1078</v>
      </c>
      <c r="K1254" s="2">
        <f t="shared" si="119"/>
        <v>-175</v>
      </c>
      <c r="L1254" s="12" t="s">
        <v>3714</v>
      </c>
    </row>
    <row r="1255" spans="4:12" x14ac:dyDescent="0.25">
      <c r="D1255" s="17" t="s">
        <v>1253</v>
      </c>
      <c r="E1255" s="2" t="str">
        <f t="shared" si="115"/>
        <v>Crash Cym 2</v>
      </c>
      <c r="F1255" s="12">
        <v>1254</v>
      </c>
      <c r="J1255" s="17">
        <f t="shared" si="118"/>
        <v>1079</v>
      </c>
      <c r="K1255" s="2">
        <f t="shared" si="119"/>
        <v>-175</v>
      </c>
      <c r="L1255" s="12" t="s">
        <v>3714</v>
      </c>
    </row>
    <row r="1256" spans="4:12" x14ac:dyDescent="0.25">
      <c r="D1256" s="17" t="s">
        <v>1254</v>
      </c>
      <c r="E1256" s="2" t="str">
        <f t="shared" si="115"/>
        <v>Rock Crash 1</v>
      </c>
      <c r="F1256" s="12">
        <v>1255</v>
      </c>
      <c r="J1256" s="17">
        <f t="shared" si="118"/>
        <v>1080</v>
      </c>
      <c r="K1256" s="2">
        <f t="shared" si="119"/>
        <v>-175</v>
      </c>
      <c r="L1256" s="12" t="s">
        <v>3714</v>
      </c>
    </row>
    <row r="1257" spans="4:12" x14ac:dyDescent="0.25">
      <c r="D1257" s="17" t="s">
        <v>1255</v>
      </c>
      <c r="E1257" s="2" t="str">
        <f t="shared" si="115"/>
        <v>Rock Crash 2</v>
      </c>
      <c r="F1257" s="12">
        <v>1256</v>
      </c>
      <c r="J1257" s="17">
        <f t="shared" si="118"/>
        <v>1081</v>
      </c>
      <c r="K1257" s="2">
        <f t="shared" si="119"/>
        <v>-175</v>
      </c>
      <c r="L1257" s="12" t="s">
        <v>3714</v>
      </c>
    </row>
    <row r="1258" spans="4:12" x14ac:dyDescent="0.25">
      <c r="D1258" s="17" t="s">
        <v>1256</v>
      </c>
      <c r="E1258" s="2" t="str">
        <f t="shared" si="115"/>
        <v>Splash Cym</v>
      </c>
      <c r="F1258" s="12">
        <v>1257</v>
      </c>
      <c r="J1258" s="17">
        <f t="shared" si="118"/>
        <v>1082</v>
      </c>
      <c r="K1258" s="2">
        <f t="shared" si="119"/>
        <v>-175</v>
      </c>
      <c r="L1258" s="12" t="s">
        <v>3714</v>
      </c>
    </row>
    <row r="1259" spans="4:12" x14ac:dyDescent="0.25">
      <c r="D1259" s="17" t="s">
        <v>1257</v>
      </c>
      <c r="E1259" s="2" t="str">
        <f t="shared" si="115"/>
        <v>Jazz Crash</v>
      </c>
      <c r="F1259" s="12">
        <v>1258</v>
      </c>
      <c r="J1259" s="17">
        <f t="shared" si="118"/>
        <v>1083</v>
      </c>
      <c r="K1259" s="2">
        <f t="shared" si="119"/>
        <v>-175</v>
      </c>
      <c r="L1259" s="12" t="s">
        <v>3714</v>
      </c>
    </row>
    <row r="1260" spans="4:12" x14ac:dyDescent="0.25">
      <c r="D1260" s="17" t="s">
        <v>1258</v>
      </c>
      <c r="E1260" s="2" t="str">
        <f t="shared" si="115"/>
        <v>TR909 Crash</v>
      </c>
      <c r="F1260" s="12">
        <v>1259</v>
      </c>
      <c r="J1260" s="17">
        <f t="shared" si="118"/>
        <v>1084</v>
      </c>
      <c r="K1260" s="2">
        <f t="shared" si="119"/>
        <v>-175</v>
      </c>
      <c r="L1260" s="12" t="s">
        <v>3714</v>
      </c>
    </row>
    <row r="1261" spans="4:12" x14ac:dyDescent="0.25">
      <c r="D1261" s="17" t="s">
        <v>1259</v>
      </c>
      <c r="E1261" s="2" t="str">
        <f t="shared" si="115"/>
        <v>TR909 Crash2</v>
      </c>
      <c r="F1261" s="12">
        <v>1260</v>
      </c>
      <c r="J1261" s="17">
        <f t="shared" si="118"/>
        <v>0</v>
      </c>
      <c r="K1261" s="2">
        <f t="shared" si="119"/>
        <v>0</v>
      </c>
      <c r="L1261" s="12" t="s">
        <v>3714</v>
      </c>
    </row>
    <row r="1262" spans="4:12" x14ac:dyDescent="0.25">
      <c r="D1262" s="17" t="s">
        <v>1260</v>
      </c>
      <c r="E1262" s="2" t="str">
        <f t="shared" si="115"/>
        <v>TR808 Cym</v>
      </c>
      <c r="F1262" s="12">
        <v>1261</v>
      </c>
      <c r="J1262" s="17">
        <f t="shared" si="118"/>
        <v>0</v>
      </c>
      <c r="K1262" s="2">
        <f t="shared" si="119"/>
        <v>0</v>
      </c>
      <c r="L1262" s="12" t="s">
        <v>3714</v>
      </c>
    </row>
    <row r="1263" spans="4:12" x14ac:dyDescent="0.25">
      <c r="D1263" s="17" t="s">
        <v>1261</v>
      </c>
      <c r="E1263" s="2" t="str">
        <f t="shared" si="115"/>
        <v>TR606 Cym 2</v>
      </c>
      <c r="F1263" s="12">
        <v>1262</v>
      </c>
      <c r="J1263" s="17">
        <f t="shared" si="118"/>
        <v>0</v>
      </c>
      <c r="K1263" s="2">
        <f t="shared" si="119"/>
        <v>0</v>
      </c>
      <c r="L1263" s="12" t="s">
        <v>3714</v>
      </c>
    </row>
    <row r="1264" spans="4:12" x14ac:dyDescent="0.25">
      <c r="D1264" s="17" t="s">
        <v>1262</v>
      </c>
      <c r="E1264" s="2" t="str">
        <f t="shared" si="115"/>
        <v>Ride Cymbal</v>
      </c>
      <c r="F1264" s="12">
        <v>1263</v>
      </c>
      <c r="J1264" s="17">
        <f t="shared" si="118"/>
        <v>1086</v>
      </c>
      <c r="K1264" s="2">
        <f t="shared" si="119"/>
        <v>-177</v>
      </c>
      <c r="L1264" s="12" t="s">
        <v>3714</v>
      </c>
    </row>
    <row r="1265" spans="4:12" x14ac:dyDescent="0.25">
      <c r="D1265" s="17" t="s">
        <v>1263</v>
      </c>
      <c r="E1265" s="2" t="str">
        <f t="shared" si="115"/>
        <v>Ride Bell</v>
      </c>
      <c r="F1265" s="12">
        <v>1264</v>
      </c>
      <c r="J1265" s="17">
        <f t="shared" si="118"/>
        <v>1087</v>
      </c>
      <c r="K1265" s="2">
        <f t="shared" si="119"/>
        <v>-177</v>
      </c>
      <c r="L1265" s="12" t="s">
        <v>3714</v>
      </c>
    </row>
    <row r="1266" spans="4:12" x14ac:dyDescent="0.25">
      <c r="D1266" s="17" t="s">
        <v>1264</v>
      </c>
      <c r="E1266" s="2" t="str">
        <f t="shared" si="115"/>
        <v>Rock Rd Cup</v>
      </c>
      <c r="F1266" s="12">
        <v>1265</v>
      </c>
      <c r="J1266" s="17">
        <f t="shared" si="118"/>
        <v>1088</v>
      </c>
      <c r="K1266" s="2">
        <f t="shared" si="119"/>
        <v>-177</v>
      </c>
      <c r="L1266" s="12" t="s">
        <v>3714</v>
      </c>
    </row>
    <row r="1267" spans="4:12" x14ac:dyDescent="0.25">
      <c r="D1267" s="17" t="s">
        <v>1265</v>
      </c>
      <c r="E1267" s="2" t="str">
        <f t="shared" si="115"/>
        <v>Rock Rd Edge</v>
      </c>
      <c r="F1267" s="12">
        <v>1266</v>
      </c>
      <c r="J1267" s="17">
        <f t="shared" si="118"/>
        <v>1089</v>
      </c>
      <c r="K1267" s="2">
        <f t="shared" si="119"/>
        <v>-177</v>
      </c>
      <c r="L1267" s="12" t="s">
        <v>3714</v>
      </c>
    </row>
    <row r="1268" spans="4:12" x14ac:dyDescent="0.25">
      <c r="D1268" s="17" t="s">
        <v>1266</v>
      </c>
      <c r="E1268" s="2" t="str">
        <f t="shared" si="115"/>
        <v>Jazz Ride p</v>
      </c>
      <c r="F1268" s="12">
        <v>1267</v>
      </c>
      <c r="J1268" s="17">
        <f t="shared" si="118"/>
        <v>1090</v>
      </c>
      <c r="K1268" s="2">
        <f t="shared" si="119"/>
        <v>-177</v>
      </c>
      <c r="L1268" s="12" t="s">
        <v>3714</v>
      </c>
    </row>
    <row r="1269" spans="4:12" x14ac:dyDescent="0.25">
      <c r="D1269" s="17" t="s">
        <v>1267</v>
      </c>
      <c r="E1269" s="2" t="str">
        <f t="shared" si="115"/>
        <v>Jazz Ride mf</v>
      </c>
      <c r="F1269" s="12">
        <v>1268</v>
      </c>
      <c r="J1269" s="17">
        <f t="shared" si="118"/>
        <v>1091</v>
      </c>
      <c r="K1269" s="2">
        <f t="shared" si="119"/>
        <v>-177</v>
      </c>
      <c r="L1269" s="12" t="s">
        <v>3714</v>
      </c>
    </row>
    <row r="1270" spans="4:12" x14ac:dyDescent="0.25">
      <c r="D1270" s="17" t="s">
        <v>1268</v>
      </c>
      <c r="E1270" s="2" t="str">
        <f t="shared" si="115"/>
        <v>TR909 Ride</v>
      </c>
      <c r="F1270" s="12">
        <v>1269</v>
      </c>
      <c r="J1270" s="17">
        <f t="shared" si="118"/>
        <v>1092</v>
      </c>
      <c r="K1270" s="2">
        <f t="shared" si="119"/>
        <v>-177</v>
      </c>
      <c r="L1270" s="12" t="s">
        <v>3714</v>
      </c>
    </row>
    <row r="1271" spans="4:12" x14ac:dyDescent="0.25">
      <c r="D1271" s="17" t="s">
        <v>1269</v>
      </c>
      <c r="E1271" s="2" t="str">
        <f t="shared" si="115"/>
        <v>China Cymbal</v>
      </c>
      <c r="F1271" s="12">
        <v>1270</v>
      </c>
      <c r="J1271" s="17">
        <f t="shared" si="118"/>
        <v>1094</v>
      </c>
      <c r="K1271" s="2">
        <f t="shared" si="119"/>
        <v>-176</v>
      </c>
      <c r="L1271" s="12" t="s">
        <v>3714</v>
      </c>
    </row>
    <row r="1272" spans="4:12" x14ac:dyDescent="0.25">
      <c r="D1272" s="17" t="s">
        <v>1270</v>
      </c>
      <c r="E1272" s="2" t="str">
        <f t="shared" si="115"/>
        <v>Concert Cym</v>
      </c>
      <c r="F1272" s="12">
        <v>1271</v>
      </c>
      <c r="J1272" s="17">
        <f t="shared" si="118"/>
        <v>1095</v>
      </c>
      <c r="K1272" s="2">
        <f t="shared" si="119"/>
        <v>-176</v>
      </c>
      <c r="L1272" s="12" t="s">
        <v>3714</v>
      </c>
    </row>
    <row r="1273" spans="4:12" x14ac:dyDescent="0.25">
      <c r="D1273" s="17" t="s">
        <v>1271</v>
      </c>
      <c r="E1273" s="2" t="str">
        <f t="shared" si="115"/>
        <v>Concert Cym2</v>
      </c>
      <c r="F1273" s="12">
        <v>1272</v>
      </c>
      <c r="J1273" s="17">
        <f t="shared" si="118"/>
        <v>0</v>
      </c>
      <c r="K1273" s="2">
        <f t="shared" si="119"/>
        <v>0</v>
      </c>
      <c r="L1273" s="12" t="s">
        <v>3714</v>
      </c>
    </row>
    <row r="1274" spans="4:12" x14ac:dyDescent="0.25">
      <c r="D1274" s="17" t="s">
        <v>1272</v>
      </c>
      <c r="E1274" s="2" t="str">
        <f t="shared" si="115"/>
        <v>Hand Clap</v>
      </c>
      <c r="F1274" s="12">
        <v>1273</v>
      </c>
      <c r="J1274" s="17">
        <f t="shared" si="118"/>
        <v>1096</v>
      </c>
      <c r="K1274" s="2">
        <f t="shared" si="119"/>
        <v>-177</v>
      </c>
      <c r="L1274" s="12" t="s">
        <v>3714</v>
      </c>
    </row>
    <row r="1275" spans="4:12" x14ac:dyDescent="0.25">
      <c r="D1275" s="17" t="s">
        <v>1273</v>
      </c>
      <c r="E1275" s="2" t="str">
        <f t="shared" si="115"/>
        <v>Club Clap</v>
      </c>
      <c r="F1275" s="12">
        <v>1274</v>
      </c>
      <c r="J1275" s="17">
        <f t="shared" si="118"/>
        <v>1097</v>
      </c>
      <c r="K1275" s="2">
        <f t="shared" si="119"/>
        <v>-177</v>
      </c>
      <c r="L1275" s="12" t="s">
        <v>3714</v>
      </c>
    </row>
    <row r="1276" spans="4:12" x14ac:dyDescent="0.25">
      <c r="D1276" s="17" t="s">
        <v>1274</v>
      </c>
      <c r="E1276" s="2" t="str">
        <f t="shared" si="115"/>
        <v>Real Clap</v>
      </c>
      <c r="F1276" s="12">
        <v>1275</v>
      </c>
      <c r="J1276" s="17">
        <f t="shared" si="118"/>
        <v>1099</v>
      </c>
      <c r="K1276" s="2">
        <f t="shared" si="119"/>
        <v>-176</v>
      </c>
      <c r="L1276" s="12" t="s">
        <v>3714</v>
      </c>
    </row>
    <row r="1277" spans="4:12" x14ac:dyDescent="0.25">
      <c r="D1277" s="17" t="s">
        <v>1275</v>
      </c>
      <c r="E1277" s="2" t="str">
        <f t="shared" si="115"/>
        <v>Bright Clap</v>
      </c>
      <c r="F1277" s="12">
        <v>1276</v>
      </c>
      <c r="J1277" s="17">
        <f t="shared" si="118"/>
        <v>1100</v>
      </c>
      <c r="K1277" s="2">
        <f t="shared" si="119"/>
        <v>-176</v>
      </c>
      <c r="L1277" s="12" t="s">
        <v>3714</v>
      </c>
    </row>
    <row r="1278" spans="4:12" x14ac:dyDescent="0.25">
      <c r="D1278" s="17" t="s">
        <v>1276</v>
      </c>
      <c r="E1278" s="2" t="str">
        <f t="shared" si="115"/>
        <v>R8 Clap</v>
      </c>
      <c r="F1278" s="12">
        <v>1277</v>
      </c>
      <c r="J1278" s="17">
        <f t="shared" si="118"/>
        <v>1101</v>
      </c>
      <c r="K1278" s="2">
        <f t="shared" si="119"/>
        <v>-176</v>
      </c>
      <c r="L1278" s="12" t="s">
        <v>3714</v>
      </c>
    </row>
    <row r="1279" spans="4:12" x14ac:dyDescent="0.25">
      <c r="D1279" s="17" t="s">
        <v>1277</v>
      </c>
      <c r="E1279" s="2" t="str">
        <f t="shared" si="115"/>
        <v>Gospel Clap</v>
      </c>
      <c r="F1279" s="12">
        <v>1278</v>
      </c>
      <c r="J1279" s="17">
        <f t="shared" si="118"/>
        <v>1102</v>
      </c>
      <c r="K1279" s="2">
        <f t="shared" si="119"/>
        <v>-176</v>
      </c>
      <c r="L1279" s="12" t="s">
        <v>3714</v>
      </c>
    </row>
    <row r="1280" spans="4:12" x14ac:dyDescent="0.25">
      <c r="D1280" s="17" t="s">
        <v>1278</v>
      </c>
      <c r="E1280" s="2" t="str">
        <f t="shared" si="115"/>
        <v>Amb Clap</v>
      </c>
      <c r="F1280" s="12">
        <v>1279</v>
      </c>
      <c r="J1280" s="17">
        <f t="shared" si="118"/>
        <v>1103</v>
      </c>
      <c r="K1280" s="2">
        <f t="shared" si="119"/>
        <v>-176</v>
      </c>
      <c r="L1280" s="12" t="s">
        <v>3714</v>
      </c>
    </row>
    <row r="1281" spans="4:12" x14ac:dyDescent="0.25">
      <c r="D1281" s="17" t="s">
        <v>1279</v>
      </c>
      <c r="E1281" s="2" t="str">
        <f t="shared" si="115"/>
        <v>Hip Clap</v>
      </c>
      <c r="F1281" s="12">
        <v>1280</v>
      </c>
      <c r="J1281" s="17">
        <f t="shared" si="118"/>
        <v>1104</v>
      </c>
      <c r="K1281" s="2">
        <f t="shared" si="119"/>
        <v>-176</v>
      </c>
      <c r="L1281" s="12" t="s">
        <v>3714</v>
      </c>
    </row>
    <row r="1282" spans="4:12" x14ac:dyDescent="0.25">
      <c r="D1282" s="17" t="s">
        <v>1280</v>
      </c>
      <c r="E1282" s="2" t="str">
        <f t="shared" ref="E1282:E1345" si="120">_xlfn.TEXTAFTER(D1282," ",1)</f>
        <v>Funk Clap</v>
      </c>
      <c r="F1282" s="12">
        <v>1281</v>
      </c>
      <c r="J1282" s="17">
        <f t="shared" si="118"/>
        <v>1105</v>
      </c>
      <c r="K1282" s="2">
        <f t="shared" si="119"/>
        <v>-176</v>
      </c>
      <c r="L1282" s="12" t="s">
        <v>3714</v>
      </c>
    </row>
    <row r="1283" spans="4:12" x14ac:dyDescent="0.25">
      <c r="D1283" s="17" t="s">
        <v>1281</v>
      </c>
      <c r="E1283" s="2" t="str">
        <f t="shared" si="120"/>
        <v>Claptail</v>
      </c>
      <c r="F1283" s="12">
        <v>1282</v>
      </c>
      <c r="J1283" s="17">
        <f t="shared" ref="J1283:J1346" si="121">_xlfn.IFNA(_xlfn.XMATCH(E1283,B$2:B$1229,0,1),0)</f>
        <v>1107</v>
      </c>
      <c r="K1283" s="2">
        <f t="shared" ref="K1283:K1346" si="122">IF(J1283=0,0,J1283-F1283)</f>
        <v>-175</v>
      </c>
      <c r="L1283" s="12" t="s">
        <v>3714</v>
      </c>
    </row>
    <row r="1284" spans="4:12" x14ac:dyDescent="0.25">
      <c r="D1284" s="17" t="s">
        <v>1282</v>
      </c>
      <c r="E1284" s="2" t="str">
        <f t="shared" si="120"/>
        <v>TR808 Clap 1</v>
      </c>
      <c r="F1284" s="12">
        <v>1283</v>
      </c>
      <c r="J1284" s="17">
        <f t="shared" si="121"/>
        <v>1111</v>
      </c>
      <c r="K1284" s="2">
        <f t="shared" si="122"/>
        <v>-172</v>
      </c>
      <c r="L1284" s="12" t="s">
        <v>3714</v>
      </c>
    </row>
    <row r="1285" spans="4:12" x14ac:dyDescent="0.25">
      <c r="D1285" s="17" t="s">
        <v>1283</v>
      </c>
      <c r="E1285" s="2" t="str">
        <f t="shared" si="120"/>
        <v>Disc Clap</v>
      </c>
      <c r="F1285" s="12">
        <v>1284</v>
      </c>
      <c r="J1285" s="17">
        <f t="shared" si="121"/>
        <v>1112</v>
      </c>
      <c r="K1285" s="2">
        <f t="shared" si="122"/>
        <v>-172</v>
      </c>
      <c r="L1285" s="12" t="s">
        <v>3714</v>
      </c>
    </row>
    <row r="1286" spans="4:12" x14ac:dyDescent="0.25">
      <c r="D1286" s="17" t="s">
        <v>1284</v>
      </c>
      <c r="E1286" s="2" t="str">
        <f t="shared" si="120"/>
        <v>Dist Clap</v>
      </c>
      <c r="F1286" s="12">
        <v>1285</v>
      </c>
      <c r="J1286" s="17">
        <f t="shared" si="121"/>
        <v>1113</v>
      </c>
      <c r="K1286" s="2">
        <f t="shared" si="122"/>
        <v>-172</v>
      </c>
      <c r="L1286" s="12" t="s">
        <v>3714</v>
      </c>
    </row>
    <row r="1287" spans="4:12" x14ac:dyDescent="0.25">
      <c r="D1287" s="17" t="s">
        <v>1285</v>
      </c>
      <c r="E1287" s="2" t="str">
        <f t="shared" si="120"/>
        <v>Dist Clap 2</v>
      </c>
      <c r="F1287" s="12">
        <v>1286</v>
      </c>
      <c r="J1287" s="17">
        <f t="shared" si="121"/>
        <v>0</v>
      </c>
      <c r="K1287" s="2">
        <f t="shared" si="122"/>
        <v>0</v>
      </c>
      <c r="L1287" s="12" t="s">
        <v>3714</v>
      </c>
    </row>
    <row r="1288" spans="4:12" x14ac:dyDescent="0.25">
      <c r="D1288" s="17" t="s">
        <v>1286</v>
      </c>
      <c r="E1288" s="2" t="str">
        <f t="shared" si="120"/>
        <v>Old Clap</v>
      </c>
      <c r="F1288" s="12">
        <v>1287</v>
      </c>
      <c r="J1288" s="17">
        <f t="shared" si="121"/>
        <v>1114</v>
      </c>
      <c r="K1288" s="2">
        <f t="shared" si="122"/>
        <v>-173</v>
      </c>
      <c r="L1288" s="12" t="s">
        <v>3714</v>
      </c>
    </row>
    <row r="1289" spans="4:12" x14ac:dyDescent="0.25">
      <c r="D1289" s="17" t="s">
        <v>1287</v>
      </c>
      <c r="E1289" s="2" t="str">
        <f t="shared" si="120"/>
        <v>TR909 Clap 1</v>
      </c>
      <c r="F1289" s="12">
        <v>1288</v>
      </c>
      <c r="J1289" s="17">
        <f t="shared" si="121"/>
        <v>1115</v>
      </c>
      <c r="K1289" s="2">
        <f t="shared" si="122"/>
        <v>-173</v>
      </c>
      <c r="L1289" s="12" t="s">
        <v>3714</v>
      </c>
    </row>
    <row r="1290" spans="4:12" x14ac:dyDescent="0.25">
      <c r="D1290" s="17" t="s">
        <v>1288</v>
      </c>
      <c r="E1290" s="2" t="str">
        <f t="shared" si="120"/>
        <v>TR909 Clap 2</v>
      </c>
      <c r="F1290" s="12">
        <v>1289</v>
      </c>
      <c r="J1290" s="17">
        <f t="shared" si="121"/>
        <v>1116</v>
      </c>
      <c r="K1290" s="2">
        <f t="shared" si="122"/>
        <v>-173</v>
      </c>
      <c r="L1290" s="12" t="s">
        <v>3714</v>
      </c>
    </row>
    <row r="1291" spans="4:12" x14ac:dyDescent="0.25">
      <c r="D1291" s="17" t="s">
        <v>1289</v>
      </c>
      <c r="E1291" s="2" t="str">
        <f t="shared" si="120"/>
        <v>TR808 Clap 2</v>
      </c>
      <c r="F1291" s="12">
        <v>1290</v>
      </c>
      <c r="J1291" s="17">
        <f t="shared" si="121"/>
        <v>1117</v>
      </c>
      <c r="K1291" s="2">
        <f t="shared" si="122"/>
        <v>-173</v>
      </c>
      <c r="L1291" s="12" t="s">
        <v>3714</v>
      </c>
    </row>
    <row r="1292" spans="4:12" x14ac:dyDescent="0.25">
      <c r="D1292" s="17" t="s">
        <v>1290</v>
      </c>
      <c r="E1292" s="2" t="str">
        <f t="shared" si="120"/>
        <v>TR707 Clap</v>
      </c>
      <c r="F1292" s="12">
        <v>1291</v>
      </c>
      <c r="J1292" s="17">
        <f t="shared" si="121"/>
        <v>1118</v>
      </c>
      <c r="K1292" s="2">
        <f t="shared" si="122"/>
        <v>-173</v>
      </c>
      <c r="L1292" s="12" t="s">
        <v>3714</v>
      </c>
    </row>
    <row r="1293" spans="4:12" x14ac:dyDescent="0.25">
      <c r="D1293" s="17" t="s">
        <v>1291</v>
      </c>
      <c r="E1293" s="2" t="str">
        <f t="shared" si="120"/>
        <v>Cheap Clap</v>
      </c>
      <c r="F1293" s="12">
        <v>1292</v>
      </c>
      <c r="J1293" s="17">
        <f t="shared" si="121"/>
        <v>1119</v>
      </c>
      <c r="K1293" s="2">
        <f t="shared" si="122"/>
        <v>-173</v>
      </c>
      <c r="L1293" s="12" t="s">
        <v>3714</v>
      </c>
    </row>
    <row r="1294" spans="4:12" x14ac:dyDescent="0.25">
      <c r="D1294" s="17" t="s">
        <v>1292</v>
      </c>
      <c r="E1294" s="2" t="str">
        <f t="shared" si="120"/>
        <v>Mix Clap 1 L</v>
      </c>
      <c r="F1294" s="12">
        <v>1293</v>
      </c>
      <c r="J1294" s="17">
        <f t="shared" si="121"/>
        <v>0</v>
      </c>
      <c r="K1294" s="2">
        <f t="shared" si="122"/>
        <v>0</v>
      </c>
      <c r="L1294" s="12" t="s">
        <v>3714</v>
      </c>
    </row>
    <row r="1295" spans="4:12" x14ac:dyDescent="0.25">
      <c r="D1295" s="17" t="s">
        <v>1293</v>
      </c>
      <c r="E1295" s="2" t="str">
        <f t="shared" si="120"/>
        <v>Mix Clap 1 R</v>
      </c>
      <c r="F1295" s="12">
        <v>1294</v>
      </c>
      <c r="J1295" s="17">
        <f t="shared" si="121"/>
        <v>0</v>
      </c>
      <c r="K1295" s="2">
        <f t="shared" si="122"/>
        <v>0</v>
      </c>
      <c r="L1295" s="12" t="s">
        <v>3714</v>
      </c>
    </row>
    <row r="1296" spans="4:12" x14ac:dyDescent="0.25">
      <c r="D1296" s="17" t="s">
        <v>1294</v>
      </c>
      <c r="E1296" s="2" t="str">
        <f t="shared" si="120"/>
        <v>Mix Clap 2 L</v>
      </c>
      <c r="F1296" s="12">
        <v>1295</v>
      </c>
      <c r="J1296" s="17">
        <f t="shared" si="121"/>
        <v>0</v>
      </c>
      <c r="K1296" s="2">
        <f t="shared" si="122"/>
        <v>0</v>
      </c>
      <c r="L1296" s="12" t="s">
        <v>3714</v>
      </c>
    </row>
    <row r="1297" spans="4:12" x14ac:dyDescent="0.25">
      <c r="D1297" s="17" t="s">
        <v>1295</v>
      </c>
      <c r="E1297" s="2" t="str">
        <f t="shared" si="120"/>
        <v>Mix Clap 2 R</v>
      </c>
      <c r="F1297" s="12">
        <v>1296</v>
      </c>
      <c r="J1297" s="17">
        <f t="shared" si="121"/>
        <v>0</v>
      </c>
      <c r="K1297" s="2">
        <f t="shared" si="122"/>
        <v>0</v>
      </c>
      <c r="L1297" s="12" t="s">
        <v>3714</v>
      </c>
    </row>
    <row r="1298" spans="4:12" x14ac:dyDescent="0.25">
      <c r="D1298" s="17" t="s">
        <v>1296</v>
      </c>
      <c r="E1298" s="2" t="str">
        <f t="shared" si="120"/>
        <v>Mix Clap 3</v>
      </c>
      <c r="F1298" s="12">
        <v>1297</v>
      </c>
      <c r="J1298" s="17">
        <f t="shared" si="121"/>
        <v>0</v>
      </c>
      <c r="K1298" s="2">
        <f t="shared" si="122"/>
        <v>0</v>
      </c>
      <c r="L1298" s="12" t="s">
        <v>3714</v>
      </c>
    </row>
    <row r="1299" spans="4:12" x14ac:dyDescent="0.25">
      <c r="D1299" s="17" t="s">
        <v>1297</v>
      </c>
      <c r="E1299" s="2" t="str">
        <f t="shared" si="120"/>
        <v>Mix Clap 4</v>
      </c>
      <c r="F1299" s="12">
        <v>1298</v>
      </c>
      <c r="J1299" s="17">
        <f t="shared" si="121"/>
        <v>0</v>
      </c>
      <c r="K1299" s="2">
        <f t="shared" si="122"/>
        <v>0</v>
      </c>
      <c r="L1299" s="12" t="s">
        <v>3714</v>
      </c>
    </row>
    <row r="1300" spans="4:12" x14ac:dyDescent="0.25">
      <c r="D1300" s="17" t="s">
        <v>1298</v>
      </c>
      <c r="E1300" s="2" t="str">
        <f t="shared" si="120"/>
        <v>Finger Snap</v>
      </c>
      <c r="F1300" s="12">
        <v>1299</v>
      </c>
      <c r="J1300" s="17">
        <f t="shared" si="121"/>
        <v>1120</v>
      </c>
      <c r="K1300" s="2">
        <f t="shared" si="122"/>
        <v>-179</v>
      </c>
      <c r="L1300" s="12" t="s">
        <v>3714</v>
      </c>
    </row>
    <row r="1301" spans="4:12" x14ac:dyDescent="0.25">
      <c r="D1301" s="17" t="s">
        <v>1299</v>
      </c>
      <c r="E1301" s="2" t="str">
        <f t="shared" si="120"/>
        <v>Club FinSnap</v>
      </c>
      <c r="F1301" s="12">
        <v>1300</v>
      </c>
      <c r="J1301" s="17">
        <f t="shared" si="121"/>
        <v>1121</v>
      </c>
      <c r="K1301" s="2">
        <f t="shared" si="122"/>
        <v>-179</v>
      </c>
      <c r="L1301" s="12" t="s">
        <v>3714</v>
      </c>
    </row>
    <row r="1302" spans="4:12" x14ac:dyDescent="0.25">
      <c r="D1302" s="17" t="s">
        <v>1300</v>
      </c>
      <c r="E1302" s="2" t="str">
        <f t="shared" si="120"/>
        <v>Snap</v>
      </c>
      <c r="F1302" s="12">
        <v>1301</v>
      </c>
      <c r="J1302" s="17">
        <f t="shared" si="121"/>
        <v>1123</v>
      </c>
      <c r="K1302" s="2">
        <f t="shared" si="122"/>
        <v>-178</v>
      </c>
      <c r="L1302" s="12" t="s">
        <v>3714</v>
      </c>
    </row>
    <row r="1303" spans="4:12" x14ac:dyDescent="0.25">
      <c r="D1303" s="17" t="s">
        <v>1301</v>
      </c>
      <c r="E1303" s="2" t="str">
        <f t="shared" si="120"/>
        <v>Group Snap</v>
      </c>
      <c r="F1303" s="12">
        <v>1302</v>
      </c>
      <c r="J1303" s="17">
        <f t="shared" si="121"/>
        <v>1124</v>
      </c>
      <c r="K1303" s="2">
        <f t="shared" si="122"/>
        <v>-178</v>
      </c>
      <c r="L1303" s="12" t="s">
        <v>3714</v>
      </c>
    </row>
    <row r="1304" spans="4:12" x14ac:dyDescent="0.25">
      <c r="D1304" s="17" t="s">
        <v>1302</v>
      </c>
      <c r="E1304" s="2" t="str">
        <f t="shared" si="120"/>
        <v>Cowbell</v>
      </c>
      <c r="F1304" s="12">
        <v>1303</v>
      </c>
      <c r="J1304" s="17">
        <f t="shared" si="121"/>
        <v>1136</v>
      </c>
      <c r="K1304" s="2">
        <f t="shared" si="122"/>
        <v>-167</v>
      </c>
      <c r="L1304" s="12" t="s">
        <v>3714</v>
      </c>
    </row>
    <row r="1305" spans="4:12" x14ac:dyDescent="0.25">
      <c r="D1305" s="17" t="s">
        <v>1303</v>
      </c>
      <c r="E1305" s="2" t="str">
        <f t="shared" si="120"/>
        <v>Cowbell Mute</v>
      </c>
      <c r="F1305" s="12">
        <v>1304</v>
      </c>
      <c r="J1305" s="17">
        <f t="shared" si="121"/>
        <v>1137</v>
      </c>
      <c r="K1305" s="2">
        <f t="shared" si="122"/>
        <v>-167</v>
      </c>
      <c r="L1305" s="12" t="s">
        <v>3714</v>
      </c>
    </row>
    <row r="1306" spans="4:12" x14ac:dyDescent="0.25">
      <c r="D1306" s="17" t="s">
        <v>1304</v>
      </c>
      <c r="E1306" s="2" t="str">
        <f t="shared" si="120"/>
        <v>Cowbell2 Lng</v>
      </c>
      <c r="F1306" s="12">
        <v>1305</v>
      </c>
      <c r="J1306" s="17">
        <f t="shared" si="121"/>
        <v>0</v>
      </c>
      <c r="K1306" s="2">
        <f t="shared" si="122"/>
        <v>0</v>
      </c>
      <c r="L1306" s="12" t="s">
        <v>3714</v>
      </c>
    </row>
    <row r="1307" spans="4:12" x14ac:dyDescent="0.25">
      <c r="D1307" s="17" t="s">
        <v>1305</v>
      </c>
      <c r="E1307" s="2" t="str">
        <f t="shared" si="120"/>
        <v>Cowbell2 Edg</v>
      </c>
      <c r="F1307" s="12">
        <v>1306</v>
      </c>
      <c r="J1307" s="17">
        <f t="shared" si="121"/>
        <v>0</v>
      </c>
      <c r="K1307" s="2">
        <f t="shared" si="122"/>
        <v>0</v>
      </c>
      <c r="L1307" s="12" t="s">
        <v>3714</v>
      </c>
    </row>
    <row r="1308" spans="4:12" x14ac:dyDescent="0.25">
      <c r="D1308" s="17" t="s">
        <v>1306</v>
      </c>
      <c r="E1308" s="2" t="str">
        <f t="shared" si="120"/>
        <v>Cowbell3 mf</v>
      </c>
      <c r="F1308" s="12">
        <v>1307</v>
      </c>
      <c r="J1308" s="17">
        <f t="shared" si="121"/>
        <v>0</v>
      </c>
      <c r="K1308" s="2">
        <f t="shared" si="122"/>
        <v>0</v>
      </c>
      <c r="L1308" s="12" t="s">
        <v>3714</v>
      </c>
    </row>
    <row r="1309" spans="4:12" x14ac:dyDescent="0.25">
      <c r="D1309" s="17" t="s">
        <v>1307</v>
      </c>
      <c r="E1309" s="2" t="str">
        <f t="shared" si="120"/>
        <v>Cowbell3 f</v>
      </c>
      <c r="F1309" s="12">
        <v>1308</v>
      </c>
      <c r="J1309" s="17">
        <f t="shared" si="121"/>
        <v>0</v>
      </c>
      <c r="K1309" s="2">
        <f t="shared" si="122"/>
        <v>0</v>
      </c>
      <c r="L1309" s="12" t="s">
        <v>3714</v>
      </c>
    </row>
    <row r="1310" spans="4:12" x14ac:dyDescent="0.25">
      <c r="D1310" s="17" t="s">
        <v>1308</v>
      </c>
      <c r="E1310" s="2" t="str">
        <f t="shared" si="120"/>
        <v>TR808Cowbell</v>
      </c>
      <c r="F1310" s="12">
        <v>1309</v>
      </c>
      <c r="J1310" s="17">
        <f t="shared" si="121"/>
        <v>0</v>
      </c>
      <c r="K1310" s="2">
        <f t="shared" si="122"/>
        <v>0</v>
      </c>
      <c r="L1310" s="12" t="s">
        <v>3714</v>
      </c>
    </row>
    <row r="1311" spans="4:12" x14ac:dyDescent="0.25">
      <c r="D1311" s="17" t="s">
        <v>1309</v>
      </c>
      <c r="E1311" s="2" t="str">
        <f t="shared" si="120"/>
        <v>Wood Block</v>
      </c>
      <c r="F1311" s="12">
        <v>1310</v>
      </c>
      <c r="J1311" s="17">
        <f t="shared" si="121"/>
        <v>1138</v>
      </c>
      <c r="K1311" s="2">
        <f t="shared" si="122"/>
        <v>-172</v>
      </c>
      <c r="L1311" s="12" t="s">
        <v>3714</v>
      </c>
    </row>
    <row r="1312" spans="4:12" x14ac:dyDescent="0.25">
      <c r="D1312" s="17" t="s">
        <v>1310</v>
      </c>
      <c r="E1312" s="2" t="str">
        <f t="shared" si="120"/>
        <v>Wood Block2H</v>
      </c>
      <c r="F1312" s="12">
        <v>1311</v>
      </c>
      <c r="J1312" s="17">
        <f t="shared" si="121"/>
        <v>0</v>
      </c>
      <c r="K1312" s="2">
        <f t="shared" si="122"/>
        <v>0</v>
      </c>
      <c r="L1312" s="12" t="s">
        <v>3714</v>
      </c>
    </row>
    <row r="1313" spans="4:12" x14ac:dyDescent="0.25">
      <c r="D1313" s="17" t="s">
        <v>1311</v>
      </c>
      <c r="E1313" s="2" t="str">
        <f t="shared" si="120"/>
        <v>Wood Block2L</v>
      </c>
      <c r="F1313" s="12">
        <v>1312</v>
      </c>
      <c r="J1313" s="17">
        <f t="shared" si="121"/>
        <v>0</v>
      </c>
      <c r="K1313" s="2">
        <f t="shared" si="122"/>
        <v>0</v>
      </c>
      <c r="L1313" s="12" t="s">
        <v>3714</v>
      </c>
    </row>
    <row r="1314" spans="4:12" x14ac:dyDescent="0.25">
      <c r="D1314" s="17" t="s">
        <v>1312</v>
      </c>
      <c r="E1314" s="2" t="str">
        <f t="shared" si="120"/>
        <v>Claves</v>
      </c>
      <c r="F1314" s="12">
        <v>1313</v>
      </c>
      <c r="J1314" s="17">
        <f t="shared" si="121"/>
        <v>1139</v>
      </c>
      <c r="K1314" s="2">
        <f t="shared" si="122"/>
        <v>-174</v>
      </c>
      <c r="L1314" s="12" t="s">
        <v>3714</v>
      </c>
    </row>
    <row r="1315" spans="4:12" x14ac:dyDescent="0.25">
      <c r="D1315" s="17" t="s">
        <v>1313</v>
      </c>
      <c r="E1315" s="2" t="str">
        <f t="shared" si="120"/>
        <v>Claves 2</v>
      </c>
      <c r="F1315" s="12">
        <v>1314</v>
      </c>
      <c r="J1315" s="17">
        <f t="shared" si="121"/>
        <v>0</v>
      </c>
      <c r="K1315" s="2">
        <f t="shared" si="122"/>
        <v>0</v>
      </c>
      <c r="L1315" s="12" t="s">
        <v>3714</v>
      </c>
    </row>
    <row r="1316" spans="4:12" x14ac:dyDescent="0.25">
      <c r="D1316" s="17" t="s">
        <v>1314</v>
      </c>
      <c r="E1316" s="2" t="str">
        <f t="shared" si="120"/>
        <v>TR808 Claves</v>
      </c>
      <c r="F1316" s="12">
        <v>1315</v>
      </c>
      <c r="J1316" s="17">
        <f t="shared" si="121"/>
        <v>1140</v>
      </c>
      <c r="K1316" s="2">
        <f t="shared" si="122"/>
        <v>-175</v>
      </c>
      <c r="L1316" s="12" t="s">
        <v>3714</v>
      </c>
    </row>
    <row r="1317" spans="4:12" x14ac:dyDescent="0.25">
      <c r="D1317" s="17" t="s">
        <v>1315</v>
      </c>
      <c r="E1317" s="2" t="str">
        <f t="shared" si="120"/>
        <v>CR78 Beat</v>
      </c>
      <c r="F1317" s="12">
        <v>1316</v>
      </c>
      <c r="J1317" s="17">
        <f t="shared" si="121"/>
        <v>1141</v>
      </c>
      <c r="K1317" s="2">
        <f t="shared" si="122"/>
        <v>-175</v>
      </c>
      <c r="L1317" s="12" t="s">
        <v>3714</v>
      </c>
    </row>
    <row r="1318" spans="4:12" x14ac:dyDescent="0.25">
      <c r="D1318" s="17" t="s">
        <v>1316</v>
      </c>
      <c r="E1318" s="2" t="str">
        <f t="shared" si="120"/>
        <v>Castanet</v>
      </c>
      <c r="F1318" s="12">
        <v>1317</v>
      </c>
      <c r="J1318" s="17">
        <f t="shared" si="121"/>
        <v>1142</v>
      </c>
      <c r="K1318" s="2">
        <f t="shared" si="122"/>
        <v>-175</v>
      </c>
      <c r="L1318" s="12" t="s">
        <v>3714</v>
      </c>
    </row>
    <row r="1319" spans="4:12" x14ac:dyDescent="0.25">
      <c r="D1319" s="17" t="s">
        <v>1317</v>
      </c>
      <c r="E1319" s="2" t="str">
        <f t="shared" si="120"/>
        <v>Whistle</v>
      </c>
      <c r="F1319" s="12">
        <v>1318</v>
      </c>
      <c r="J1319" s="17">
        <f t="shared" si="121"/>
        <v>1143</v>
      </c>
      <c r="K1319" s="2">
        <f t="shared" si="122"/>
        <v>-175</v>
      </c>
      <c r="L1319" s="12" t="s">
        <v>3714</v>
      </c>
    </row>
    <row r="1320" spans="4:12" x14ac:dyDescent="0.25">
      <c r="D1320" s="17" t="s">
        <v>1318</v>
      </c>
      <c r="E1320" s="2" t="str">
        <f t="shared" si="120"/>
        <v>Whistle Long</v>
      </c>
      <c r="F1320" s="12">
        <v>1319</v>
      </c>
      <c r="J1320" s="17">
        <f t="shared" si="121"/>
        <v>0</v>
      </c>
      <c r="K1320" s="2">
        <f t="shared" si="122"/>
        <v>0</v>
      </c>
      <c r="L1320" s="12" t="s">
        <v>3714</v>
      </c>
    </row>
    <row r="1321" spans="4:12" x14ac:dyDescent="0.25">
      <c r="D1321" s="17" t="s">
        <v>1319</v>
      </c>
      <c r="E1321" s="2" t="str">
        <f t="shared" si="120"/>
        <v>Whistle Shrt</v>
      </c>
      <c r="F1321" s="12">
        <v>1320</v>
      </c>
      <c r="J1321" s="17">
        <f t="shared" si="121"/>
        <v>0</v>
      </c>
      <c r="K1321" s="2">
        <f t="shared" si="122"/>
        <v>0</v>
      </c>
      <c r="L1321" s="12" t="s">
        <v>3714</v>
      </c>
    </row>
    <row r="1322" spans="4:12" x14ac:dyDescent="0.25">
      <c r="D1322" s="17" t="s">
        <v>1320</v>
      </c>
      <c r="E1322" s="2" t="str">
        <f t="shared" si="120"/>
        <v>Bongo Hi Mt</v>
      </c>
      <c r="F1322" s="12">
        <v>1321</v>
      </c>
      <c r="J1322" s="17">
        <f t="shared" si="121"/>
        <v>1144</v>
      </c>
      <c r="K1322" s="2">
        <f t="shared" si="122"/>
        <v>-177</v>
      </c>
      <c r="L1322" s="12" t="s">
        <v>3714</v>
      </c>
    </row>
    <row r="1323" spans="4:12" x14ac:dyDescent="0.25">
      <c r="D1323" s="17" t="s">
        <v>1321</v>
      </c>
      <c r="E1323" s="2" t="str">
        <f t="shared" si="120"/>
        <v>Bongo Hi Slp</v>
      </c>
      <c r="F1323" s="12">
        <v>1322</v>
      </c>
      <c r="J1323" s="17">
        <f t="shared" si="121"/>
        <v>1145</v>
      </c>
      <c r="K1323" s="2">
        <f t="shared" si="122"/>
        <v>-177</v>
      </c>
      <c r="L1323" s="12" t="s">
        <v>3714</v>
      </c>
    </row>
    <row r="1324" spans="4:12" x14ac:dyDescent="0.25">
      <c r="D1324" s="17" t="s">
        <v>1322</v>
      </c>
      <c r="E1324" s="2" t="str">
        <f t="shared" si="120"/>
        <v>Bongo Hi Op</v>
      </c>
      <c r="F1324" s="12">
        <v>1323</v>
      </c>
      <c r="J1324" s="17">
        <f t="shared" si="121"/>
        <v>1147</v>
      </c>
      <c r="K1324" s="2">
        <f t="shared" si="122"/>
        <v>-176</v>
      </c>
      <c r="L1324" s="12" t="s">
        <v>3714</v>
      </c>
    </row>
    <row r="1325" spans="4:12" x14ac:dyDescent="0.25">
      <c r="D1325" s="17" t="s">
        <v>1323</v>
      </c>
      <c r="E1325" s="2" t="str">
        <f t="shared" si="120"/>
        <v>Bongo Lo Op</v>
      </c>
      <c r="F1325" s="12">
        <v>1324</v>
      </c>
      <c r="J1325" s="17">
        <f t="shared" si="121"/>
        <v>1148</v>
      </c>
      <c r="K1325" s="2">
        <f t="shared" si="122"/>
        <v>-176</v>
      </c>
      <c r="L1325" s="12" t="s">
        <v>3714</v>
      </c>
    </row>
    <row r="1326" spans="4:12" x14ac:dyDescent="0.25">
      <c r="D1326" s="17" t="s">
        <v>1324</v>
      </c>
      <c r="E1326" s="2" t="str">
        <f t="shared" si="120"/>
        <v>Bongo Lo Slp</v>
      </c>
      <c r="F1326" s="12">
        <v>1325</v>
      </c>
      <c r="J1326" s="17">
        <f t="shared" si="121"/>
        <v>1146</v>
      </c>
      <c r="K1326" s="2">
        <f t="shared" si="122"/>
        <v>-179</v>
      </c>
      <c r="L1326" s="12" t="s">
        <v>3714</v>
      </c>
    </row>
    <row r="1327" spans="4:12" x14ac:dyDescent="0.25">
      <c r="D1327" s="17" t="s">
        <v>1325</v>
      </c>
      <c r="E1327" s="2" t="str">
        <f t="shared" si="120"/>
        <v>Conga Hi Mt</v>
      </c>
      <c r="F1327" s="12">
        <v>1326</v>
      </c>
      <c r="J1327" s="17">
        <f t="shared" si="121"/>
        <v>1149</v>
      </c>
      <c r="K1327" s="2">
        <f t="shared" si="122"/>
        <v>-177</v>
      </c>
      <c r="L1327" s="12" t="s">
        <v>3714</v>
      </c>
    </row>
    <row r="1328" spans="4:12" x14ac:dyDescent="0.25">
      <c r="D1328" s="17" t="s">
        <v>1326</v>
      </c>
      <c r="E1328" s="2" t="str">
        <f t="shared" si="120"/>
        <v>Conga Lo Mt</v>
      </c>
      <c r="F1328" s="12">
        <v>1327</v>
      </c>
      <c r="J1328" s="17">
        <f t="shared" si="121"/>
        <v>1150</v>
      </c>
      <c r="K1328" s="2">
        <f t="shared" si="122"/>
        <v>-177</v>
      </c>
      <c r="L1328" s="12" t="s">
        <v>3714</v>
      </c>
    </row>
    <row r="1329" spans="4:12" x14ac:dyDescent="0.25">
      <c r="D1329" s="17" t="s">
        <v>1327</v>
      </c>
      <c r="E1329" s="2" t="str">
        <f t="shared" si="120"/>
        <v>Conga Hi Slp</v>
      </c>
      <c r="F1329" s="12">
        <v>1328</v>
      </c>
      <c r="J1329" s="17">
        <f t="shared" si="121"/>
        <v>1151</v>
      </c>
      <c r="K1329" s="2">
        <f t="shared" si="122"/>
        <v>-177</v>
      </c>
      <c r="L1329" s="12" t="s">
        <v>3714</v>
      </c>
    </row>
    <row r="1330" spans="4:12" x14ac:dyDescent="0.25">
      <c r="D1330" s="17" t="s">
        <v>1328</v>
      </c>
      <c r="E1330" s="2" t="str">
        <f t="shared" si="120"/>
        <v>Conga Lo Slp</v>
      </c>
      <c r="F1330" s="12">
        <v>1329</v>
      </c>
      <c r="J1330" s="17">
        <f t="shared" si="121"/>
        <v>1152</v>
      </c>
      <c r="K1330" s="2">
        <f t="shared" si="122"/>
        <v>-177</v>
      </c>
      <c r="L1330" s="12" t="s">
        <v>3714</v>
      </c>
    </row>
    <row r="1331" spans="4:12" x14ac:dyDescent="0.25">
      <c r="D1331" s="17" t="s">
        <v>1329</v>
      </c>
      <c r="E1331" s="2" t="str">
        <f t="shared" si="120"/>
        <v>Conga Hi Op</v>
      </c>
      <c r="F1331" s="12">
        <v>1330</v>
      </c>
      <c r="J1331" s="17">
        <f t="shared" si="121"/>
        <v>1153</v>
      </c>
      <c r="K1331" s="2">
        <f t="shared" si="122"/>
        <v>-177</v>
      </c>
      <c r="L1331" s="12" t="s">
        <v>3714</v>
      </c>
    </row>
    <row r="1332" spans="4:12" x14ac:dyDescent="0.25">
      <c r="D1332" s="17" t="s">
        <v>1330</v>
      </c>
      <c r="E1332" s="2" t="str">
        <f t="shared" si="120"/>
        <v>Conga Lo Op</v>
      </c>
      <c r="F1332" s="12">
        <v>1331</v>
      </c>
      <c r="J1332" s="17">
        <f t="shared" si="121"/>
        <v>1154</v>
      </c>
      <c r="K1332" s="2">
        <f t="shared" si="122"/>
        <v>-177</v>
      </c>
      <c r="L1332" s="12" t="s">
        <v>3714</v>
      </c>
    </row>
    <row r="1333" spans="4:12" x14ac:dyDescent="0.25">
      <c r="D1333" s="17" t="s">
        <v>1331</v>
      </c>
      <c r="E1333" s="2" t="str">
        <f t="shared" si="120"/>
        <v>Conga Slp Op</v>
      </c>
      <c r="F1333" s="12">
        <v>1332</v>
      </c>
      <c r="J1333" s="17">
        <f t="shared" si="121"/>
        <v>1155</v>
      </c>
      <c r="K1333" s="2">
        <f t="shared" si="122"/>
        <v>-177</v>
      </c>
      <c r="L1333" s="12" t="s">
        <v>3714</v>
      </c>
    </row>
    <row r="1334" spans="4:12" x14ac:dyDescent="0.25">
      <c r="D1334" s="17" t="s">
        <v>1332</v>
      </c>
      <c r="E1334" s="2" t="str">
        <f t="shared" si="120"/>
        <v>Conga Efx</v>
      </c>
      <c r="F1334" s="12">
        <v>1333</v>
      </c>
      <c r="J1334" s="17">
        <f t="shared" si="121"/>
        <v>1156</v>
      </c>
      <c r="K1334" s="2">
        <f t="shared" si="122"/>
        <v>-177</v>
      </c>
      <c r="L1334" s="12" t="s">
        <v>3714</v>
      </c>
    </row>
    <row r="1335" spans="4:12" x14ac:dyDescent="0.25">
      <c r="D1335" s="17" t="s">
        <v>1333</v>
      </c>
      <c r="E1335" s="2" t="str">
        <f t="shared" si="120"/>
        <v>Conga Thumb</v>
      </c>
      <c r="F1335" s="12">
        <v>1334</v>
      </c>
      <c r="J1335" s="17">
        <f t="shared" si="121"/>
        <v>1157</v>
      </c>
      <c r="K1335" s="2">
        <f t="shared" si="122"/>
        <v>-177</v>
      </c>
      <c r="L1335" s="12" t="s">
        <v>3714</v>
      </c>
    </row>
    <row r="1336" spans="4:12" x14ac:dyDescent="0.25">
      <c r="D1336" s="17" t="s">
        <v>1334</v>
      </c>
      <c r="E1336" s="2" t="str">
        <f t="shared" si="120"/>
        <v>Conga 2H Op</v>
      </c>
      <c r="F1336" s="12">
        <v>1335</v>
      </c>
      <c r="J1336" s="17">
        <f t="shared" si="121"/>
        <v>0</v>
      </c>
      <c r="K1336" s="2">
        <f t="shared" si="122"/>
        <v>0</v>
      </c>
      <c r="L1336" s="12" t="s">
        <v>3714</v>
      </c>
    </row>
    <row r="1337" spans="4:12" x14ac:dyDescent="0.25">
      <c r="D1337" s="17" t="s">
        <v>1335</v>
      </c>
      <c r="E1337" s="2" t="str">
        <f t="shared" si="120"/>
        <v>Conga 2H Mt</v>
      </c>
      <c r="F1337" s="12">
        <v>1336</v>
      </c>
      <c r="J1337" s="17">
        <f t="shared" si="121"/>
        <v>0</v>
      </c>
      <c r="K1337" s="2">
        <f t="shared" si="122"/>
        <v>0</v>
      </c>
      <c r="L1337" s="12" t="s">
        <v>3714</v>
      </c>
    </row>
    <row r="1338" spans="4:12" x14ac:dyDescent="0.25">
      <c r="D1338" s="17" t="s">
        <v>1336</v>
      </c>
      <c r="E1338" s="2" t="str">
        <f t="shared" si="120"/>
        <v>Conga 2H Slp</v>
      </c>
      <c r="F1338" s="12">
        <v>1337</v>
      </c>
      <c r="J1338" s="17">
        <f t="shared" si="121"/>
        <v>0</v>
      </c>
      <c r="K1338" s="2">
        <f t="shared" si="122"/>
        <v>0</v>
      </c>
      <c r="L1338" s="12" t="s">
        <v>3714</v>
      </c>
    </row>
    <row r="1339" spans="4:12" x14ac:dyDescent="0.25">
      <c r="D1339" s="17" t="s">
        <v>1337</v>
      </c>
      <c r="E1339" s="2" t="str">
        <f t="shared" si="120"/>
        <v>Conga 2L Op</v>
      </c>
      <c r="F1339" s="12">
        <v>1338</v>
      </c>
      <c r="J1339" s="17">
        <f t="shared" si="121"/>
        <v>0</v>
      </c>
      <c r="K1339" s="2">
        <f t="shared" si="122"/>
        <v>0</v>
      </c>
      <c r="L1339" s="12" t="s">
        <v>3714</v>
      </c>
    </row>
    <row r="1340" spans="4:12" x14ac:dyDescent="0.25">
      <c r="D1340" s="17" t="s">
        <v>1338</v>
      </c>
      <c r="E1340" s="2" t="str">
        <f t="shared" si="120"/>
        <v>Conga 2L Mt</v>
      </c>
      <c r="F1340" s="12">
        <v>1339</v>
      </c>
      <c r="J1340" s="17">
        <f t="shared" si="121"/>
        <v>0</v>
      </c>
      <c r="K1340" s="2">
        <f t="shared" si="122"/>
        <v>0</v>
      </c>
      <c r="L1340" s="12" t="s">
        <v>3714</v>
      </c>
    </row>
    <row r="1341" spans="4:12" x14ac:dyDescent="0.25">
      <c r="D1341" s="17" t="s">
        <v>1339</v>
      </c>
      <c r="E1341" s="2" t="str">
        <f t="shared" si="120"/>
        <v>TR808 Conga1</v>
      </c>
      <c r="F1341" s="12">
        <v>1340</v>
      </c>
      <c r="J1341" s="17">
        <f t="shared" si="121"/>
        <v>0</v>
      </c>
      <c r="K1341" s="2">
        <f t="shared" si="122"/>
        <v>0</v>
      </c>
      <c r="L1341" s="12" t="s">
        <v>3714</v>
      </c>
    </row>
    <row r="1342" spans="4:12" x14ac:dyDescent="0.25">
      <c r="D1342" s="17" t="s">
        <v>1340</v>
      </c>
      <c r="E1342" s="2" t="str">
        <f t="shared" si="120"/>
        <v>TR808 Conga2</v>
      </c>
      <c r="F1342" s="12">
        <v>1341</v>
      </c>
      <c r="J1342" s="17">
        <f t="shared" si="121"/>
        <v>0</v>
      </c>
      <c r="K1342" s="2">
        <f t="shared" si="122"/>
        <v>0</v>
      </c>
      <c r="L1342" s="12" t="s">
        <v>3714</v>
      </c>
    </row>
    <row r="1343" spans="4:12" x14ac:dyDescent="0.25">
      <c r="D1343" s="17" t="s">
        <v>1341</v>
      </c>
      <c r="E1343" s="2" t="str">
        <f t="shared" si="120"/>
        <v>Timbale 1</v>
      </c>
      <c r="F1343" s="12">
        <v>1342</v>
      </c>
      <c r="J1343" s="17">
        <f t="shared" si="121"/>
        <v>1158</v>
      </c>
      <c r="K1343" s="2">
        <f t="shared" si="122"/>
        <v>-184</v>
      </c>
      <c r="L1343" s="12" t="s">
        <v>3714</v>
      </c>
    </row>
    <row r="1344" spans="4:12" x14ac:dyDescent="0.25">
      <c r="D1344" s="17" t="s">
        <v>1342</v>
      </c>
      <c r="E1344" s="2" t="str">
        <f t="shared" si="120"/>
        <v>Timbale 2</v>
      </c>
      <c r="F1344" s="12">
        <v>1343</v>
      </c>
      <c r="J1344" s="17">
        <f t="shared" si="121"/>
        <v>1159</v>
      </c>
      <c r="K1344" s="2">
        <f t="shared" si="122"/>
        <v>-184</v>
      </c>
      <c r="L1344" s="12" t="s">
        <v>3714</v>
      </c>
    </row>
    <row r="1345" spans="4:12" x14ac:dyDescent="0.25">
      <c r="D1345" s="17" t="s">
        <v>1343</v>
      </c>
      <c r="E1345" s="2" t="str">
        <f t="shared" si="120"/>
        <v>Timbare 3</v>
      </c>
      <c r="F1345" s="12">
        <v>1344</v>
      </c>
      <c r="J1345" s="17">
        <f t="shared" si="121"/>
        <v>0</v>
      </c>
      <c r="K1345" s="2">
        <f t="shared" si="122"/>
        <v>0</v>
      </c>
      <c r="L1345" s="12" t="s">
        <v>3714</v>
      </c>
    </row>
    <row r="1346" spans="4:12" x14ac:dyDescent="0.25">
      <c r="D1346" s="17" t="s">
        <v>1344</v>
      </c>
      <c r="E1346" s="2" t="str">
        <f t="shared" ref="E1346:E1402" si="123">_xlfn.TEXTAFTER(D1346," ",1)</f>
        <v>Timbare 4</v>
      </c>
      <c r="F1346" s="12">
        <v>1345</v>
      </c>
      <c r="J1346" s="17">
        <f t="shared" si="121"/>
        <v>0</v>
      </c>
      <c r="K1346" s="2">
        <f t="shared" si="122"/>
        <v>0</v>
      </c>
      <c r="L1346" s="12" t="s">
        <v>3714</v>
      </c>
    </row>
    <row r="1347" spans="4:12" x14ac:dyDescent="0.25">
      <c r="D1347" s="17" t="s">
        <v>1345</v>
      </c>
      <c r="E1347" s="2" t="str">
        <f t="shared" si="123"/>
        <v>Cabasa Up</v>
      </c>
      <c r="F1347" s="12">
        <v>1346</v>
      </c>
      <c r="J1347" s="17">
        <f t="shared" ref="J1347:J1402" si="124">_xlfn.IFNA(_xlfn.XMATCH(E1347,B$2:B$1229,0,1),0)</f>
        <v>1160</v>
      </c>
      <c r="K1347" s="2">
        <f t="shared" ref="K1347:K1402" si="125">IF(J1347=0,0,J1347-F1347)</f>
        <v>-186</v>
      </c>
      <c r="L1347" s="12" t="s">
        <v>3714</v>
      </c>
    </row>
    <row r="1348" spans="4:12" x14ac:dyDescent="0.25">
      <c r="D1348" s="17" t="s">
        <v>1346</v>
      </c>
      <c r="E1348" s="2" t="str">
        <f t="shared" si="123"/>
        <v>Cabasa Down</v>
      </c>
      <c r="F1348" s="12">
        <v>1347</v>
      </c>
      <c r="J1348" s="17">
        <f t="shared" si="124"/>
        <v>1161</v>
      </c>
      <c r="K1348" s="2">
        <f t="shared" si="125"/>
        <v>-186</v>
      </c>
      <c r="L1348" s="12" t="s">
        <v>3714</v>
      </c>
    </row>
    <row r="1349" spans="4:12" x14ac:dyDescent="0.25">
      <c r="D1349" s="17" t="s">
        <v>1347</v>
      </c>
      <c r="E1349" s="2" t="str">
        <f t="shared" si="123"/>
        <v>Cabasa Cut</v>
      </c>
      <c r="F1349" s="12">
        <v>1348</v>
      </c>
      <c r="J1349" s="17">
        <f t="shared" si="124"/>
        <v>1162</v>
      </c>
      <c r="K1349" s="2">
        <f t="shared" si="125"/>
        <v>-186</v>
      </c>
      <c r="L1349" s="12" t="s">
        <v>3714</v>
      </c>
    </row>
    <row r="1350" spans="4:12" x14ac:dyDescent="0.25">
      <c r="D1350" s="17" t="s">
        <v>1348</v>
      </c>
      <c r="E1350" s="2" t="str">
        <f t="shared" si="123"/>
        <v>Cabasa 2</v>
      </c>
      <c r="F1350" s="12">
        <v>1349</v>
      </c>
      <c r="J1350" s="17">
        <f t="shared" si="124"/>
        <v>0</v>
      </c>
      <c r="K1350" s="2">
        <f t="shared" si="125"/>
        <v>0</v>
      </c>
      <c r="L1350" s="12" t="s">
        <v>3714</v>
      </c>
    </row>
    <row r="1351" spans="4:12" x14ac:dyDescent="0.25">
      <c r="D1351" s="17" t="s">
        <v>1349</v>
      </c>
      <c r="E1351" s="2" t="str">
        <f t="shared" si="123"/>
        <v>Cabasa 2 Cut</v>
      </c>
      <c r="F1351" s="12">
        <v>1350</v>
      </c>
      <c r="J1351" s="17">
        <f t="shared" si="124"/>
        <v>0</v>
      </c>
      <c r="K1351" s="2">
        <f t="shared" si="125"/>
        <v>0</v>
      </c>
      <c r="L1351" s="12" t="s">
        <v>3714</v>
      </c>
    </row>
    <row r="1352" spans="4:12" x14ac:dyDescent="0.25">
      <c r="D1352" s="17" t="s">
        <v>1350</v>
      </c>
      <c r="E1352" s="2" t="str">
        <f t="shared" si="123"/>
        <v>Maracas</v>
      </c>
      <c r="F1352" s="12">
        <v>1351</v>
      </c>
      <c r="J1352" s="17">
        <f t="shared" si="124"/>
        <v>1163</v>
      </c>
      <c r="K1352" s="2">
        <f t="shared" si="125"/>
        <v>-188</v>
      </c>
      <c r="L1352" s="12" t="s">
        <v>3714</v>
      </c>
    </row>
    <row r="1353" spans="4:12" x14ac:dyDescent="0.25">
      <c r="D1353" s="17" t="s">
        <v>1351</v>
      </c>
      <c r="E1353" s="2" t="str">
        <f t="shared" si="123"/>
        <v>808 Maracas</v>
      </c>
      <c r="F1353" s="12">
        <v>1352</v>
      </c>
      <c r="J1353" s="17">
        <f t="shared" si="124"/>
        <v>1164</v>
      </c>
      <c r="K1353" s="2">
        <f t="shared" si="125"/>
        <v>-188</v>
      </c>
      <c r="L1353" s="12" t="s">
        <v>3714</v>
      </c>
    </row>
    <row r="1354" spans="4:12" x14ac:dyDescent="0.25">
      <c r="D1354" s="17" t="s">
        <v>1352</v>
      </c>
      <c r="E1354" s="2" t="str">
        <f t="shared" si="123"/>
        <v>R8 Shaker</v>
      </c>
      <c r="F1354" s="12">
        <v>1353</v>
      </c>
      <c r="J1354" s="17">
        <f t="shared" si="124"/>
        <v>0</v>
      </c>
      <c r="K1354" s="2">
        <f t="shared" si="125"/>
        <v>0</v>
      </c>
      <c r="L1354" s="12" t="s">
        <v>3714</v>
      </c>
    </row>
    <row r="1355" spans="4:12" x14ac:dyDescent="0.25">
      <c r="D1355" s="17" t="s">
        <v>1353</v>
      </c>
      <c r="E1355" s="2" t="str">
        <f t="shared" si="123"/>
        <v>Shaker 1</v>
      </c>
      <c r="F1355" s="12">
        <v>1354</v>
      </c>
      <c r="J1355" s="17">
        <f t="shared" si="124"/>
        <v>1167</v>
      </c>
      <c r="K1355" s="2">
        <f t="shared" si="125"/>
        <v>-187</v>
      </c>
      <c r="L1355" s="12" t="s">
        <v>3714</v>
      </c>
    </row>
    <row r="1356" spans="4:12" x14ac:dyDescent="0.25">
      <c r="D1356" s="17" t="s">
        <v>1354</v>
      </c>
      <c r="E1356" s="2" t="str">
        <f t="shared" si="123"/>
        <v>Shaker 2</v>
      </c>
      <c r="F1356" s="12">
        <v>1355</v>
      </c>
      <c r="J1356" s="17">
        <f t="shared" si="124"/>
        <v>1168</v>
      </c>
      <c r="K1356" s="2">
        <f t="shared" si="125"/>
        <v>-187</v>
      </c>
      <c r="L1356" s="12" t="s">
        <v>3714</v>
      </c>
    </row>
    <row r="1357" spans="4:12" x14ac:dyDescent="0.25">
      <c r="D1357" s="17" t="s">
        <v>1355</v>
      </c>
      <c r="E1357" s="2" t="str">
        <f t="shared" si="123"/>
        <v>Shaker 3</v>
      </c>
      <c r="F1357" s="12">
        <v>1356</v>
      </c>
      <c r="J1357" s="17">
        <f t="shared" si="124"/>
        <v>0</v>
      </c>
      <c r="K1357" s="2">
        <f t="shared" si="125"/>
        <v>0</v>
      </c>
      <c r="L1357" s="12" t="s">
        <v>3714</v>
      </c>
    </row>
    <row r="1358" spans="4:12" x14ac:dyDescent="0.25">
      <c r="D1358" s="17" t="s">
        <v>1356</v>
      </c>
      <c r="E1358" s="2" t="str">
        <f t="shared" si="123"/>
        <v>Guiro 1</v>
      </c>
      <c r="F1358" s="12">
        <v>1357</v>
      </c>
      <c r="J1358" s="17">
        <f t="shared" si="124"/>
        <v>1171</v>
      </c>
      <c r="K1358" s="2">
        <f t="shared" si="125"/>
        <v>-186</v>
      </c>
      <c r="L1358" s="12" t="s">
        <v>3714</v>
      </c>
    </row>
    <row r="1359" spans="4:12" x14ac:dyDescent="0.25">
      <c r="D1359" s="17" t="s">
        <v>1357</v>
      </c>
      <c r="E1359" s="2" t="str">
        <f t="shared" si="123"/>
        <v>Guiro 2</v>
      </c>
      <c r="F1359" s="12">
        <v>1358</v>
      </c>
      <c r="J1359" s="17">
        <f t="shared" si="124"/>
        <v>1172</v>
      </c>
      <c r="K1359" s="2">
        <f t="shared" si="125"/>
        <v>-186</v>
      </c>
      <c r="L1359" s="12" t="s">
        <v>3714</v>
      </c>
    </row>
    <row r="1360" spans="4:12" x14ac:dyDescent="0.25">
      <c r="D1360" s="17" t="s">
        <v>1358</v>
      </c>
      <c r="E1360" s="2" t="str">
        <f t="shared" si="123"/>
        <v>Guiro Long</v>
      </c>
      <c r="F1360" s="12">
        <v>1359</v>
      </c>
      <c r="J1360" s="17">
        <f t="shared" si="124"/>
        <v>1173</v>
      </c>
      <c r="K1360" s="2">
        <f t="shared" si="125"/>
        <v>-186</v>
      </c>
      <c r="L1360" s="12" t="s">
        <v>3714</v>
      </c>
    </row>
    <row r="1361" spans="4:12" x14ac:dyDescent="0.25">
      <c r="D1361" s="17" t="s">
        <v>1359</v>
      </c>
      <c r="E1361" s="2" t="str">
        <f t="shared" si="123"/>
        <v>Guiro 2 Up</v>
      </c>
      <c r="F1361" s="12">
        <v>1360</v>
      </c>
      <c r="J1361" s="17">
        <f t="shared" si="124"/>
        <v>0</v>
      </c>
      <c r="K1361" s="2">
        <f t="shared" si="125"/>
        <v>0</v>
      </c>
      <c r="L1361" s="12" t="s">
        <v>3714</v>
      </c>
    </row>
    <row r="1362" spans="4:12" x14ac:dyDescent="0.25">
      <c r="D1362" s="17" t="s">
        <v>1360</v>
      </c>
      <c r="E1362" s="2" t="str">
        <f t="shared" si="123"/>
        <v>Guiro 2 Down</v>
      </c>
      <c r="F1362" s="12">
        <v>1361</v>
      </c>
      <c r="J1362" s="17">
        <f t="shared" si="124"/>
        <v>0</v>
      </c>
      <c r="K1362" s="2">
        <f t="shared" si="125"/>
        <v>0</v>
      </c>
      <c r="L1362" s="12" t="s">
        <v>3714</v>
      </c>
    </row>
    <row r="1363" spans="4:12" x14ac:dyDescent="0.25">
      <c r="D1363" s="17" t="s">
        <v>1361</v>
      </c>
      <c r="E1363" s="2" t="str">
        <f t="shared" si="123"/>
        <v>Guiro 2 Fast</v>
      </c>
      <c r="F1363" s="12">
        <v>1362</v>
      </c>
      <c r="J1363" s="17">
        <f t="shared" si="124"/>
        <v>0</v>
      </c>
      <c r="K1363" s="2">
        <f t="shared" si="125"/>
        <v>0</v>
      </c>
      <c r="L1363" s="12" t="s">
        <v>3714</v>
      </c>
    </row>
    <row r="1364" spans="4:12" x14ac:dyDescent="0.25">
      <c r="D1364" s="17" t="s">
        <v>1362</v>
      </c>
      <c r="E1364" s="2" t="str">
        <f t="shared" si="123"/>
        <v>Vibraslap</v>
      </c>
      <c r="F1364" s="12">
        <v>1363</v>
      </c>
      <c r="J1364" s="17">
        <f t="shared" si="124"/>
        <v>1175</v>
      </c>
      <c r="K1364" s="2">
        <f t="shared" si="125"/>
        <v>-188</v>
      </c>
      <c r="L1364" s="12" t="s">
        <v>3714</v>
      </c>
    </row>
    <row r="1365" spans="4:12" x14ac:dyDescent="0.25">
      <c r="D1365" s="17" t="s">
        <v>1363</v>
      </c>
      <c r="E1365" s="2" t="str">
        <f t="shared" si="123"/>
        <v>Tamborine 1</v>
      </c>
      <c r="F1365" s="12">
        <v>1364</v>
      </c>
      <c r="J1365" s="17">
        <f t="shared" si="124"/>
        <v>1176</v>
      </c>
      <c r="K1365" s="2">
        <f t="shared" si="125"/>
        <v>-188</v>
      </c>
      <c r="L1365" s="12" t="s">
        <v>3714</v>
      </c>
    </row>
    <row r="1366" spans="4:12" x14ac:dyDescent="0.25">
      <c r="D1366" s="17" t="s">
        <v>1364</v>
      </c>
      <c r="E1366" s="2" t="str">
        <f t="shared" si="123"/>
        <v>Tamborine 2</v>
      </c>
      <c r="F1366" s="12">
        <v>1365</v>
      </c>
      <c r="J1366" s="17">
        <f t="shared" si="124"/>
        <v>1177</v>
      </c>
      <c r="K1366" s="2">
        <f t="shared" si="125"/>
        <v>-188</v>
      </c>
      <c r="L1366" s="12" t="s">
        <v>3714</v>
      </c>
    </row>
    <row r="1367" spans="4:12" x14ac:dyDescent="0.25">
      <c r="D1367" s="17" t="s">
        <v>1365</v>
      </c>
      <c r="E1367" s="2" t="str">
        <f t="shared" si="123"/>
        <v>Tamborine 3</v>
      </c>
      <c r="F1367" s="12">
        <v>1366</v>
      </c>
      <c r="J1367" s="17">
        <f t="shared" si="124"/>
        <v>1178</v>
      </c>
      <c r="K1367" s="2">
        <f t="shared" si="125"/>
        <v>-188</v>
      </c>
      <c r="L1367" s="12" t="s">
        <v>3714</v>
      </c>
    </row>
    <row r="1368" spans="4:12" x14ac:dyDescent="0.25">
      <c r="D1368" s="17" t="s">
        <v>1366</v>
      </c>
      <c r="E1368" s="2" t="str">
        <f t="shared" si="123"/>
        <v>Tamborine4 p</v>
      </c>
      <c r="F1368" s="12">
        <v>1367</v>
      </c>
      <c r="J1368" s="17">
        <f t="shared" si="124"/>
        <v>0</v>
      </c>
      <c r="K1368" s="2">
        <f t="shared" si="125"/>
        <v>0</v>
      </c>
      <c r="L1368" s="12" t="s">
        <v>3714</v>
      </c>
    </row>
    <row r="1369" spans="4:12" x14ac:dyDescent="0.25">
      <c r="D1369" s="17" t="s">
        <v>1367</v>
      </c>
      <c r="E1369" s="2" t="str">
        <f t="shared" si="123"/>
        <v>Tamborine4 f</v>
      </c>
      <c r="F1369" s="12">
        <v>1368</v>
      </c>
      <c r="J1369" s="17">
        <f t="shared" si="124"/>
        <v>0</v>
      </c>
      <c r="K1369" s="2">
        <f t="shared" si="125"/>
        <v>0</v>
      </c>
      <c r="L1369" s="12" t="s">
        <v>3714</v>
      </c>
    </row>
    <row r="1370" spans="4:12" x14ac:dyDescent="0.25">
      <c r="D1370" s="17" t="s">
        <v>1368</v>
      </c>
      <c r="E1370" s="2" t="str">
        <f t="shared" si="123"/>
        <v>CR78 Tamb</v>
      </c>
      <c r="F1370" s="12">
        <v>1369</v>
      </c>
      <c r="J1370" s="17">
        <f t="shared" si="124"/>
        <v>1179</v>
      </c>
      <c r="K1370" s="2">
        <f t="shared" si="125"/>
        <v>-190</v>
      </c>
      <c r="L1370" s="12" t="s">
        <v>3714</v>
      </c>
    </row>
    <row r="1371" spans="4:12" x14ac:dyDescent="0.25">
      <c r="D1371" s="17" t="s">
        <v>1369</v>
      </c>
      <c r="E1371" s="2" t="str">
        <f t="shared" si="123"/>
        <v>Cajon 1</v>
      </c>
      <c r="F1371" s="12">
        <v>1370</v>
      </c>
      <c r="J1371" s="17">
        <f t="shared" si="124"/>
        <v>1187</v>
      </c>
      <c r="K1371" s="2">
        <f t="shared" si="125"/>
        <v>-183</v>
      </c>
      <c r="L1371" s="12" t="s">
        <v>3714</v>
      </c>
    </row>
    <row r="1372" spans="4:12" x14ac:dyDescent="0.25">
      <c r="D1372" s="17" t="s">
        <v>1370</v>
      </c>
      <c r="E1372" s="2" t="str">
        <f t="shared" si="123"/>
        <v>Cajon 2</v>
      </c>
      <c r="F1372" s="12">
        <v>1371</v>
      </c>
      <c r="J1372" s="17">
        <f t="shared" si="124"/>
        <v>1188</v>
      </c>
      <c r="K1372" s="2">
        <f t="shared" si="125"/>
        <v>-183</v>
      </c>
      <c r="L1372" s="12" t="s">
        <v>3714</v>
      </c>
    </row>
    <row r="1373" spans="4:12" x14ac:dyDescent="0.25">
      <c r="D1373" s="17" t="s">
        <v>1371</v>
      </c>
      <c r="E1373" s="2" t="str">
        <f t="shared" si="123"/>
        <v>Cajon 3</v>
      </c>
      <c r="F1373" s="12">
        <v>1372</v>
      </c>
      <c r="J1373" s="17">
        <f t="shared" si="124"/>
        <v>1189</v>
      </c>
      <c r="K1373" s="2">
        <f t="shared" si="125"/>
        <v>-183</v>
      </c>
      <c r="L1373" s="12" t="s">
        <v>3714</v>
      </c>
    </row>
    <row r="1374" spans="4:12" x14ac:dyDescent="0.25">
      <c r="D1374" s="17" t="s">
        <v>1372</v>
      </c>
      <c r="E1374" s="2" t="str">
        <f t="shared" si="123"/>
        <v>Cajon 4</v>
      </c>
      <c r="F1374" s="12">
        <v>1373</v>
      </c>
      <c r="J1374" s="17">
        <f t="shared" si="124"/>
        <v>0</v>
      </c>
      <c r="K1374" s="2">
        <f t="shared" si="125"/>
        <v>0</v>
      </c>
      <c r="L1374" s="12" t="s">
        <v>3714</v>
      </c>
    </row>
    <row r="1375" spans="4:12" x14ac:dyDescent="0.25">
      <c r="D1375" s="17" t="s">
        <v>1373</v>
      </c>
      <c r="E1375" s="2" t="str">
        <f t="shared" si="123"/>
        <v>SprgDrm Hit</v>
      </c>
      <c r="F1375" s="12">
        <v>1374</v>
      </c>
      <c r="J1375" s="17">
        <f t="shared" si="124"/>
        <v>1193</v>
      </c>
      <c r="K1375" s="2">
        <f t="shared" si="125"/>
        <v>-181</v>
      </c>
      <c r="L1375" s="12" t="s">
        <v>3714</v>
      </c>
    </row>
    <row r="1376" spans="4:12" x14ac:dyDescent="0.25">
      <c r="D1376" s="17" t="s">
        <v>1374</v>
      </c>
      <c r="E1376" s="2" t="str">
        <f t="shared" si="123"/>
        <v>Cuica</v>
      </c>
      <c r="F1376" s="12">
        <v>1375</v>
      </c>
      <c r="J1376" s="17">
        <f t="shared" si="124"/>
        <v>1196</v>
      </c>
      <c r="K1376" s="2">
        <f t="shared" si="125"/>
        <v>-179</v>
      </c>
      <c r="L1376" s="12" t="s">
        <v>3714</v>
      </c>
    </row>
    <row r="1377" spans="4:12" x14ac:dyDescent="0.25">
      <c r="D1377" s="17" t="s">
        <v>1375</v>
      </c>
      <c r="E1377" s="2" t="str">
        <f t="shared" si="123"/>
        <v>Cuica 2 Hi</v>
      </c>
      <c r="F1377" s="12">
        <v>1376</v>
      </c>
      <c r="J1377" s="17">
        <f t="shared" si="124"/>
        <v>0</v>
      </c>
      <c r="K1377" s="2">
        <f t="shared" si="125"/>
        <v>0</v>
      </c>
      <c r="L1377" s="12" t="s">
        <v>3714</v>
      </c>
    </row>
    <row r="1378" spans="4:12" x14ac:dyDescent="0.25">
      <c r="D1378" s="17" t="s">
        <v>1376</v>
      </c>
      <c r="E1378" s="2" t="str">
        <f t="shared" si="123"/>
        <v>Cuica 2 Low</v>
      </c>
      <c r="F1378" s="12">
        <v>1377</v>
      </c>
      <c r="J1378" s="17">
        <f t="shared" si="124"/>
        <v>0</v>
      </c>
      <c r="K1378" s="2">
        <f t="shared" si="125"/>
        <v>0</v>
      </c>
      <c r="L1378" s="12" t="s">
        <v>3714</v>
      </c>
    </row>
    <row r="1379" spans="4:12" x14ac:dyDescent="0.25">
      <c r="D1379" s="17" t="s">
        <v>1377</v>
      </c>
      <c r="E1379" s="2" t="str">
        <f t="shared" si="123"/>
        <v>Timpani p</v>
      </c>
      <c r="F1379" s="12">
        <v>1378</v>
      </c>
      <c r="J1379" s="17">
        <f t="shared" si="124"/>
        <v>1197</v>
      </c>
      <c r="K1379" s="2">
        <f t="shared" si="125"/>
        <v>-181</v>
      </c>
      <c r="L1379" s="12" t="s">
        <v>3714</v>
      </c>
    </row>
    <row r="1380" spans="4:12" x14ac:dyDescent="0.25">
      <c r="D1380" s="17" t="s">
        <v>1378</v>
      </c>
      <c r="E1380" s="2" t="str">
        <f t="shared" si="123"/>
        <v>Timpani f</v>
      </c>
      <c r="F1380" s="12">
        <v>1379</v>
      </c>
      <c r="J1380" s="17">
        <f t="shared" si="124"/>
        <v>1198</v>
      </c>
      <c r="K1380" s="2">
        <f t="shared" si="125"/>
        <v>-181</v>
      </c>
      <c r="L1380" s="12" t="s">
        <v>3714</v>
      </c>
    </row>
    <row r="1381" spans="4:12" x14ac:dyDescent="0.25">
      <c r="D1381" s="17" t="s">
        <v>1379</v>
      </c>
      <c r="E1381" s="2" t="str">
        <f t="shared" si="123"/>
        <v>Timpani Roll</v>
      </c>
      <c r="F1381" s="12">
        <v>1380</v>
      </c>
      <c r="J1381" s="17">
        <f t="shared" si="124"/>
        <v>1199</v>
      </c>
      <c r="K1381" s="2">
        <f t="shared" si="125"/>
        <v>-181</v>
      </c>
      <c r="L1381" s="12" t="s">
        <v>3714</v>
      </c>
    </row>
    <row r="1382" spans="4:12" x14ac:dyDescent="0.25">
      <c r="D1382" s="17" t="s">
        <v>1380</v>
      </c>
      <c r="E1382" s="2" t="str">
        <f t="shared" si="123"/>
        <v>Timpani Lp</v>
      </c>
      <c r="F1382" s="12">
        <v>1381</v>
      </c>
      <c r="J1382" s="17">
        <f t="shared" si="124"/>
        <v>1200</v>
      </c>
      <c r="K1382" s="2">
        <f t="shared" si="125"/>
        <v>-181</v>
      </c>
      <c r="L1382" s="12" t="s">
        <v>3714</v>
      </c>
    </row>
    <row r="1383" spans="4:12" x14ac:dyDescent="0.25">
      <c r="D1383" s="17" t="s">
        <v>1381</v>
      </c>
      <c r="E1383" s="2" t="str">
        <f t="shared" si="123"/>
        <v>ConcertBD p</v>
      </c>
      <c r="F1383" s="12">
        <v>1382</v>
      </c>
      <c r="J1383" s="17">
        <f t="shared" si="124"/>
        <v>1201</v>
      </c>
      <c r="K1383" s="2">
        <f t="shared" si="125"/>
        <v>-181</v>
      </c>
      <c r="L1383" s="12" t="s">
        <v>3714</v>
      </c>
    </row>
    <row r="1384" spans="4:12" x14ac:dyDescent="0.25">
      <c r="D1384" s="17" t="s">
        <v>1382</v>
      </c>
      <c r="E1384" s="2" t="str">
        <f t="shared" si="123"/>
        <v>ConcertBD f</v>
      </c>
      <c r="F1384" s="12">
        <v>1383</v>
      </c>
      <c r="J1384" s="17">
        <f t="shared" si="124"/>
        <v>1202</v>
      </c>
      <c r="K1384" s="2">
        <f t="shared" si="125"/>
        <v>-181</v>
      </c>
      <c r="L1384" s="12" t="s">
        <v>3714</v>
      </c>
    </row>
    <row r="1385" spans="4:12" x14ac:dyDescent="0.25">
      <c r="D1385" s="17" t="s">
        <v>1383</v>
      </c>
      <c r="E1385" s="2" t="str">
        <f t="shared" si="123"/>
        <v>ConcertBD ff</v>
      </c>
      <c r="F1385" s="12">
        <v>1384</v>
      </c>
      <c r="J1385" s="17">
        <f t="shared" si="124"/>
        <v>1203</v>
      </c>
      <c r="K1385" s="2">
        <f t="shared" si="125"/>
        <v>-181</v>
      </c>
      <c r="L1385" s="12" t="s">
        <v>3714</v>
      </c>
    </row>
    <row r="1386" spans="4:12" x14ac:dyDescent="0.25">
      <c r="D1386" s="17" t="s">
        <v>1384</v>
      </c>
      <c r="E1386" s="2" t="str">
        <f t="shared" si="123"/>
        <v>ConcertBD Lp</v>
      </c>
      <c r="F1386" s="12">
        <v>1385</v>
      </c>
      <c r="J1386" s="17">
        <f t="shared" si="124"/>
        <v>1204</v>
      </c>
      <c r="K1386" s="2">
        <f t="shared" si="125"/>
        <v>-181</v>
      </c>
      <c r="L1386" s="12" t="s">
        <v>3714</v>
      </c>
    </row>
    <row r="1387" spans="4:12" x14ac:dyDescent="0.25">
      <c r="D1387" s="17" t="s">
        <v>1385</v>
      </c>
      <c r="E1387" s="2" t="str">
        <f t="shared" si="123"/>
        <v>Triangle 1</v>
      </c>
      <c r="F1387" s="12">
        <v>1386</v>
      </c>
      <c r="J1387" s="17">
        <f t="shared" si="124"/>
        <v>1205</v>
      </c>
      <c r="K1387" s="2">
        <f t="shared" si="125"/>
        <v>-181</v>
      </c>
      <c r="L1387" s="12" t="s">
        <v>3714</v>
      </c>
    </row>
    <row r="1388" spans="4:12" x14ac:dyDescent="0.25">
      <c r="D1388" s="17" t="s">
        <v>1386</v>
      </c>
      <c r="E1388" s="2" t="str">
        <f t="shared" si="123"/>
        <v>Triangle 2</v>
      </c>
      <c r="F1388" s="12">
        <v>1387</v>
      </c>
      <c r="J1388" s="17">
        <f t="shared" si="124"/>
        <v>1206</v>
      </c>
      <c r="K1388" s="2">
        <f t="shared" si="125"/>
        <v>-181</v>
      </c>
      <c r="L1388" s="12" t="s">
        <v>3714</v>
      </c>
    </row>
    <row r="1389" spans="4:12" x14ac:dyDescent="0.25">
      <c r="D1389" s="17" t="s">
        <v>1387</v>
      </c>
      <c r="E1389" s="2" t="str">
        <f t="shared" si="123"/>
        <v>Tibet Cymbal</v>
      </c>
      <c r="F1389" s="12">
        <v>1388</v>
      </c>
      <c r="J1389" s="17">
        <f t="shared" si="124"/>
        <v>1207</v>
      </c>
      <c r="K1389" s="2">
        <f t="shared" si="125"/>
        <v>-181</v>
      </c>
      <c r="L1389" s="12" t="s">
        <v>3714</v>
      </c>
    </row>
    <row r="1390" spans="4:12" x14ac:dyDescent="0.25">
      <c r="D1390" s="17" t="s">
        <v>1388</v>
      </c>
      <c r="E1390" s="2" t="str">
        <f t="shared" si="123"/>
        <v>Slight Bell</v>
      </c>
      <c r="F1390" s="12">
        <v>1389</v>
      </c>
      <c r="J1390" s="17">
        <f t="shared" si="124"/>
        <v>1208</v>
      </c>
      <c r="K1390" s="2">
        <f t="shared" si="125"/>
        <v>-181</v>
      </c>
      <c r="L1390" s="12" t="s">
        <v>3714</v>
      </c>
    </row>
    <row r="1391" spans="4:12" x14ac:dyDescent="0.25">
      <c r="D1391" s="17" t="s">
        <v>1389</v>
      </c>
      <c r="E1391" s="2" t="str">
        <f t="shared" si="123"/>
        <v>Wind Chime</v>
      </c>
      <c r="F1391" s="12">
        <v>1390</v>
      </c>
      <c r="J1391" s="17">
        <f t="shared" si="124"/>
        <v>1209</v>
      </c>
      <c r="K1391" s="2">
        <f t="shared" si="125"/>
        <v>-181</v>
      </c>
      <c r="L1391" s="12" t="s">
        <v>3714</v>
      </c>
    </row>
    <row r="1392" spans="4:12" x14ac:dyDescent="0.25">
      <c r="D1392" s="17" t="s">
        <v>1390</v>
      </c>
      <c r="E1392" s="2" t="str">
        <f t="shared" si="123"/>
        <v>Crotale</v>
      </c>
      <c r="F1392" s="12">
        <v>1391</v>
      </c>
      <c r="J1392" s="17">
        <f t="shared" si="124"/>
        <v>1210</v>
      </c>
      <c r="K1392" s="2">
        <f t="shared" si="125"/>
        <v>-181</v>
      </c>
      <c r="L1392" s="12" t="s">
        <v>3714</v>
      </c>
    </row>
    <row r="1393" spans="4:12" x14ac:dyDescent="0.25">
      <c r="D1393" s="17" t="s">
        <v>1391</v>
      </c>
      <c r="E1393" s="2" t="str">
        <f t="shared" si="123"/>
        <v>R8 Click</v>
      </c>
      <c r="F1393" s="12">
        <v>1392</v>
      </c>
      <c r="J1393" s="17">
        <f t="shared" si="124"/>
        <v>1211</v>
      </c>
      <c r="K1393" s="2">
        <f t="shared" si="125"/>
        <v>-181</v>
      </c>
      <c r="L1393" s="12" t="s">
        <v>3714</v>
      </c>
    </row>
    <row r="1394" spans="4:12" x14ac:dyDescent="0.25">
      <c r="D1394" s="17" t="s">
        <v>1392</v>
      </c>
      <c r="E1394" s="2" t="str">
        <f t="shared" si="123"/>
        <v>Metro Bell</v>
      </c>
      <c r="F1394" s="12">
        <v>1393</v>
      </c>
      <c r="J1394" s="17">
        <f t="shared" si="124"/>
        <v>1212</v>
      </c>
      <c r="K1394" s="2">
        <f t="shared" si="125"/>
        <v>-181</v>
      </c>
      <c r="L1394" s="12" t="s">
        <v>3714</v>
      </c>
    </row>
    <row r="1395" spans="4:12" x14ac:dyDescent="0.25">
      <c r="D1395" s="17" t="s">
        <v>1393</v>
      </c>
      <c r="E1395" s="2" t="str">
        <f t="shared" si="123"/>
        <v>Metro Click</v>
      </c>
      <c r="F1395" s="12">
        <v>1394</v>
      </c>
      <c r="J1395" s="17">
        <f t="shared" si="124"/>
        <v>1213</v>
      </c>
      <c r="K1395" s="2">
        <f t="shared" si="125"/>
        <v>-181</v>
      </c>
      <c r="L1395" s="12" t="s">
        <v>3714</v>
      </c>
    </row>
    <row r="1396" spans="4:12" x14ac:dyDescent="0.25">
      <c r="D1396" s="17" t="s">
        <v>1394</v>
      </c>
      <c r="E1396" s="2" t="str">
        <f t="shared" si="123"/>
        <v>MC500 Beep 1</v>
      </c>
      <c r="F1396" s="12">
        <v>1395</v>
      </c>
      <c r="J1396" s="17">
        <f t="shared" si="124"/>
        <v>1214</v>
      </c>
      <c r="K1396" s="2">
        <f t="shared" si="125"/>
        <v>-181</v>
      </c>
      <c r="L1396" s="12" t="s">
        <v>3714</v>
      </c>
    </row>
    <row r="1397" spans="4:12" x14ac:dyDescent="0.25">
      <c r="D1397" s="17" t="s">
        <v>1395</v>
      </c>
      <c r="E1397" s="2" t="str">
        <f t="shared" si="123"/>
        <v>MC500 Beep 2</v>
      </c>
      <c r="F1397" s="12">
        <v>1396</v>
      </c>
      <c r="J1397" s="17">
        <f t="shared" si="124"/>
        <v>1215</v>
      </c>
      <c r="K1397" s="2">
        <f t="shared" si="125"/>
        <v>-181</v>
      </c>
      <c r="L1397" s="12" t="s">
        <v>3714</v>
      </c>
    </row>
    <row r="1398" spans="4:12" x14ac:dyDescent="0.25">
      <c r="D1398" s="17" t="s">
        <v>1396</v>
      </c>
      <c r="E1398" s="2" t="str">
        <f t="shared" si="123"/>
        <v>DR202 Beep</v>
      </c>
      <c r="F1398" s="12">
        <v>1397</v>
      </c>
      <c r="J1398" s="17">
        <f t="shared" si="124"/>
        <v>1216</v>
      </c>
      <c r="K1398" s="2">
        <f t="shared" si="125"/>
        <v>-181</v>
      </c>
      <c r="L1398" s="12" t="s">
        <v>3714</v>
      </c>
    </row>
    <row r="1399" spans="4:12" x14ac:dyDescent="0.25">
      <c r="D1399" s="17" t="s">
        <v>1397</v>
      </c>
      <c r="E1399" s="2" t="str">
        <f t="shared" si="123"/>
        <v>Low Square</v>
      </c>
      <c r="F1399" s="12">
        <v>1398</v>
      </c>
      <c r="J1399" s="17">
        <f t="shared" si="124"/>
        <v>1222</v>
      </c>
      <c r="K1399" s="2">
        <f t="shared" si="125"/>
        <v>-176</v>
      </c>
      <c r="L1399" s="12" t="s">
        <v>3714</v>
      </c>
    </row>
    <row r="1400" spans="4:12" x14ac:dyDescent="0.25">
      <c r="D1400" s="17" t="s">
        <v>1398</v>
      </c>
      <c r="E1400" s="2" t="str">
        <f t="shared" si="123"/>
        <v>Low Sine</v>
      </c>
      <c r="F1400" s="12">
        <v>1399</v>
      </c>
      <c r="J1400" s="17">
        <f t="shared" si="124"/>
        <v>1223</v>
      </c>
      <c r="K1400" s="2">
        <f t="shared" si="125"/>
        <v>-176</v>
      </c>
      <c r="L1400" s="12" t="s">
        <v>3714</v>
      </c>
    </row>
    <row r="1401" spans="4:12" x14ac:dyDescent="0.25">
      <c r="D1401" s="17" t="s">
        <v>1399</v>
      </c>
      <c r="E1401" s="2" t="str">
        <f t="shared" si="123"/>
        <v>DC</v>
      </c>
      <c r="F1401" s="12">
        <v>1400</v>
      </c>
      <c r="J1401" s="17">
        <f t="shared" si="124"/>
        <v>1227</v>
      </c>
      <c r="K1401" s="2">
        <f t="shared" si="125"/>
        <v>-173</v>
      </c>
      <c r="L1401" s="12" t="s">
        <v>3714</v>
      </c>
    </row>
    <row r="1402" spans="4:12" ht="15.75" thickBot="1" x14ac:dyDescent="0.3">
      <c r="D1402" s="7" t="s">
        <v>1400</v>
      </c>
      <c r="E1402" s="14" t="str">
        <f t="shared" si="123"/>
        <v>Reverse Cym</v>
      </c>
      <c r="F1402" s="8">
        <v>1401</v>
      </c>
      <c r="J1402" s="7">
        <f t="shared" si="124"/>
        <v>1228</v>
      </c>
      <c r="K1402" s="14">
        <f t="shared" si="125"/>
        <v>-173</v>
      </c>
      <c r="L1402" s="8" t="s">
        <v>3714</v>
      </c>
    </row>
  </sheetData>
  <mergeCells count="4">
    <mergeCell ref="A1:C1"/>
    <mergeCell ref="D1:F1"/>
    <mergeCell ref="G1:I1"/>
    <mergeCell ref="J1:L1"/>
  </mergeCells>
  <printOptions gridLines="1"/>
  <pageMargins left="0.70866141732283472" right="0.70866141732283472" top="0.74803149606299213" bottom="0.74803149606299213" header="0.31496062992125984" footer="0.31496062992125984"/>
  <pageSetup paperSize="9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17B2C-1EC4-498B-9E4A-455A9FA31CAD}">
  <dimension ref="A1:O257"/>
  <sheetViews>
    <sheetView topLeftCell="D1" workbookViewId="0">
      <selection activeCell="G129" sqref="G2:G129"/>
    </sheetView>
  </sheetViews>
  <sheetFormatPr defaultRowHeight="15" x14ac:dyDescent="0.25"/>
  <cols>
    <col min="1" max="19" width="38.28515625" customWidth="1"/>
  </cols>
  <sheetData>
    <row r="1" spans="1:15" x14ac:dyDescent="0.25">
      <c r="A1" s="2" t="s">
        <v>3719</v>
      </c>
      <c r="B1" s="2" t="s">
        <v>3976</v>
      </c>
      <c r="C1" s="2" t="s">
        <v>3977</v>
      </c>
      <c r="D1" s="2" t="s">
        <v>4234</v>
      </c>
      <c r="E1" s="2" t="s">
        <v>4235</v>
      </c>
      <c r="F1" s="2" t="s">
        <v>4492</v>
      </c>
      <c r="G1" s="2" t="s">
        <v>4493</v>
      </c>
      <c r="H1" s="29" t="s">
        <v>5657</v>
      </c>
      <c r="I1" t="str">
        <f>SUBSTITUTE(A1,"'","´")</f>
        <v>USER (User Group)</v>
      </c>
      <c r="J1" t="str">
        <f t="shared" ref="J1:O1" si="0">SUBSTITUTE(B1,"'","´")</f>
        <v>PR-A (Preset A Group)</v>
      </c>
      <c r="K1" t="str">
        <f t="shared" si="0"/>
        <v>PR-B (Preset B Group)</v>
      </c>
      <c r="L1" t="str">
        <f t="shared" si="0"/>
        <v>PR-C (Preset C Group)</v>
      </c>
      <c r="M1" t="str">
        <f t="shared" si="0"/>
        <v>PR-D (Preset D Group)</v>
      </c>
      <c r="N1" t="str">
        <f t="shared" si="0"/>
        <v>PR-E (Preset E Group)</v>
      </c>
      <c r="O1" t="str">
        <f t="shared" si="0"/>
        <v>PR-F (Preset F Group; Fantom-S88 only)</v>
      </c>
    </row>
    <row r="2" spans="1:15" x14ac:dyDescent="0.25">
      <c r="A2" s="2" t="s">
        <v>3720</v>
      </c>
      <c r="B2" s="2" t="s">
        <v>3978</v>
      </c>
      <c r="C2" s="2" t="s">
        <v>4106</v>
      </c>
      <c r="D2" s="2" t="s">
        <v>4236</v>
      </c>
      <c r="E2" s="2" t="s">
        <v>4364</v>
      </c>
      <c r="F2" s="2" t="s">
        <v>4502</v>
      </c>
      <c r="G2" s="20" t="s">
        <v>4494</v>
      </c>
      <c r="H2" t="str">
        <f>IF(ROW()-1 &gt; 99,_xlfn.VALUETOTEXT(ROW()-1)&amp;" INIT PATCH",IF(ROW()-1 &gt; 9, "0"&amp;_xlfn.VALUETOTEXT(ROW()-1)&amp;" INIT PATCH","00"&amp;_xlfn.VALUETOTEXT(ROW()-1)&amp;" INIT PATCH"))</f>
        <v>001 INIT PATCH</v>
      </c>
      <c r="I2" t="str">
        <f t="shared" ref="I2:J65" si="1">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SUBSTITUTE(A2,"'","´"),"[0-9] AC.PIANO","AC.PIANO",-1),"[0-9] PULSATING","PULSATING"),"[0-9] KEYBOARDS","KEYBOARDS"),"[0-9] EL.PIANO","EL.PIANO"),"[0-9] BELL","BELL"),"[0-9] MALLET","MALLET"),"[0-9] ORGAN","ORGAN"),"[0-9] ACCORDION","ACCORDION"),"[0-9] HARMONICA","HARMONICA"),"[0-9] AC.GUITAR","AC.GUITAR"),"[0-9] EL.GUITAR","EL.GUITAR"),"[0-9] DIST.GUITAR","DIST.GUITAR"),"[0-9] BASS","BASS"),"[0-9] STRINGS","STRINGS"),"[0-9] SYNTH BASS","SYNTH BASS"),"[0-9] ORCHESTRA","ORCHESTRA"),"[0-9] WIND","WIND"),"[0-9] FLUTE","FLUTE"),"[0-9] AC.BRASS","AC.BRASS"),"[0-9] SYNTH BRASS","SYNTH BRASS"),"[0-9] SAX","SAX"),"[0-9] SOFT LEAD","SOFT LEAD"),"[0-9] HARD LEAD","HARD LEAD"),"[0-9] HIT&amp;STAB","HIT&amp;STAB"),"[0-9] TECHNO SYNTH","TECHNO SYNTH"),"[0-9] OTHER SYNTH","OTHER SYNTH"),"[0-9] VOX","VOX"),"[0-9] SOFT PAD","SOFT PAD"),"[0-9] BRIGHT PAD","BRIGHT PAD"),"[0-9] PLUCKED","PLUCKED"),"[0-9] ETHNIC","ETHNIC"),"[0-9] FRETTED","FRETTED"),"[0-9] SYNTH FX","SYNTH FX"),"[0-9] BEAT&amp;GROOVE","BEAT&amp;GROOVE"),"[0-9] PERCUSSION","PERCUSSION"),"[0-9] COMBINATION","COMBINATION")</f>
        <v>001 Synth Force PULSATING</v>
      </c>
      <c r="J2" t="str">
        <f t="shared" si="1"/>
        <v>001 So true... AC.PIANO</v>
      </c>
      <c r="K2" t="str">
        <f t="shared" ref="K2:K65" si="2">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SUBSTITUTE(C2,"'","´"),"[0-9] AC.PIANO","AC.PIANO",-1),"[0-9] PULSATING","PULSATING"),"[0-9] KEYBOARDS","KEYBOARDS"),"[0-9] EL.PIANO","EL.PIANO"),"[0-9] BELL","BELL"),"[0-9] MALLET","MALLET"),"[0-9] ORGAN","ORGAN"),"[0-9] ACCORDION","ACCORDION"),"[0-9] HARMONICA","HARMONICA"),"[0-9] AC.GUITAR","AC.GUITAR"),"[0-9] EL.GUITAR","EL.GUITAR"),"[0-9] DIST.GUITAR","DIST.GUITAR"),"[0-9] BASS","BASS"),"[0-9] STRINGS","STRINGS"),"[0-9] SYNTH BASS","SYNTH BASS"),"[0-9] ORCHESTRA","ORCHESTRA"),"[0-9] WIND","WIND"),"[0-9] FLUTE","FLUTE"),"[0-9] AC.BRASS","AC.BRASS"),"[0-9] SYNTH BRASS","SYNTH BRASS"),"[0-9] SAX","SAX"),"[0-9] SOFT LEAD","SOFT LEAD"),"[0-9] HARD LEAD","HARD LEAD"),"[0-9] HIT&amp;STAB","HIT&amp;STAB"),"[0-9] TECHNO SYNTH","TECHNO SYNTH"),"[0-9] OTHER SYNTH","OTHER SYNTH"),"[0-9] VOX","VOX"),"[0-9] SOFT PAD","SOFT PAD"),"[0-9] BRIGHT PAD","BRIGHT PAD"),"[0-9] PLUCKED","PLUCKED"),"[0-9] ETHNIC","ETHNIC"),"[0-9] FRETTED","FRETTED"),"[0-9] SYNTH FX","SYNTH FX"),"[0-9] BEAT&amp;GROOVE","BEAT&amp;GROOVE"),"[0-9] PERCUSSION","PERCUSSION"),"[0-9] COMBINATION","COMBINATION")</f>
        <v>001 GK Dubguitar EL.GUITAR</v>
      </c>
      <c r="L2" t="str">
        <f t="shared" ref="L2:L65" si="3">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SUBSTITUTE(D2,"'","´"),"[0-9] AC.PIANO","AC.PIANO",-1),"[0-9] PULSATING","PULSATING"),"[0-9] KEYBOARDS","KEYBOARDS"),"[0-9] EL.PIANO","EL.PIANO"),"[0-9] BELL","BELL"),"[0-9] MALLET","MALLET"),"[0-9] ORGAN","ORGAN"),"[0-9] ACCORDION","ACCORDION"),"[0-9] HARMONICA","HARMONICA"),"[0-9] AC.GUITAR","AC.GUITAR"),"[0-9] EL.GUITAR","EL.GUITAR"),"[0-9] DIST.GUITAR","DIST.GUITAR"),"[0-9] BASS","BASS"),"[0-9] STRINGS","STRINGS"),"[0-9] SYNTH BASS","SYNTH BASS"),"[0-9] ORCHESTRA","ORCHESTRA"),"[0-9] WIND","WIND"),"[0-9] FLUTE","FLUTE"),"[0-9] AC.BRASS","AC.BRASS"),"[0-9] SYNTH BRASS","SYNTH BRASS"),"[0-9] SAX","SAX"),"[0-9] SOFT LEAD","SOFT LEAD"),"[0-9] HARD LEAD","HARD LEAD"),"[0-9] HIT&amp;STAB","HIT&amp;STAB"),"[0-9] TECHNO SYNTH","TECHNO SYNTH"),"[0-9] OTHER SYNTH","OTHER SYNTH"),"[0-9] VOX","VOX"),"[0-9] SOFT PAD","SOFT PAD"),"[0-9] BRIGHT PAD","BRIGHT PAD"),"[0-9] PLUCKED","PLUCKED"),"[0-9] ETHNIC","ETHNIC"),"[0-9] FRETTED","FRETTED"),"[0-9] SYNTH FX","SYNTH FX"),"[0-9] BEAT&amp;GROOVE","BEAT&amp;GROOVE"),"[0-9] PERCUSSION","PERCUSSION"),"[0-9] COMBINATION","COMBINATION")</f>
        <v>001 FS Flute FLUTE</v>
      </c>
      <c r="M2" t="str">
        <f t="shared" ref="M2:M65" si="4">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SUBSTITUTE(E2,"'","´"),"[0-9] AC.PIANO","AC.PIANO",-1),"[0-9] PULSATING","PULSATING"),"[0-9] KEYBOARDS","KEYBOARDS"),"[0-9] EL.PIANO","EL.PIANO"),"[0-9] BELL","BELL"),"[0-9] MALLET","MALLET"),"[0-9] ORGAN","ORGAN"),"[0-9] ACCORDION","ACCORDION"),"[0-9] HARMONICA","HARMONICA"),"[0-9] AC.GUITAR","AC.GUITAR"),"[0-9] EL.GUITAR","EL.GUITAR"),"[0-9] DIST.GUITAR","DIST.GUITAR"),"[0-9] BASS","BASS"),"[0-9] STRINGS","STRINGS"),"[0-9] SYNTH BASS","SYNTH BASS"),"[0-9] ORCHESTRA","ORCHESTRA"),"[0-9] WIND","WIND"),"[0-9] FLUTE","FLUTE"),"[0-9] AC.BRASS","AC.BRASS"),"[0-9] SYNTH BRASS","SYNTH BRASS"),"[0-9] SAX","SAX"),"[0-9] SOFT LEAD","SOFT LEAD"),"[0-9] HARD LEAD","HARD LEAD"),"[0-9] HIT&amp;STAB","HIT&amp;STAB"),"[0-9] TECHNO SYNTH","TECHNO SYNTH"),"[0-9] OTHER SYNTH","OTHER SYNTH"),"[0-9] VOX","VOX"),"[0-9] SOFT PAD","SOFT PAD"),"[0-9] BRIGHT PAD","BRIGHT PAD"),"[0-9] PLUCKED","PLUCKED"),"[0-9] ETHNIC","ETHNIC"),"[0-9] FRETTED","FRETTED"),"[0-9] SYNTH FX","SYNTH FX"),"[0-9] BEAT&amp;GROOVE","BEAT&amp;GROOVE"),"[0-9] PERCUSSION","PERCUSSION"),"[0-9] COMBINATION","COMBINATION")</f>
        <v>001 HPF Sweep TECHNO SYNTH</v>
      </c>
      <c r="N2" t="str">
        <f t="shared" ref="N2:O65" si="5">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SUBSTITUTE(F2,"'","´"),"[0-9] AC.PIANO","AC.PIANO",-1),"[0-9] PULSATING","PULSATING"),"[0-9] KEYBOARDS","KEYBOARDS"),"[0-9] EL.PIANO","EL.PIANO"),"[0-9] BELL","BELL"),"[0-9] MALLET","MALLET"),"[0-9] ORGAN","ORGAN"),"[0-9] ACCORDION","ACCORDION"),"[0-9] HARMONICA","HARMONICA"),"[0-9] AC.GUITAR","AC.GUITAR"),"[0-9] EL.GUITAR","EL.GUITAR"),"[0-9] DIST.GUITAR","DIST.GUITAR"),"[0-9] BASS","BASS"),"[0-9] STRINGS","STRINGS"),"[0-9] SYNTH BASS","SYNTH BASS"),"[0-9] ORCHESTRA","ORCHESTRA"),"[0-9] WIND","WIND"),"[0-9] FLUTE","FLUTE"),"[0-9] AC.BRASS","AC.BRASS"),"[0-9] SYNTH BRASS","SYNTH BRASS"),"[0-9] SAX","SAX"),"[0-9] SOFT LEAD","SOFT LEAD"),"[0-9] HARD LEAD","HARD LEAD"),"[0-9] HIT&amp;STAB","HIT&amp;STAB"),"[0-9] TECHNO SYNTH","TECHNO SYNTH"),"[0-9] OTHER SYNTH","OTHER SYNTH"),"[0-9] VOX","VOX"),"[0-9] SOFT PAD","SOFT PAD"),"[0-9] BRIGHT PAD","BRIGHT PAD"),"[0-9] PLUCKED","PLUCKED"),"[0-9] ETHNIC","ETHNIC"),"[0-9] FRETTED","FRETTED"),"[0-9] SYNTH FX","SYNTH FX"),"[0-9] BEAT&amp;GROOVE","BEAT&amp;GROOVE"),"[0-9] PERCUSSION","PERCUSSION"),"[0-9] COMBINATION","COMBINATION")</f>
        <v>001 Digital Aahs SOFT PAD</v>
      </c>
      <c r="O2" t="str">
        <f t="shared" si="5"/>
        <v>001 ConcertGrand AC.PIANO</v>
      </c>
    </row>
    <row r="3" spans="1:15" x14ac:dyDescent="0.25">
      <c r="A3" s="2" t="s">
        <v>3721</v>
      </c>
      <c r="B3" s="2" t="s">
        <v>3979</v>
      </c>
      <c r="C3" s="2" t="s">
        <v>4107</v>
      </c>
      <c r="D3" s="2" t="s">
        <v>4237</v>
      </c>
      <c r="E3" s="2" t="s">
        <v>4365</v>
      </c>
      <c r="F3" s="2" t="s">
        <v>4503</v>
      </c>
      <c r="G3" s="20" t="s">
        <v>4495</v>
      </c>
      <c r="H3" t="str">
        <f t="shared" ref="H3:H66" si="6">IF(ROW()-1 &gt; 99,_xlfn.VALUETOTEXT(ROW()-1)&amp;" INIT PATCH",IF(ROW()-1 &gt; 9, "0"&amp;_xlfn.VALUETOTEXT(ROW()-1)&amp;" INIT PATCH","00"&amp;_xlfn.VALUETOTEXT(ROW()-1)&amp;" INIT PATCH"))</f>
        <v>002 INIT PATCH</v>
      </c>
      <c r="I3" t="str">
        <f t="shared" si="1"/>
        <v>002 So true... AC.PIANO</v>
      </c>
      <c r="J3" t="str">
        <f t="shared" ref="J3:J66" si="7">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SUBSTITUTE(B3,"'","´"),"[0-9] AC.PIANO","AC.PIANO",-1),"[0-9] PULSATING","PULSATING"),"[0-9] KEYBOARDS","KEYBOARDS"),"[0-9] EL.PIANO","EL.PIANO"),"[0-9] BELL","BELL"),"[0-9] MALLET","MALLET"),"[0-9] ORGAN","ORGAN"),"[0-9] ACCORDION","ACCORDION"),"[0-9] HARMONICA","HARMONICA"),"[0-9] AC.GUITAR","AC.GUITAR"),"[0-9] EL.GUITAR","EL.GUITAR"),"[0-9] DIST.GUITAR","DIST.GUITAR"),"[0-9] BASS","BASS"),"[0-9] STRINGS","STRINGS"),"[0-9] SYNTH BASS","SYNTH BASS"),"[0-9] ORCHESTRA","ORCHESTRA"),"[0-9] WIND","WIND"),"[0-9] FLUTE","FLUTE"),"[0-9] AC.BRASS","AC.BRASS"),"[0-9] SYNTH BRASS","SYNTH BRASS"),"[0-9] SAX","SAX"),"[0-9] SOFT LEAD","SOFT LEAD"),"[0-9] HARD LEAD","HARD LEAD"),"[0-9] HIT&amp;STAB","HIT&amp;STAB"),"[0-9] TECHNO SYNTH","TECHNO SYNTH"),"[0-9] OTHER SYNTH","OTHER SYNTH"),"[0-9] VOX","VOX"),"[0-9] SOFT PAD","SOFT PAD"),"[0-9] BRIGHT PAD","BRIGHT PAD"),"[0-9] PLUCKED","PLUCKED"),"[0-9] ETHNIC","ETHNIC"),"[0-9] FRETTED","FRETTED"),"[0-9] SYNTH FX","SYNTH FX"),"[0-9] BEAT&amp;GROOVE","BEAT&amp;GROOVE"),"[0-9] PERCUSSION","PERCUSSION"),"[0-9] COMBINATION","COMBINATION")</f>
        <v>002 ConcertPiano AC.PIANO</v>
      </c>
      <c r="K3" t="str">
        <f t="shared" si="2"/>
        <v>002 &amp; Scratchee EL.GUITAR</v>
      </c>
      <c r="L3" t="str">
        <f t="shared" si="3"/>
        <v>002 Atk Flute FLUTE</v>
      </c>
      <c r="M3" t="str">
        <f t="shared" si="4"/>
        <v>002 Moon Synth TECHNO SYNTH</v>
      </c>
      <c r="N3" t="str">
        <f t="shared" si="5"/>
        <v>002 FreezinNight SOFT PAD</v>
      </c>
      <c r="O3" t="str">
        <f t="shared" si="5"/>
        <v>002 Hall Concert AC.PIANO</v>
      </c>
    </row>
    <row r="4" spans="1:15" x14ac:dyDescent="0.25">
      <c r="A4" s="2" t="s">
        <v>3722</v>
      </c>
      <c r="B4" s="2" t="s">
        <v>3980</v>
      </c>
      <c r="C4" s="2" t="s">
        <v>4108</v>
      </c>
      <c r="D4" s="2" t="s">
        <v>4238</v>
      </c>
      <c r="E4" s="2" t="s">
        <v>4366</v>
      </c>
      <c r="F4" s="2" t="s">
        <v>4504</v>
      </c>
      <c r="G4" s="20" t="s">
        <v>4496</v>
      </c>
      <c r="H4" t="str">
        <f t="shared" si="6"/>
        <v>003 INIT PATCH</v>
      </c>
      <c r="I4" t="str">
        <f t="shared" si="1"/>
        <v>003 FS Syn Bass1 SYNTH BASS</v>
      </c>
      <c r="J4" t="str">
        <f t="shared" si="7"/>
        <v>003 Warm Piano AC.PIANO</v>
      </c>
      <c r="K4" t="str">
        <f t="shared" si="2"/>
        <v>003 Touch Drive DIST.GUITAR</v>
      </c>
      <c r="L4" t="str">
        <f t="shared" si="3"/>
        <v>003 Piccolo FLUTE</v>
      </c>
      <c r="M4" t="str">
        <f t="shared" si="4"/>
        <v>003 DelyResoSaws TECHNO SYNTH</v>
      </c>
      <c r="N4" t="str">
        <f t="shared" si="5"/>
        <v>003 FS MovinPad SOFT PAD</v>
      </c>
      <c r="O4" t="str">
        <f t="shared" si="5"/>
        <v>003 Bright Tune AC.PIANO</v>
      </c>
    </row>
    <row r="5" spans="1:15" x14ac:dyDescent="0.25">
      <c r="A5" s="2" t="s">
        <v>3723</v>
      </c>
      <c r="B5" s="2" t="s">
        <v>3981</v>
      </c>
      <c r="C5" s="2" t="s">
        <v>4109</v>
      </c>
      <c r="D5" s="2" t="s">
        <v>4239</v>
      </c>
      <c r="E5" s="2" t="s">
        <v>4367</v>
      </c>
      <c r="F5" s="2" t="s">
        <v>4505</v>
      </c>
      <c r="G5" s="20" t="s">
        <v>4497</v>
      </c>
      <c r="H5" t="str">
        <f t="shared" si="6"/>
        <v>004 INIT PATCH</v>
      </c>
      <c r="I5" t="str">
        <f t="shared" si="1"/>
        <v>004 Mojo Man HIT&amp;STAB</v>
      </c>
      <c r="J5" t="str">
        <f t="shared" si="7"/>
        <v>004 Warm Pad Pno AC.PIANO</v>
      </c>
      <c r="K5" t="str">
        <f t="shared" si="2"/>
        <v>004 FS Chunk DIST.GUITAR</v>
      </c>
      <c r="L5" t="str">
        <f t="shared" si="3"/>
        <v>004 Andes Mood FLUTE</v>
      </c>
      <c r="M5" t="str">
        <f t="shared" si="4"/>
        <v>004 R-Trance TECHNO SYNTH</v>
      </c>
      <c r="N5" t="str">
        <f t="shared" si="5"/>
        <v>004 Seq-Pad 1 SOFT PAD</v>
      </c>
      <c r="O5" t="str">
        <f t="shared" si="5"/>
        <v>004 Mellow Tune AC.PIANO</v>
      </c>
    </row>
    <row r="6" spans="1:15" x14ac:dyDescent="0.25">
      <c r="A6" s="2" t="s">
        <v>3724</v>
      </c>
      <c r="B6" s="2" t="s">
        <v>3982</v>
      </c>
      <c r="C6" s="2" t="s">
        <v>4110</v>
      </c>
      <c r="D6" s="2" t="s">
        <v>4240</v>
      </c>
      <c r="E6" s="2" t="s">
        <v>4368</v>
      </c>
      <c r="F6" s="2" t="s">
        <v>4506</v>
      </c>
      <c r="G6" s="20" t="s">
        <v>4498</v>
      </c>
      <c r="H6" t="str">
        <f t="shared" si="6"/>
        <v>005 INIT PATCH</v>
      </c>
      <c r="I6" t="str">
        <f t="shared" si="1"/>
        <v>005 StageRhdTrem EL.PIANO</v>
      </c>
      <c r="J6" t="str">
        <f t="shared" si="7"/>
        <v>005 Warm Str Pno AC.PIANO</v>
      </c>
      <c r="K6" t="str">
        <f t="shared" si="2"/>
        <v>005 Trem-o-Vibe DIST.GUITAR</v>
      </c>
      <c r="L6" t="str">
        <f t="shared" si="3"/>
        <v>005 Pan Pipes FLUTE</v>
      </c>
      <c r="M6" t="str">
        <f t="shared" si="4"/>
        <v>005 Alpha Retro TECHNO SYNTH</v>
      </c>
      <c r="N6" t="str">
        <f t="shared" si="5"/>
        <v>005 Digi-Swell BRIGHT PAD</v>
      </c>
      <c r="O6" t="str">
        <f t="shared" si="5"/>
        <v>005 Back E-Grand EL.PIANO</v>
      </c>
    </row>
    <row r="7" spans="1:15" x14ac:dyDescent="0.25">
      <c r="A7" s="2" t="s">
        <v>3725</v>
      </c>
      <c r="B7" s="2" t="s">
        <v>3983</v>
      </c>
      <c r="C7" s="2" t="s">
        <v>4111</v>
      </c>
      <c r="D7" s="2" t="s">
        <v>4241</v>
      </c>
      <c r="E7" s="2" t="s">
        <v>4369</v>
      </c>
      <c r="F7" s="2" t="s">
        <v>4507</v>
      </c>
      <c r="G7" s="20" t="s">
        <v>4499</v>
      </c>
      <c r="H7" t="str">
        <f t="shared" si="6"/>
        <v>006 INIT PATCH</v>
      </c>
      <c r="I7" t="str">
        <f t="shared" si="1"/>
        <v>006 Dig-n-Duke SOFT LEAD</v>
      </c>
      <c r="J7" t="str">
        <f t="shared" si="7"/>
        <v>006 BealeSt Walk AC.PIANO</v>
      </c>
      <c r="K7" t="str">
        <f t="shared" si="2"/>
        <v>006 Nice Dist Gt DIST.GUITAR</v>
      </c>
      <c r="L7" t="str">
        <f t="shared" si="3"/>
        <v>006 Solo Tp AC.BRASS</v>
      </c>
      <c r="M7" t="str">
        <f t="shared" si="4"/>
        <v>006 Nu Hoover TECHNO SYNTH</v>
      </c>
      <c r="N7" t="str">
        <f t="shared" si="5"/>
        <v>006 Stringship BRIGHT PAD</v>
      </c>
      <c r="O7" t="str">
        <f t="shared" si="5"/>
        <v>006 Rhodes mkI EL.PIANO</v>
      </c>
    </row>
    <row r="8" spans="1:15" x14ac:dyDescent="0.25">
      <c r="A8" s="2" t="s">
        <v>3726</v>
      </c>
      <c r="B8" s="2" t="s">
        <v>3984</v>
      </c>
      <c r="C8" s="2" t="s">
        <v>4112</v>
      </c>
      <c r="D8" s="2" t="s">
        <v>4242</v>
      </c>
      <c r="E8" s="2" t="s">
        <v>4370</v>
      </c>
      <c r="F8" s="2" t="s">
        <v>4508</v>
      </c>
      <c r="G8" s="20" t="s">
        <v>4500</v>
      </c>
      <c r="H8" t="str">
        <f t="shared" si="6"/>
        <v>007 INIT PATCH</v>
      </c>
      <c r="I8" t="str">
        <f t="shared" si="1"/>
        <v>007 Uncle Martin AC.GUITAR</v>
      </c>
      <c r="J8" t="str">
        <f t="shared" si="7"/>
        <v>007 Rapsody AC.PIANO</v>
      </c>
      <c r="K8" t="str">
        <f t="shared" si="2"/>
        <v>007 LP Dist DIST.GUITAR</v>
      </c>
      <c r="L8" t="str">
        <f t="shared" si="3"/>
        <v>007 Horn Chops AC.BRASS</v>
      </c>
      <c r="M8" t="str">
        <f t="shared" si="4"/>
        <v>007 Hoovercraft TECHNO SYNTH</v>
      </c>
      <c r="N8" t="str">
        <f t="shared" si="5"/>
        <v>007 SaturnHolida BRIGHT PAD</v>
      </c>
      <c r="O8" t="str">
        <f t="shared" si="5"/>
        <v>007 Stage Rhodes EL.PIANO</v>
      </c>
    </row>
    <row r="9" spans="1:15" x14ac:dyDescent="0.25">
      <c r="A9" s="2" t="s">
        <v>3727</v>
      </c>
      <c r="B9" s="2" t="s">
        <v>3985</v>
      </c>
      <c r="C9" s="2" t="s">
        <v>4113</v>
      </c>
      <c r="D9" s="2" t="s">
        <v>4243</v>
      </c>
      <c r="E9" s="2" t="s">
        <v>4371</v>
      </c>
      <c r="F9" s="2" t="s">
        <v>4509</v>
      </c>
      <c r="G9" s="20" t="s">
        <v>4501</v>
      </c>
      <c r="H9" t="str">
        <f t="shared" si="6"/>
        <v>008 INIT PATCH</v>
      </c>
      <c r="I9" t="str">
        <f t="shared" si="1"/>
        <v>008 "2 Point 2" BRIGHT PAD</v>
      </c>
      <c r="J9" t="str">
        <f t="shared" si="7"/>
        <v>008 JD-800 Piano AC.PIANO</v>
      </c>
      <c r="K9" t="str">
        <f t="shared" si="2"/>
        <v>008 Hurtling Gtr DIST.GUITAR</v>
      </c>
      <c r="L9" t="str">
        <f t="shared" si="3"/>
        <v>008 Flugel Horn AC.BRASS</v>
      </c>
      <c r="M9" t="str">
        <f t="shared" si="4"/>
        <v>008 Braatz... TECHNO SYNTH</v>
      </c>
      <c r="N9" t="str">
        <f t="shared" si="5"/>
        <v>008 India Garden BRIGHT PAD</v>
      </c>
      <c r="O9" t="str">
        <f t="shared" si="5"/>
        <v>008 P-330EnsemEP EL.PIANO</v>
      </c>
    </row>
    <row r="10" spans="1:15" x14ac:dyDescent="0.25">
      <c r="A10" s="2" t="s">
        <v>3728</v>
      </c>
      <c r="B10" s="2" t="s">
        <v>3986</v>
      </c>
      <c r="C10" s="2" t="s">
        <v>4114</v>
      </c>
      <c r="D10" s="2" t="s">
        <v>4244</v>
      </c>
      <c r="E10" s="2" t="s">
        <v>4372</v>
      </c>
      <c r="F10" s="2" t="s">
        <v>4510</v>
      </c>
      <c r="G10" t="str">
        <f>IF(ROW()-1 &gt; 99,_xlfn.VALUETOTEXT(ROW()-1)&amp;" &lt;&lt;No media&gt;&gt;",IF(ROW()-1 &gt; 9, "0"&amp;_xlfn.VALUETOTEXT(ROW()-1)&amp;" INIT PATCH","00"&amp;_xlfn.VALUETOTEXT(ROW()-1)&amp;" &lt;&lt;No media&gt;&gt;"))</f>
        <v>009 &lt;&lt;No media&gt;&gt;</v>
      </c>
      <c r="H10" t="str">
        <f t="shared" si="6"/>
        <v>009 INIT PATCH</v>
      </c>
      <c r="I10" t="str">
        <f t="shared" si="1"/>
        <v>009 SoundOnSound SYNTH FX</v>
      </c>
      <c r="J10" t="str">
        <f t="shared" si="7"/>
        <v>009 SA Dance Pno AC.PIANO</v>
      </c>
      <c r="K10" t="str">
        <f t="shared" si="2"/>
        <v>009 Searing COSM DIST.GUITAR</v>
      </c>
      <c r="L10" t="str">
        <f t="shared" si="3"/>
        <v>009 Spit Flugel AC.BRASS</v>
      </c>
      <c r="M10" t="str">
        <f t="shared" si="4"/>
        <v>009 AllinOneRiff TECHNO SYNTH</v>
      </c>
      <c r="N10" t="str">
        <f t="shared" si="5"/>
        <v>009 OB Rezo Pad BRIGHT PAD</v>
      </c>
    </row>
    <row r="11" spans="1:15" x14ac:dyDescent="0.25">
      <c r="A11" s="2" t="s">
        <v>3729</v>
      </c>
      <c r="B11" s="2" t="s">
        <v>3987</v>
      </c>
      <c r="C11" s="2" t="s">
        <v>4115</v>
      </c>
      <c r="D11" s="2" t="s">
        <v>4245</v>
      </c>
      <c r="E11" s="2" t="s">
        <v>4373</v>
      </c>
      <c r="F11" s="2" t="s">
        <v>4511</v>
      </c>
      <c r="G11" t="str">
        <f>IF(ROW()-1 &gt; 99,_xlfn.VALUETOTEXT(ROW()-1)&amp;" &lt;&lt;No media&gt;&gt;",IF(ROW()-1 &gt; 9, "0"&amp;_xlfn.VALUETOTEXT(ROW()-1)&amp;" &lt;&lt;No media&gt;&gt;","00"&amp;_xlfn.VALUETOTEXT(ROW()-1)&amp;" &lt;&lt;No media&gt;&gt;"))</f>
        <v>010 &lt;&lt;No media&gt;&gt;</v>
      </c>
      <c r="H11" t="str">
        <f t="shared" si="6"/>
        <v>010 INIT PATCH</v>
      </c>
      <c r="I11" t="str">
        <f t="shared" si="1"/>
        <v>010 DOC Stack OTHER SYNTH</v>
      </c>
      <c r="J11" t="str">
        <f t="shared" si="7"/>
        <v>010 FS E-Grand AC.PIANO</v>
      </c>
      <c r="K11" t="str">
        <f t="shared" si="2"/>
        <v>010 FS Loud Gtr DIST.GUITAR</v>
      </c>
      <c r="L11" t="str">
        <f t="shared" si="3"/>
        <v>010 Mute Tp /Mod AC.BRASS</v>
      </c>
      <c r="M11" t="str">
        <f t="shared" si="4"/>
        <v>010 YZ Again TECHNO SYNTH</v>
      </c>
      <c r="N11" t="str">
        <f t="shared" si="5"/>
        <v>010 Sonic Surfer BRIGHT PAD</v>
      </c>
    </row>
    <row r="12" spans="1:15" x14ac:dyDescent="0.25">
      <c r="A12" s="2" t="s">
        <v>3730</v>
      </c>
      <c r="B12" s="2" t="s">
        <v>3988</v>
      </c>
      <c r="C12" s="2" t="s">
        <v>4116</v>
      </c>
      <c r="D12" s="2" t="s">
        <v>4246</v>
      </c>
      <c r="E12" s="2" t="s">
        <v>4374</v>
      </c>
      <c r="F12" s="2" t="s">
        <v>4512</v>
      </c>
      <c r="G12" t="str">
        <f t="shared" ref="G12:G75" si="8">IF(ROW()-1 &gt; 99,_xlfn.VALUETOTEXT(ROW()-1)&amp;" &lt;&lt;No media&gt;&gt;",IF(ROW()-1 &gt; 9, "0"&amp;_xlfn.VALUETOTEXT(ROW()-1)&amp;" &lt;&lt;No media&gt;&gt;","00"&amp;_xlfn.VALUETOTEXT(ROW()-1)&amp;" &lt;&lt;No media&gt;&gt;"))</f>
        <v>011 &lt;&lt;No media&gt;&gt;</v>
      </c>
      <c r="H12" t="str">
        <f t="shared" si="6"/>
        <v>011 INIT PATCH</v>
      </c>
      <c r="I12" t="str">
        <f t="shared" si="1"/>
        <v>011 TB Wah TECHNO SYNTH</v>
      </c>
      <c r="J12" t="str">
        <f t="shared" si="7"/>
        <v>011 FS Blend Pno AC.PIANO</v>
      </c>
      <c r="K12" t="str">
        <f t="shared" si="2"/>
        <v>011 FS Plugged!! DIST.GUITAR</v>
      </c>
      <c r="L12" t="str">
        <f t="shared" si="3"/>
        <v>011 Harmon Mute AC.BRASS</v>
      </c>
      <c r="M12" t="str">
        <f t="shared" si="4"/>
        <v>011 Flazzy Lead TECHNO SYNTH</v>
      </c>
      <c r="N12" t="str">
        <f t="shared" si="5"/>
        <v>011 "2 Point 2" BRIGHT PAD</v>
      </c>
    </row>
    <row r="13" spans="1:15" x14ac:dyDescent="0.25">
      <c r="A13" s="2" t="s">
        <v>3731</v>
      </c>
      <c r="B13" s="2" t="s">
        <v>3989</v>
      </c>
      <c r="C13" s="2" t="s">
        <v>4117</v>
      </c>
      <c r="D13" s="2" t="s">
        <v>4247</v>
      </c>
      <c r="E13" s="2" t="s">
        <v>4375</v>
      </c>
      <c r="F13" s="2" t="s">
        <v>4513</v>
      </c>
      <c r="G13" t="str">
        <f t="shared" si="8"/>
        <v>012 &lt;&lt;No media&gt;&gt;</v>
      </c>
      <c r="H13" t="str">
        <f t="shared" si="6"/>
        <v>012 INIT PATCH</v>
      </c>
      <c r="I13" t="str">
        <f t="shared" si="1"/>
        <v>012 * PhaseDance BEAT&amp;GROOVE</v>
      </c>
      <c r="J13" t="str">
        <f t="shared" si="7"/>
        <v>012 LA Piano AC.PIANO</v>
      </c>
      <c r="K13" t="str">
        <f t="shared" si="2"/>
        <v>012 Punker 1 DIST.GUITAR</v>
      </c>
      <c r="L13" t="str">
        <f t="shared" si="3"/>
        <v>012 Soft Tb AC.BRASS</v>
      </c>
      <c r="M13" t="str">
        <f t="shared" si="4"/>
        <v>012 Coffee Bee TECHNO SYNTH</v>
      </c>
      <c r="N13" t="str">
        <f t="shared" si="5"/>
        <v>012 2.2 Pad BRIGHT PAD</v>
      </c>
    </row>
    <row r="14" spans="1:15" x14ac:dyDescent="0.25">
      <c r="A14" s="2" t="s">
        <v>3732</v>
      </c>
      <c r="B14" s="2" t="s">
        <v>3990</v>
      </c>
      <c r="C14" s="2" t="s">
        <v>4118</v>
      </c>
      <c r="D14" s="2" t="s">
        <v>4248</v>
      </c>
      <c r="E14" s="2" t="s">
        <v>4376</v>
      </c>
      <c r="F14" s="2" t="s">
        <v>4514</v>
      </c>
      <c r="G14" t="str">
        <f t="shared" si="8"/>
        <v>013 &lt;&lt;No media&gt;&gt;</v>
      </c>
      <c r="H14" t="str">
        <f t="shared" si="6"/>
        <v>013 INIT PATCH</v>
      </c>
      <c r="I14" t="str">
        <f t="shared" si="1"/>
        <v>013 Studio Sect. STRINGS</v>
      </c>
      <c r="J14" t="str">
        <f t="shared" si="7"/>
        <v>013 FS Rhodes EL.PIANO</v>
      </c>
      <c r="K14" t="str">
        <f t="shared" si="2"/>
        <v>013 FS PowerChd DIST.GUITAR</v>
      </c>
      <c r="L14" t="str">
        <f t="shared" si="3"/>
        <v>013 Solo Tb AC.BRASS</v>
      </c>
      <c r="M14" t="str">
        <f t="shared" si="4"/>
        <v>013 Sweet House TECHNO SYNTH</v>
      </c>
      <c r="N14" t="str">
        <f t="shared" si="5"/>
        <v>013 New Year Day BRIGHT PAD</v>
      </c>
    </row>
    <row r="15" spans="1:15" x14ac:dyDescent="0.25">
      <c r="A15" s="2" t="s">
        <v>3733</v>
      </c>
      <c r="B15" s="2" t="s">
        <v>3991</v>
      </c>
      <c r="C15" s="2" t="s">
        <v>4119</v>
      </c>
      <c r="D15" s="2" t="s">
        <v>4249</v>
      </c>
      <c r="E15" s="2" t="s">
        <v>4377</v>
      </c>
      <c r="F15" s="2" t="s">
        <v>4515</v>
      </c>
      <c r="G15" t="str">
        <f t="shared" si="8"/>
        <v>014 &lt;&lt;No media&gt;&gt;</v>
      </c>
      <c r="H15" t="str">
        <f t="shared" si="6"/>
        <v>014 INIT PATCH</v>
      </c>
      <c r="I15" t="str">
        <f t="shared" si="1"/>
        <v>014 Spirit Tines EL.PIANO</v>
      </c>
      <c r="J15" t="str">
        <f t="shared" si="7"/>
        <v>014 StageRhdTrem EL.PIANO</v>
      </c>
      <c r="K15" t="str">
        <f t="shared" si="2"/>
        <v>014 Punker 2 DIST.GUITAR</v>
      </c>
      <c r="L15" t="str">
        <f t="shared" si="3"/>
        <v>014 Solo Bone AC.BRASS</v>
      </c>
      <c r="M15" t="str">
        <f t="shared" si="4"/>
        <v>014 Alien Bubble TECHNO SYNTH</v>
      </c>
      <c r="N15" t="str">
        <f t="shared" si="5"/>
        <v>014 Mod Dare BRIGHT PAD</v>
      </c>
    </row>
    <row r="16" spans="1:15" x14ac:dyDescent="0.25">
      <c r="A16" s="2" t="s">
        <v>3734</v>
      </c>
      <c r="B16" s="2" t="s">
        <v>3992</v>
      </c>
      <c r="C16" s="2" t="s">
        <v>4120</v>
      </c>
      <c r="D16" s="2" t="s">
        <v>4250</v>
      </c>
      <c r="E16" s="2" t="s">
        <v>4378</v>
      </c>
      <c r="F16" s="2" t="s">
        <v>4516</v>
      </c>
      <c r="G16" t="str">
        <f t="shared" si="8"/>
        <v>015 &lt;&lt;No media&gt;&gt;</v>
      </c>
      <c r="H16" t="str">
        <f t="shared" si="6"/>
        <v>015 INIT PATCH</v>
      </c>
      <c r="I16" t="str">
        <f t="shared" si="1"/>
        <v>015 Sub Sonic SYNTH BASS</v>
      </c>
      <c r="J16" t="str">
        <f t="shared" si="7"/>
        <v>015 Back2the60s EL.PIANO</v>
      </c>
      <c r="K16" t="str">
        <f t="shared" si="2"/>
        <v>015 Ulti Ac Bass BASS</v>
      </c>
      <c r="L16" t="str">
        <f t="shared" si="3"/>
        <v>015 Grande Tuba AC.BRASS</v>
      </c>
      <c r="M16" t="str">
        <f t="shared" si="4"/>
        <v>015 LowFreqHit TECHNO SYNTH</v>
      </c>
      <c r="N16" t="str">
        <f t="shared" si="5"/>
        <v>015 Neuro-Drone BRIGHT PAD</v>
      </c>
    </row>
    <row r="17" spans="1:14" x14ac:dyDescent="0.25">
      <c r="A17" s="2" t="s">
        <v>3735</v>
      </c>
      <c r="B17" s="2" t="s">
        <v>3993</v>
      </c>
      <c r="C17" s="2" t="s">
        <v>4121</v>
      </c>
      <c r="D17" s="2" t="s">
        <v>4251</v>
      </c>
      <c r="E17" s="2" t="s">
        <v>4379</v>
      </c>
      <c r="F17" s="2" t="s">
        <v>4517</v>
      </c>
      <c r="G17" t="str">
        <f t="shared" si="8"/>
        <v>016 &lt;&lt;No media&gt;&gt;</v>
      </c>
      <c r="H17" t="str">
        <f t="shared" si="6"/>
        <v>016 INIT PATCH</v>
      </c>
      <c r="I17" t="str">
        <f t="shared" si="1"/>
        <v>016 Chaos 2003 SYNTH FX</v>
      </c>
      <c r="J17" t="str">
        <f t="shared" si="7"/>
        <v>016 Tine Rhodes EL.PIANO</v>
      </c>
      <c r="K17" t="str">
        <f t="shared" si="2"/>
        <v>016 Downright Bs BASS</v>
      </c>
      <c r="L17" t="str">
        <f t="shared" si="3"/>
        <v>016 FS Tuba AC.BRASS</v>
      </c>
      <c r="M17" t="str">
        <f t="shared" si="4"/>
        <v>016 Fred&amp;Barney TECHNO SYNTH</v>
      </c>
      <c r="N17" t="str">
        <f t="shared" si="5"/>
        <v>016 In The Pass BRIGHT PAD</v>
      </c>
    </row>
    <row r="18" spans="1:14" x14ac:dyDescent="0.25">
      <c r="A18" s="2" t="s">
        <v>3736</v>
      </c>
      <c r="B18" s="2" t="s">
        <v>3994</v>
      </c>
      <c r="C18" s="2" t="s">
        <v>4122</v>
      </c>
      <c r="D18" s="2" t="s">
        <v>4252</v>
      </c>
      <c r="E18" s="2" t="s">
        <v>4380</v>
      </c>
      <c r="F18" s="2" t="s">
        <v>4518</v>
      </c>
      <c r="G18" t="str">
        <f t="shared" si="8"/>
        <v>017 &lt;&lt;No media&gt;&gt;</v>
      </c>
      <c r="H18" t="str">
        <f t="shared" si="6"/>
        <v>017 INIT PATCH</v>
      </c>
      <c r="I18" t="str">
        <f t="shared" si="1"/>
        <v>017 BluesHrp V/S HARMONICA</v>
      </c>
      <c r="J18" t="str">
        <f t="shared" si="7"/>
        <v>017 LEO Rhodes EL.PIANO</v>
      </c>
      <c r="K18" t="str">
        <f t="shared" si="2"/>
        <v>017 Ultimo Bass BASS</v>
      </c>
      <c r="L18" t="str">
        <f t="shared" si="3"/>
        <v>017 StackTp Sect AC.BRASS</v>
      </c>
      <c r="M18" t="str">
        <f t="shared" si="4"/>
        <v>017 Periscope TECHNO SYNTH</v>
      </c>
      <c r="N18" t="str">
        <f t="shared" si="5"/>
        <v>017 Polar Night BRIGHT PAD</v>
      </c>
    </row>
    <row r="19" spans="1:14" x14ac:dyDescent="0.25">
      <c r="A19" s="2" t="s">
        <v>3737</v>
      </c>
      <c r="B19" s="2" t="s">
        <v>3995</v>
      </c>
      <c r="C19" s="2" t="s">
        <v>4123</v>
      </c>
      <c r="D19" s="2" t="s">
        <v>4253</v>
      </c>
      <c r="E19" s="2" t="s">
        <v>4381</v>
      </c>
      <c r="F19" s="2" t="s">
        <v>4519</v>
      </c>
      <c r="G19" t="str">
        <f t="shared" si="8"/>
        <v>018 &lt;&lt;No media&gt;&gt;</v>
      </c>
      <c r="H19" t="str">
        <f t="shared" si="6"/>
        <v>018 INIT PATCH</v>
      </c>
      <c r="I19" t="str">
        <f t="shared" si="1"/>
        <v>018 Cue Tip OTHER SYNTH</v>
      </c>
      <c r="J19" t="str">
        <f t="shared" si="7"/>
        <v>018 LonesomeRoad EL.PIANO</v>
      </c>
      <c r="K19" t="str">
        <f t="shared" si="2"/>
        <v>018 Roomy Bass BASS</v>
      </c>
      <c r="L19" t="str">
        <f t="shared" si="3"/>
        <v>018 Tb Section AC.BRASS</v>
      </c>
      <c r="M19" t="str">
        <f t="shared" si="4"/>
        <v>018 Electrostars TECHNO SYNTH</v>
      </c>
      <c r="N19" t="str">
        <f t="shared" si="5"/>
        <v>018 Electric Pad BRIGHT PAD</v>
      </c>
    </row>
    <row r="20" spans="1:14" x14ac:dyDescent="0.25">
      <c r="A20" s="2" t="s">
        <v>3738</v>
      </c>
      <c r="B20" s="2" t="s">
        <v>3996</v>
      </c>
      <c r="C20" s="2" t="s">
        <v>4124</v>
      </c>
      <c r="D20" s="2" t="s">
        <v>4254</v>
      </c>
      <c r="E20" s="2" t="s">
        <v>4382</v>
      </c>
      <c r="F20" s="2" t="s">
        <v>4520</v>
      </c>
      <c r="G20" t="str">
        <f t="shared" si="8"/>
        <v>019 &lt;&lt;No media&gt;&gt;</v>
      </c>
      <c r="H20" t="str">
        <f t="shared" si="6"/>
        <v>019 INIT PATCH</v>
      </c>
      <c r="I20" t="str">
        <f t="shared" si="1"/>
        <v>019 OilDrum Bass SYNTH BASS</v>
      </c>
      <c r="J20" t="str">
        <f t="shared" si="7"/>
        <v>019 Age´n´Tines EL.PIANO</v>
      </c>
      <c r="K20" t="str">
        <f t="shared" si="2"/>
        <v>019 Comp´d JBass BASS</v>
      </c>
      <c r="L20" t="str">
        <f t="shared" si="3"/>
        <v>019 TpTb Sect. AC.BRASS</v>
      </c>
      <c r="M20" t="str">
        <f t="shared" si="4"/>
        <v>019 Going Mad! TECHNO SYNTH</v>
      </c>
      <c r="N20" t="str">
        <f t="shared" si="5"/>
        <v>019 MistOver5ths BRIGHT PAD</v>
      </c>
    </row>
    <row r="21" spans="1:14" x14ac:dyDescent="0.25">
      <c r="A21" s="2" t="s">
        <v>3739</v>
      </c>
      <c r="B21" s="2" t="s">
        <v>3997</v>
      </c>
      <c r="C21" s="2" t="s">
        <v>4125</v>
      </c>
      <c r="D21" s="2" t="s">
        <v>4255</v>
      </c>
      <c r="E21" s="2" t="s">
        <v>4383</v>
      </c>
      <c r="F21" s="2" t="s">
        <v>4521</v>
      </c>
      <c r="G21" t="str">
        <f t="shared" si="8"/>
        <v>020 &lt;&lt;No media&gt;&gt;</v>
      </c>
      <c r="H21" t="str">
        <f t="shared" si="6"/>
        <v>020 INIT PATCH</v>
      </c>
      <c r="I21" t="str">
        <f t="shared" si="1"/>
        <v>020 Hellrazor PULSATING</v>
      </c>
      <c r="J21" t="str">
        <f t="shared" si="7"/>
        <v>020 Brill TremEP EL.PIANO</v>
      </c>
      <c r="K21" t="str">
        <f t="shared" si="2"/>
        <v>020 FingerMaster BASS</v>
      </c>
      <c r="L21" t="str">
        <f t="shared" si="3"/>
        <v>020 FS Brass AC.BRASS</v>
      </c>
      <c r="M21" t="str">
        <f t="shared" si="4"/>
        <v>020 LoFiSequence TECHNO SYNTH</v>
      </c>
      <c r="N21" t="str">
        <f t="shared" si="5"/>
        <v>020 Voyager BRIGHT PAD</v>
      </c>
    </row>
    <row r="22" spans="1:14" x14ac:dyDescent="0.25">
      <c r="A22" s="2" t="s">
        <v>3740</v>
      </c>
      <c r="B22" s="2" t="s">
        <v>3998</v>
      </c>
      <c r="C22" s="2" t="s">
        <v>4126</v>
      </c>
      <c r="D22" s="2" t="s">
        <v>4256</v>
      </c>
      <c r="E22" s="2" t="s">
        <v>4384</v>
      </c>
      <c r="F22" s="2" t="s">
        <v>4522</v>
      </c>
      <c r="G22" t="str">
        <f t="shared" si="8"/>
        <v>021 &lt;&lt;No media&gt;&gt;</v>
      </c>
      <c r="H22" t="str">
        <f t="shared" si="6"/>
        <v>021 INIT PATCH</v>
      </c>
      <c r="I22" t="str">
        <f t="shared" si="1"/>
        <v>021 Warm Pad Pno AC.PIANO</v>
      </c>
      <c r="J22" t="str">
        <f t="shared" si="7"/>
        <v>021 Crystal Rhd EL.PIANO</v>
      </c>
      <c r="K22" t="str">
        <f t="shared" si="2"/>
        <v>021 CompressBass BASS</v>
      </c>
      <c r="L22" t="str">
        <f t="shared" si="3"/>
        <v>021 DynamicBrass AC.BRASS</v>
      </c>
      <c r="M22" t="str">
        <f t="shared" si="4"/>
        <v>021 DreamInColor TECHNO SYNTH</v>
      </c>
      <c r="N22" t="str">
        <f t="shared" si="5"/>
        <v>021 Cosmic Rays BRIGHT PAD</v>
      </c>
    </row>
    <row r="23" spans="1:14" x14ac:dyDescent="0.25">
      <c r="A23" s="2" t="s">
        <v>3741</v>
      </c>
      <c r="B23" s="2" t="s">
        <v>3999</v>
      </c>
      <c r="C23" s="2" t="s">
        <v>4127</v>
      </c>
      <c r="D23" s="2" t="s">
        <v>4257</v>
      </c>
      <c r="E23" s="2" t="s">
        <v>4385</v>
      </c>
      <c r="F23" s="2" t="s">
        <v>4523</v>
      </c>
      <c r="G23" t="str">
        <f t="shared" si="8"/>
        <v>022 &lt;&lt;No media&gt;&gt;</v>
      </c>
      <c r="H23" t="str">
        <f t="shared" si="6"/>
        <v>022 INIT PATCH</v>
      </c>
      <c r="I23" t="str">
        <f t="shared" si="1"/>
        <v>022 LA Piano AC.PIANO</v>
      </c>
      <c r="J23" t="str">
        <f t="shared" si="7"/>
        <v>022 Celestial EP EL.PIANO</v>
      </c>
      <c r="K23" t="str">
        <f t="shared" si="2"/>
        <v>022 All Round Bs BASS</v>
      </c>
      <c r="L23" t="str">
        <f t="shared" si="3"/>
        <v>022 Tpts &amp; Tmbs AC.BRASS</v>
      </c>
      <c r="M23" t="str">
        <f t="shared" si="4"/>
        <v>022 MelodicDrums TECHNO SYNTH</v>
      </c>
      <c r="N23" t="str">
        <f t="shared" si="5"/>
        <v>022 Gritty Pad BRIGHT PAD</v>
      </c>
    </row>
    <row r="24" spans="1:14" x14ac:dyDescent="0.25">
      <c r="A24" s="2" t="s">
        <v>3742</v>
      </c>
      <c r="B24" s="2" t="s">
        <v>4000</v>
      </c>
      <c r="C24" s="2" t="s">
        <v>4128</v>
      </c>
      <c r="D24" s="2" t="s">
        <v>4258</v>
      </c>
      <c r="E24" s="2" t="s">
        <v>4386</v>
      </c>
      <c r="F24" s="2" t="s">
        <v>4524</v>
      </c>
      <c r="G24" t="str">
        <f t="shared" si="8"/>
        <v>023 &lt;&lt;No media&gt;&gt;</v>
      </c>
      <c r="H24" t="str">
        <f t="shared" si="6"/>
        <v>023 INIT PATCH</v>
      </c>
      <c r="I24" t="str">
        <f t="shared" si="1"/>
        <v>023 Warm Str Pno AC.PIANO</v>
      </c>
      <c r="J24" t="str">
        <f t="shared" si="7"/>
        <v>023 Spirit Tines EL.PIANO</v>
      </c>
      <c r="K24" t="str">
        <f t="shared" si="2"/>
        <v>023 R&amp;B Bs/Slide BASS</v>
      </c>
      <c r="L24" t="str">
        <f t="shared" si="3"/>
        <v>023 Brass &amp; Sax AC.BRASS</v>
      </c>
      <c r="M24" t="str">
        <f t="shared" si="4"/>
        <v>023 Techno Snips TECHNO SYNTH</v>
      </c>
      <c r="N24" t="str">
        <f t="shared" si="5"/>
        <v>023 Distant Sun BRIGHT PAD</v>
      </c>
    </row>
    <row r="25" spans="1:14" x14ac:dyDescent="0.25">
      <c r="A25" s="2" t="s">
        <v>3743</v>
      </c>
      <c r="B25" s="2" t="s">
        <v>4001</v>
      </c>
      <c r="C25" s="2" t="s">
        <v>4129</v>
      </c>
      <c r="D25" s="2" t="s">
        <v>4259</v>
      </c>
      <c r="E25" s="2" t="s">
        <v>4387</v>
      </c>
      <c r="F25" s="2" t="s">
        <v>4525</v>
      </c>
      <c r="G25" t="str">
        <f t="shared" si="8"/>
        <v>024 &lt;&lt;No media&gt;&gt;</v>
      </c>
      <c r="H25" t="str">
        <f t="shared" si="6"/>
        <v>024 INIT PATCH</v>
      </c>
      <c r="I25" t="str">
        <f t="shared" si="1"/>
        <v>024 Rapsody AC.PIANO</v>
      </c>
      <c r="J25" t="str">
        <f t="shared" si="7"/>
        <v>024 Psycho EP EL.PIANO</v>
      </c>
      <c r="K25" t="str">
        <f t="shared" si="2"/>
        <v>024 Thumb Up! BASS</v>
      </c>
      <c r="L25" t="str">
        <f t="shared" si="3"/>
        <v>024 BrassPartOut AC.BRASS</v>
      </c>
      <c r="M25" t="str">
        <f t="shared" si="4"/>
        <v>024 TB Wah TECHNO SYNTH</v>
      </c>
      <c r="N25" t="str">
        <f t="shared" si="5"/>
        <v>024 Filmscape BRIGHT PAD</v>
      </c>
    </row>
    <row r="26" spans="1:14" x14ac:dyDescent="0.25">
      <c r="A26" s="2" t="s">
        <v>3744</v>
      </c>
      <c r="B26" s="2" t="s">
        <v>4002</v>
      </c>
      <c r="C26" s="2" t="s">
        <v>4130</v>
      </c>
      <c r="D26" s="2" t="s">
        <v>4260</v>
      </c>
      <c r="E26" s="2" t="s">
        <v>4388</v>
      </c>
      <c r="F26" s="2" t="s">
        <v>4526</v>
      </c>
      <c r="G26" t="str">
        <f t="shared" si="8"/>
        <v>025 &lt;&lt;No media&gt;&gt;</v>
      </c>
      <c r="H26" t="str">
        <f t="shared" si="6"/>
        <v>025 INIT PATCH</v>
      </c>
      <c r="I26" t="str">
        <f t="shared" si="1"/>
        <v>025 JD-800 Piano AC.PIANO</v>
      </c>
      <c r="J26" t="str">
        <f t="shared" si="7"/>
        <v>025 Mk2 Stg phsr EL.PIANO</v>
      </c>
      <c r="K26" t="str">
        <f t="shared" si="2"/>
        <v>025 Tubby Mute BASS</v>
      </c>
      <c r="L26" t="str">
        <f t="shared" si="3"/>
        <v>025 Simple Tutti AC.BRASS</v>
      </c>
      <c r="M26" t="str">
        <f t="shared" si="4"/>
        <v>025 Waving TB303 TECHNO SYNTH</v>
      </c>
      <c r="N26" t="str">
        <f t="shared" si="5"/>
        <v>025 BillionStars BRIGHT PAD</v>
      </c>
    </row>
    <row r="27" spans="1:14" x14ac:dyDescent="0.25">
      <c r="A27" s="2" t="s">
        <v>3745</v>
      </c>
      <c r="B27" s="2" t="s">
        <v>4003</v>
      </c>
      <c r="C27" s="2" t="s">
        <v>4131</v>
      </c>
      <c r="D27" s="2" t="s">
        <v>4261</v>
      </c>
      <c r="E27" s="2" t="s">
        <v>4389</v>
      </c>
      <c r="F27" s="2" t="s">
        <v>4527</v>
      </c>
      <c r="G27" t="str">
        <f t="shared" si="8"/>
        <v>026 &lt;&lt;No media&gt;&gt;</v>
      </c>
      <c r="H27" t="str">
        <f t="shared" si="6"/>
        <v>026 INIT PATCH</v>
      </c>
      <c r="I27" t="str">
        <f t="shared" si="1"/>
        <v>026 LonesomeRoad EL.PIANO</v>
      </c>
      <c r="J27" t="str">
        <f t="shared" si="7"/>
        <v>026 SA Stacks EL.PIANO</v>
      </c>
      <c r="K27" t="str">
        <f t="shared" si="2"/>
        <v>026 Chicken Bass BASS</v>
      </c>
      <c r="L27" t="str">
        <f t="shared" si="3"/>
        <v>026 Full sForza AC.BRASS</v>
      </c>
      <c r="M27" t="str">
        <f t="shared" si="4"/>
        <v>026 Digi Seq TECHNO SYNTH</v>
      </c>
      <c r="N27" t="str">
        <f t="shared" si="5"/>
        <v>026 Sand Pad BRIGHT PAD</v>
      </c>
    </row>
    <row r="28" spans="1:14" x14ac:dyDescent="0.25">
      <c r="A28" s="2" t="s">
        <v>3746</v>
      </c>
      <c r="B28" s="2" t="s">
        <v>4004</v>
      </c>
      <c r="C28" s="2" t="s">
        <v>4132</v>
      </c>
      <c r="D28" s="2" t="s">
        <v>4262</v>
      </c>
      <c r="E28" s="2" t="s">
        <v>4390</v>
      </c>
      <c r="F28" s="2" t="s">
        <v>4528</v>
      </c>
      <c r="G28" t="str">
        <f t="shared" si="8"/>
        <v>027 &lt;&lt;No media&gt;&gt;</v>
      </c>
      <c r="H28" t="str">
        <f t="shared" si="6"/>
        <v>027 INIT PATCH</v>
      </c>
      <c r="I28" t="str">
        <f t="shared" si="1"/>
        <v>027 LEO Rhodes EL.PIANO</v>
      </c>
      <c r="J28" t="str">
        <f t="shared" si="7"/>
        <v>027 Backing PhEP EL.PIANO</v>
      </c>
      <c r="K28" t="str">
        <f t="shared" si="2"/>
        <v>027 Snug Bass BASS</v>
      </c>
      <c r="L28" t="str">
        <f t="shared" si="3"/>
        <v>027 F.Horns Sect AC.BRASS</v>
      </c>
      <c r="M28" t="str">
        <f t="shared" si="4"/>
        <v>027 Seq Saw TECHNO SYNTH</v>
      </c>
      <c r="N28" t="str">
        <f t="shared" si="5"/>
        <v>027 Fat Stacks BRIGHT PAD</v>
      </c>
    </row>
    <row r="29" spans="1:14" x14ac:dyDescent="0.25">
      <c r="A29" s="2" t="s">
        <v>3747</v>
      </c>
      <c r="B29" s="2" t="s">
        <v>4005</v>
      </c>
      <c r="C29" s="2" t="s">
        <v>4133</v>
      </c>
      <c r="D29" s="2" t="s">
        <v>4263</v>
      </c>
      <c r="E29" s="2" t="s">
        <v>4391</v>
      </c>
      <c r="F29" s="2" t="s">
        <v>4529</v>
      </c>
      <c r="G29" t="str">
        <f t="shared" si="8"/>
        <v>028 &lt;&lt;No media&gt;&gt;</v>
      </c>
      <c r="H29" t="str">
        <f t="shared" si="6"/>
        <v>028 INIT PATCH</v>
      </c>
      <c r="I29" t="str">
        <f t="shared" si="1"/>
        <v>028 Psycho EP EL.PIANO</v>
      </c>
      <c r="J29" t="str">
        <f t="shared" si="7"/>
        <v>028 Balladeer EL.PIANO</v>
      </c>
      <c r="K29" t="str">
        <f t="shared" si="2"/>
        <v>028 Return2Base! BASS</v>
      </c>
      <c r="L29" t="str">
        <f t="shared" si="3"/>
        <v>028 Stereo Brass AC.BRASS</v>
      </c>
      <c r="M29" t="str">
        <f t="shared" si="4"/>
        <v>028 Reso Seq Saw TECHNO SYNTH</v>
      </c>
      <c r="N29" t="str">
        <f t="shared" si="5"/>
        <v>028 ReverseSweep BRIGHT PAD</v>
      </c>
    </row>
    <row r="30" spans="1:14" x14ac:dyDescent="0.25">
      <c r="A30" s="2" t="s">
        <v>3748</v>
      </c>
      <c r="B30" s="2" t="s">
        <v>4006</v>
      </c>
      <c r="C30" s="2" t="s">
        <v>4134</v>
      </c>
      <c r="D30" s="2" t="s">
        <v>4264</v>
      </c>
      <c r="E30" s="2" t="s">
        <v>4392</v>
      </c>
      <c r="F30" s="2" t="s">
        <v>4530</v>
      </c>
      <c r="G30" t="str">
        <f t="shared" si="8"/>
        <v>029 &lt;&lt;No media&gt;&gt;</v>
      </c>
      <c r="H30" t="str">
        <f t="shared" si="6"/>
        <v>029 INIT PATCH</v>
      </c>
      <c r="I30" t="str">
        <f t="shared" si="1"/>
        <v>029 FM EPad EL.PIANO</v>
      </c>
      <c r="J30" t="str">
        <f t="shared" si="7"/>
        <v>029 Remember EL.PIANO</v>
      </c>
      <c r="K30" t="str">
        <f t="shared" si="2"/>
        <v>029 A Big Pick BASS</v>
      </c>
      <c r="L30" t="str">
        <f t="shared" si="3"/>
        <v>029 Brass Fall AC.BRASS</v>
      </c>
      <c r="M30" t="str">
        <f t="shared" si="4"/>
        <v>029 DetuneSeqSaw TECHNO SYNTH</v>
      </c>
      <c r="N30" t="str">
        <f t="shared" si="5"/>
        <v>029 HugeSoundMod BRIGHT PAD</v>
      </c>
    </row>
    <row r="31" spans="1:14" x14ac:dyDescent="0.25">
      <c r="A31" s="2" t="s">
        <v>3749</v>
      </c>
      <c r="B31" s="2" t="s">
        <v>4007</v>
      </c>
      <c r="C31" s="2" t="s">
        <v>4135</v>
      </c>
      <c r="D31" s="2" t="s">
        <v>4265</v>
      </c>
      <c r="E31" s="2" t="s">
        <v>4393</v>
      </c>
      <c r="F31" s="2" t="s">
        <v>4531</v>
      </c>
      <c r="G31" t="str">
        <f t="shared" si="8"/>
        <v>030 &lt;&lt;No media&gt;&gt;</v>
      </c>
      <c r="H31" t="str">
        <f t="shared" si="6"/>
        <v>030 INIT PATCH</v>
      </c>
      <c r="I31" t="str">
        <f t="shared" si="1"/>
        <v>030 Celestial EP EL.PIANO</v>
      </c>
      <c r="J31" t="str">
        <f t="shared" si="7"/>
        <v>030 FS Wurly EL.PIANO</v>
      </c>
      <c r="K31" t="str">
        <f t="shared" si="2"/>
        <v>030 Basement BASS</v>
      </c>
      <c r="L31" t="str">
        <f t="shared" si="3"/>
        <v>030 FS Saw Brass SYNTH BRASS</v>
      </c>
      <c r="M31" t="str">
        <f t="shared" si="4"/>
        <v>030 Technotribe TECHNO SYNTH</v>
      </c>
      <c r="N31" t="str">
        <f t="shared" si="5"/>
        <v>030 Metal Swell BRIGHT PAD</v>
      </c>
    </row>
    <row r="32" spans="1:14" x14ac:dyDescent="0.25">
      <c r="A32" s="2" t="s">
        <v>3750</v>
      </c>
      <c r="B32" s="2" t="s">
        <v>4008</v>
      </c>
      <c r="C32" s="2" t="s">
        <v>4136</v>
      </c>
      <c r="D32" s="2" t="s">
        <v>4266</v>
      </c>
      <c r="E32" s="2" t="s">
        <v>4394</v>
      </c>
      <c r="F32" s="2" t="s">
        <v>4532</v>
      </c>
      <c r="G32" t="str">
        <f t="shared" si="8"/>
        <v>031 &lt;&lt;No media&gt;&gt;</v>
      </c>
      <c r="H32" t="str">
        <f t="shared" si="6"/>
        <v>031 INIT PATCH</v>
      </c>
      <c r="I32" t="str">
        <f t="shared" si="1"/>
        <v>031 Super Wurly EL.PIANO</v>
      </c>
      <c r="J32" t="str">
        <f t="shared" si="7"/>
        <v>031 Wurly Trem EL.PIANO</v>
      </c>
      <c r="K32" t="str">
        <f t="shared" si="2"/>
        <v>031 FS Fretnot 1 BASS</v>
      </c>
      <c r="L32" t="str">
        <f t="shared" si="3"/>
        <v>031 Wide SynBrss SYNTH BRASS</v>
      </c>
      <c r="M32" t="str">
        <f t="shared" si="4"/>
        <v>031 MetalVoxBox TECHNO SYNTH</v>
      </c>
      <c r="N32" t="str">
        <f t="shared" si="5"/>
        <v>031 ShapeURMusic PULSATING</v>
      </c>
    </row>
    <row r="33" spans="1:14" x14ac:dyDescent="0.25">
      <c r="A33" s="2" t="s">
        <v>3751</v>
      </c>
      <c r="B33" s="2" t="s">
        <v>4009</v>
      </c>
      <c r="C33" s="2" t="s">
        <v>4137</v>
      </c>
      <c r="D33" s="2" t="s">
        <v>4267</v>
      </c>
      <c r="E33" s="2" t="s">
        <v>4395</v>
      </c>
      <c r="F33" s="2" t="s">
        <v>4533</v>
      </c>
      <c r="G33" t="str">
        <f t="shared" si="8"/>
        <v>032 &lt;&lt;No media&gt;&gt;</v>
      </c>
      <c r="H33" t="str">
        <f t="shared" si="6"/>
        <v>032 INIT PATCH</v>
      </c>
      <c r="I33" t="str">
        <f t="shared" si="1"/>
        <v>032 Remember EL.PIANO</v>
      </c>
      <c r="J33" t="str">
        <f t="shared" si="7"/>
        <v>032 Super Wurly EL.PIANO</v>
      </c>
      <c r="K33" t="str">
        <f t="shared" si="2"/>
        <v>032 FS Fretnot 2 BASS</v>
      </c>
      <c r="L33" t="str">
        <f t="shared" si="3"/>
        <v>032 DetuneSawBrs SYNTH BRASS</v>
      </c>
      <c r="M33" t="str">
        <f t="shared" si="4"/>
        <v>032 Teethy Grit TECHNO SYNTH</v>
      </c>
      <c r="N33" t="str">
        <f t="shared" si="5"/>
        <v>032 Synth Force PULSATING</v>
      </c>
    </row>
    <row r="34" spans="1:14" x14ac:dyDescent="0.25">
      <c r="A34" s="2" t="s">
        <v>3752</v>
      </c>
      <c r="B34" s="2" t="s">
        <v>4010</v>
      </c>
      <c r="C34" s="2" t="s">
        <v>4138</v>
      </c>
      <c r="D34" s="2" t="s">
        <v>4268</v>
      </c>
      <c r="E34" s="2" t="s">
        <v>4396</v>
      </c>
      <c r="F34" s="2" t="s">
        <v>4534</v>
      </c>
      <c r="G34" t="str">
        <f t="shared" si="8"/>
        <v>033 &lt;&lt;No media&gt;&gt;</v>
      </c>
      <c r="H34" t="str">
        <f t="shared" si="6"/>
        <v>033 INIT PATCH</v>
      </c>
      <c r="I34" t="str">
        <f t="shared" si="1"/>
        <v>033 Backing PhEP EL.PIANO</v>
      </c>
      <c r="J34" t="str">
        <f t="shared" si="7"/>
        <v>033 Pulse EPno EL.PIANO</v>
      </c>
      <c r="K34" t="str">
        <f t="shared" si="2"/>
        <v>033 RichFretless BASS</v>
      </c>
      <c r="L34" t="str">
        <f t="shared" si="3"/>
        <v>033 J-Pop Brass SYNTH BRASS</v>
      </c>
      <c r="M34" t="str">
        <f t="shared" si="4"/>
        <v>033 Repertition TECHNO SYNTH</v>
      </c>
      <c r="N34" t="str">
        <f t="shared" si="5"/>
        <v>033 Trance Split PULSATING</v>
      </c>
    </row>
    <row r="35" spans="1:14" x14ac:dyDescent="0.25">
      <c r="A35" s="2" t="s">
        <v>3753</v>
      </c>
      <c r="B35" s="2" t="s">
        <v>4011</v>
      </c>
      <c r="C35" s="2" t="s">
        <v>4139</v>
      </c>
      <c r="D35" s="2" t="s">
        <v>4269</v>
      </c>
      <c r="E35" s="2" t="s">
        <v>4397</v>
      </c>
      <c r="F35" s="2" t="s">
        <v>4535</v>
      </c>
      <c r="G35" t="str">
        <f t="shared" si="8"/>
        <v>034 &lt;&lt;No media&gt;&gt;</v>
      </c>
      <c r="H35" t="str">
        <f t="shared" si="6"/>
        <v>034 INIT PATCH</v>
      </c>
      <c r="I35" t="str">
        <f t="shared" si="1"/>
        <v>034 Phase Clavi KEYBOARDS</v>
      </c>
      <c r="J35" t="str">
        <f t="shared" si="7"/>
        <v>034 Fonky Fonky EL.PIANO</v>
      </c>
      <c r="K35" t="str">
        <f t="shared" si="2"/>
        <v>034 Got Pop? BASS</v>
      </c>
      <c r="L35" t="str">
        <f t="shared" si="3"/>
        <v>034 Brash! SYNTH BRASS</v>
      </c>
      <c r="M35" t="str">
        <f t="shared" si="4"/>
        <v>034 Jucy Saw OTHER SYNTH</v>
      </c>
      <c r="N35" t="str">
        <f t="shared" si="5"/>
        <v>034 Step Trance PULSATING</v>
      </c>
    </row>
    <row r="36" spans="1:14" x14ac:dyDescent="0.25">
      <c r="A36" s="2" t="s">
        <v>3754</v>
      </c>
      <c r="B36" s="2" t="s">
        <v>4012</v>
      </c>
      <c r="C36" s="2" t="s">
        <v>4140</v>
      </c>
      <c r="D36" s="2" t="s">
        <v>4270</v>
      </c>
      <c r="E36" s="2" t="s">
        <v>4398</v>
      </c>
      <c r="F36" s="2" t="s">
        <v>4536</v>
      </c>
      <c r="G36" t="str">
        <f t="shared" si="8"/>
        <v>035 &lt;&lt;No media&gt;&gt;</v>
      </c>
      <c r="H36" t="str">
        <f t="shared" si="6"/>
        <v>035 INIT PATCH</v>
      </c>
      <c r="I36" t="str">
        <f t="shared" si="1"/>
        <v>035 Cutter Clavi KEYBOARDS</v>
      </c>
      <c r="J36" t="str">
        <f t="shared" si="7"/>
        <v>035 FM Rhodes EL.PIANO</v>
      </c>
      <c r="K36" t="str">
        <f t="shared" si="2"/>
        <v>035 JBass v/Thmb BASS</v>
      </c>
      <c r="L36" t="str">
        <f t="shared" si="3"/>
        <v>035 Jump For KY SYNTH BRASS</v>
      </c>
      <c r="M36" t="str">
        <f t="shared" si="4"/>
        <v>035 Cue Tip OTHER SYNTH</v>
      </c>
      <c r="N36" t="str">
        <f t="shared" si="5"/>
        <v>035 Chop Synth PULSATING</v>
      </c>
    </row>
    <row r="37" spans="1:14" x14ac:dyDescent="0.25">
      <c r="A37" s="2" t="s">
        <v>3755</v>
      </c>
      <c r="B37" s="2" t="s">
        <v>4013</v>
      </c>
      <c r="C37" s="2" t="s">
        <v>4141</v>
      </c>
      <c r="D37" s="2" t="s">
        <v>4271</v>
      </c>
      <c r="E37" s="2" t="s">
        <v>4399</v>
      </c>
      <c r="F37" s="2" t="s">
        <v>4537</v>
      </c>
      <c r="G37" t="str">
        <f t="shared" si="8"/>
        <v>036 &lt;&lt;No media&gt;&gt;</v>
      </c>
      <c r="H37" t="str">
        <f t="shared" si="6"/>
        <v>036 INIT PATCH</v>
      </c>
      <c r="I37" t="str">
        <f t="shared" si="1"/>
        <v>036 D6 Clavi KEYBOARDS</v>
      </c>
      <c r="J37" t="str">
        <f t="shared" si="7"/>
        <v>036 FM-777 EL.PIANO</v>
      </c>
      <c r="K37" t="str">
        <f t="shared" si="2"/>
        <v>036 FS Slap Bass BASS</v>
      </c>
      <c r="L37" t="str">
        <f t="shared" si="3"/>
        <v>036 Neo SuperBrs SYNTH BRASS</v>
      </c>
      <c r="M37" t="str">
        <f t="shared" si="4"/>
        <v>036 TB-Sequence OTHER SYNTH</v>
      </c>
      <c r="N37" t="str">
        <f t="shared" si="5"/>
        <v>036 Euro Teuro PULSATING</v>
      </c>
    </row>
    <row r="38" spans="1:14" x14ac:dyDescent="0.25">
      <c r="A38" s="2" t="s">
        <v>3756</v>
      </c>
      <c r="B38" s="2" t="s">
        <v>4014</v>
      </c>
      <c r="C38" s="2" t="s">
        <v>4142</v>
      </c>
      <c r="D38" s="2" t="s">
        <v>4272</v>
      </c>
      <c r="E38" s="2" t="s">
        <v>4400</v>
      </c>
      <c r="F38" s="2" t="s">
        <v>4538</v>
      </c>
      <c r="G38" t="str">
        <f t="shared" si="8"/>
        <v>037 &lt;&lt;No media&gt;&gt;</v>
      </c>
      <c r="H38" t="str">
        <f t="shared" si="6"/>
        <v>037 INIT PATCH</v>
      </c>
      <c r="I38" t="str">
        <f t="shared" si="1"/>
        <v>037 Amadeus KEYBOARDS</v>
      </c>
      <c r="J38" t="str">
        <f t="shared" si="7"/>
        <v>037 FM EPad EL.PIANO</v>
      </c>
      <c r="K38" t="str">
        <f t="shared" si="2"/>
        <v>037 LEO Bass BASS</v>
      </c>
      <c r="L38" t="str">
        <f t="shared" si="3"/>
        <v>037 SoftSynBrass SYNTH BRASS</v>
      </c>
      <c r="M38" t="str">
        <f t="shared" si="4"/>
        <v>037 Europe Xpres OTHER SYNTH</v>
      </c>
      <c r="N38" t="str">
        <f t="shared" si="5"/>
        <v>037 Auto Trance PULSATING</v>
      </c>
    </row>
    <row r="39" spans="1:14" x14ac:dyDescent="0.25">
      <c r="A39" s="2" t="s">
        <v>3757</v>
      </c>
      <c r="B39" s="2" t="s">
        <v>4015</v>
      </c>
      <c r="C39" s="2" t="s">
        <v>4143</v>
      </c>
      <c r="D39" s="2" t="s">
        <v>4273</v>
      </c>
      <c r="E39" s="2" t="s">
        <v>4401</v>
      </c>
      <c r="F39" s="2" t="s">
        <v>4539</v>
      </c>
      <c r="G39" t="str">
        <f t="shared" si="8"/>
        <v>038 &lt;&lt;No media&gt;&gt;</v>
      </c>
      <c r="H39" t="str">
        <f t="shared" si="6"/>
        <v>038 INIT PATCH</v>
      </c>
      <c r="I39" t="str">
        <f t="shared" si="1"/>
        <v>038 FS Celesta KEYBOARDS</v>
      </c>
      <c r="J39" t="str">
        <f t="shared" si="7"/>
        <v>038 D6 Clavi KEYBOARDS</v>
      </c>
      <c r="K39" t="str">
        <f t="shared" si="2"/>
        <v>038 Smooth Bass SYNTH BASS</v>
      </c>
      <c r="L39" t="str">
        <f t="shared" si="3"/>
        <v>038 Silky JP SYNTH BRASS</v>
      </c>
      <c r="M39" t="str">
        <f t="shared" si="4"/>
        <v>038 Squeepy OTHER SYNTH</v>
      </c>
      <c r="N39" t="str">
        <f t="shared" si="5"/>
        <v>038 Eureggae PULSATING</v>
      </c>
    </row>
    <row r="40" spans="1:14" x14ac:dyDescent="0.25">
      <c r="A40" s="2" t="s">
        <v>3758</v>
      </c>
      <c r="B40" s="2" t="s">
        <v>4016</v>
      </c>
      <c r="C40" s="2" t="s">
        <v>4144</v>
      </c>
      <c r="D40" s="2" t="s">
        <v>4274</v>
      </c>
      <c r="E40" s="2" t="s">
        <v>4402</v>
      </c>
      <c r="F40" s="2" t="s">
        <v>4540</v>
      </c>
      <c r="G40" t="str">
        <f t="shared" si="8"/>
        <v>039 &lt;&lt;No media&gt;&gt;</v>
      </c>
      <c r="H40" t="str">
        <f t="shared" si="6"/>
        <v>039 INIT PATCH</v>
      </c>
      <c r="I40" t="str">
        <f t="shared" si="1"/>
        <v>039 FS Flat Bs SYNTH BASS</v>
      </c>
      <c r="J40" t="str">
        <f t="shared" si="7"/>
        <v>039 Cutter Clavi KEYBOARDS</v>
      </c>
      <c r="K40" t="str">
        <f t="shared" si="2"/>
        <v>039 MC-404 Bass SYNTH BASS</v>
      </c>
      <c r="L40" t="str">
        <f t="shared" si="3"/>
        <v>039 Silk Brs Pad SYNTH BRASS</v>
      </c>
      <c r="M40" t="str">
        <f t="shared" si="4"/>
        <v>039 Atmorave OTHER SYNTH</v>
      </c>
      <c r="N40" t="str">
        <f t="shared" si="5"/>
        <v>039 Sorry4theDLY PULSATING</v>
      </c>
    </row>
    <row r="41" spans="1:14" x14ac:dyDescent="0.25">
      <c r="A41" s="2" t="s">
        <v>3759</v>
      </c>
      <c r="B41" s="2" t="s">
        <v>4017</v>
      </c>
      <c r="C41" s="2" t="s">
        <v>4145</v>
      </c>
      <c r="D41" s="2" t="s">
        <v>4275</v>
      </c>
      <c r="E41" s="2" t="s">
        <v>4403</v>
      </c>
      <c r="F41" s="2" t="s">
        <v>4541</v>
      </c>
      <c r="G41" t="str">
        <f t="shared" si="8"/>
        <v>040 &lt;&lt;No media&gt;&gt;</v>
      </c>
      <c r="H41" t="str">
        <f t="shared" si="6"/>
        <v>040 INIT PATCH</v>
      </c>
      <c r="I41" t="str">
        <f t="shared" si="1"/>
        <v>040 R&amp;B Bass 2 SYNTH BASS</v>
      </c>
      <c r="J41" t="str">
        <f t="shared" si="7"/>
        <v>040 FS Clavi KEYBOARDS</v>
      </c>
      <c r="K41" t="str">
        <f t="shared" si="2"/>
        <v>040 SH-101 Bs 1 SYNTH BASS</v>
      </c>
      <c r="L41" t="str">
        <f t="shared" si="3"/>
        <v>040 FatSynBrass SYNTH BRASS</v>
      </c>
      <c r="M41" t="str">
        <f t="shared" si="4"/>
        <v>040 DOC Stack OTHER SYNTH</v>
      </c>
      <c r="N41" t="str">
        <f t="shared" si="5"/>
        <v>040 Beat Pad PULSATING</v>
      </c>
    </row>
    <row r="42" spans="1:14" x14ac:dyDescent="0.25">
      <c r="A42" s="2" t="s">
        <v>3760</v>
      </c>
      <c r="B42" s="2" t="s">
        <v>4018</v>
      </c>
      <c r="C42" s="2" t="s">
        <v>4146</v>
      </c>
      <c r="D42" s="2" t="s">
        <v>4276</v>
      </c>
      <c r="E42" s="2" t="s">
        <v>4404</v>
      </c>
      <c r="F42" s="2" t="s">
        <v>4542</v>
      </c>
      <c r="G42" t="str">
        <f t="shared" si="8"/>
        <v>041 &lt;&lt;No media&gt;&gt;</v>
      </c>
      <c r="H42" t="str">
        <f t="shared" si="6"/>
        <v>041 INIT PATCH</v>
      </c>
      <c r="I42" t="str">
        <f t="shared" si="1"/>
        <v>041 Punch MG 1 SYNTH BASS</v>
      </c>
      <c r="J42" t="str">
        <f t="shared" si="7"/>
        <v>041 Funky D KEYBOARDS</v>
      </c>
      <c r="K42" t="str">
        <f t="shared" si="2"/>
        <v>041 FS Syn Bass1 SYNTH BASS</v>
      </c>
      <c r="L42" t="str">
        <f t="shared" si="3"/>
        <v>041 Soprano Sax SAX</v>
      </c>
      <c r="M42" t="str">
        <f t="shared" si="4"/>
        <v>041 Sweep Lead OTHER SYNTH</v>
      </c>
      <c r="N42" t="str">
        <f t="shared" si="5"/>
        <v>041 FS ResoStep PULSATING</v>
      </c>
    </row>
    <row r="43" spans="1:14" x14ac:dyDescent="0.25">
      <c r="A43" s="2" t="s">
        <v>3761</v>
      </c>
      <c r="B43" s="2" t="s">
        <v>4019</v>
      </c>
      <c r="C43" s="2" t="s">
        <v>4147</v>
      </c>
      <c r="D43" s="2" t="s">
        <v>4277</v>
      </c>
      <c r="E43" s="2" t="s">
        <v>4405</v>
      </c>
      <c r="F43" s="2" t="s">
        <v>4543</v>
      </c>
      <c r="G43" t="str">
        <f t="shared" si="8"/>
        <v>042 &lt;&lt;No media&gt;&gt;</v>
      </c>
      <c r="H43" t="str">
        <f t="shared" si="6"/>
        <v>042 INIT PATCH</v>
      </c>
      <c r="I43" t="str">
        <f t="shared" si="1"/>
        <v>042 Punch MG 2 SYNTH BASS</v>
      </c>
      <c r="J43" t="str">
        <f t="shared" si="7"/>
        <v>042 Phase Clavi KEYBOARDS</v>
      </c>
      <c r="K43" t="str">
        <f t="shared" si="2"/>
        <v>042 Electro Rubb SYNTH BASS</v>
      </c>
      <c r="L43" t="str">
        <f t="shared" si="3"/>
        <v>042 Solo Sop Sax SAX</v>
      </c>
      <c r="M43" t="str">
        <f t="shared" si="4"/>
        <v>042 Digitaless OTHER SYNTH</v>
      </c>
      <c r="N43" t="str">
        <f t="shared" si="5"/>
        <v>042 TMT Seq Pad PULSATING</v>
      </c>
    </row>
    <row r="44" spans="1:14" x14ac:dyDescent="0.25">
      <c r="A44" s="2" t="s">
        <v>3762</v>
      </c>
      <c r="B44" s="2" t="s">
        <v>4020</v>
      </c>
      <c r="C44" s="2" t="s">
        <v>4148</v>
      </c>
      <c r="D44" s="2" t="s">
        <v>4278</v>
      </c>
      <c r="E44" s="2" t="s">
        <v>4406</v>
      </c>
      <c r="F44" s="2" t="s">
        <v>4544</v>
      </c>
      <c r="G44" t="str">
        <f t="shared" si="8"/>
        <v>043 &lt;&lt;No media&gt;&gt;</v>
      </c>
      <c r="H44" t="str">
        <f t="shared" si="6"/>
        <v>043 INIT PATCH</v>
      </c>
      <c r="I44" t="str">
        <f t="shared" si="1"/>
        <v>043 V.Form Bass SYNTH BASS</v>
      </c>
      <c r="J44" t="str">
        <f t="shared" si="7"/>
        <v>043 BPF Clavi Ph KEYBOARDS</v>
      </c>
      <c r="K44" t="str">
        <f t="shared" si="2"/>
        <v>043 R&amp;B Bass 1 SYNTH BASS</v>
      </c>
      <c r="L44" t="str">
        <f t="shared" si="3"/>
        <v>043 Alto mp SAX</v>
      </c>
      <c r="M44" t="str">
        <f t="shared" si="4"/>
        <v>043 Flip Pad OTHER SYNTH</v>
      </c>
      <c r="N44" t="str">
        <f t="shared" si="5"/>
        <v>043 ZipDoggyDoDa PULSATING</v>
      </c>
    </row>
    <row r="45" spans="1:14" x14ac:dyDescent="0.25">
      <c r="A45" s="2" t="s">
        <v>3763</v>
      </c>
      <c r="B45" s="2" t="s">
        <v>4021</v>
      </c>
      <c r="C45" s="2" t="s">
        <v>4149</v>
      </c>
      <c r="D45" s="2" t="s">
        <v>4279</v>
      </c>
      <c r="E45" s="2" t="s">
        <v>4407</v>
      </c>
      <c r="F45" s="2" t="s">
        <v>4545</v>
      </c>
      <c r="G45" t="str">
        <f t="shared" si="8"/>
        <v>044 &lt;&lt;No media&gt;&gt;</v>
      </c>
      <c r="H45" t="str">
        <f t="shared" si="6"/>
        <v>044 INIT PATCH</v>
      </c>
      <c r="I45" t="str">
        <f t="shared" si="1"/>
        <v>044 FS Acid Bs SYNTH BASS</v>
      </c>
      <c r="J45" t="str">
        <f t="shared" si="7"/>
        <v>044 Pulse Clavi KEYBOARDS</v>
      </c>
      <c r="K45" t="str">
        <f t="shared" si="2"/>
        <v>044 Enorjizor SYNTH BASS</v>
      </c>
      <c r="L45" t="str">
        <f t="shared" si="3"/>
        <v>044 Alto Sax SAX</v>
      </c>
      <c r="M45" t="str">
        <f t="shared" si="4"/>
        <v>044 Short Detune OTHER SYNTH</v>
      </c>
      <c r="N45" t="str">
        <f t="shared" si="5"/>
        <v>044 ForYourBreak PULSATING</v>
      </c>
    </row>
    <row r="46" spans="1:14" x14ac:dyDescent="0.25">
      <c r="A46" s="2" t="s">
        <v>3764</v>
      </c>
      <c r="B46" s="2" t="s">
        <v>4022</v>
      </c>
      <c r="C46" s="2" t="s">
        <v>4150</v>
      </c>
      <c r="D46" s="2" t="s">
        <v>4280</v>
      </c>
      <c r="E46" s="2" t="s">
        <v>4408</v>
      </c>
      <c r="F46" s="2" t="s">
        <v>4546</v>
      </c>
      <c r="G46" t="str">
        <f t="shared" si="8"/>
        <v>045 &lt;&lt;No media&gt;&gt;</v>
      </c>
      <c r="H46" t="str">
        <f t="shared" si="6"/>
        <v>045 INIT PATCH</v>
      </c>
      <c r="I46" t="str">
        <f t="shared" si="1"/>
        <v>045 SQ Pan SYNTH BASS</v>
      </c>
      <c r="J46" t="str">
        <f t="shared" si="7"/>
        <v>045 Analog Clavi KEYBOARDS</v>
      </c>
      <c r="K46" t="str">
        <f t="shared" si="2"/>
        <v>045 LowFat Bass SYNTH BASS</v>
      </c>
      <c r="L46" t="str">
        <f t="shared" si="3"/>
        <v>045 Solo AltoSax SAX</v>
      </c>
      <c r="M46" t="str">
        <f t="shared" si="4"/>
        <v>045 forSequence OTHER SYNTH</v>
      </c>
      <c r="N46" t="str">
        <f t="shared" si="5"/>
        <v>045 HPF Slicer PULSATING</v>
      </c>
    </row>
    <row r="47" spans="1:14" x14ac:dyDescent="0.25">
      <c r="A47" s="2" t="s">
        <v>3765</v>
      </c>
      <c r="B47" s="2" t="s">
        <v>4023</v>
      </c>
      <c r="C47" s="2" t="s">
        <v>4151</v>
      </c>
      <c r="D47" s="2" t="s">
        <v>4281</v>
      </c>
      <c r="E47" s="2" t="s">
        <v>4409</v>
      </c>
      <c r="F47" s="2" t="s">
        <v>4547</v>
      </c>
      <c r="G47" t="str">
        <f t="shared" si="8"/>
        <v>046 &lt;&lt;No media&gt;&gt;</v>
      </c>
      <c r="H47" t="str">
        <f t="shared" si="6"/>
        <v>046 INIT PATCH</v>
      </c>
      <c r="I47" t="str">
        <f t="shared" si="1"/>
        <v>046 Foundation SYNTH BASS</v>
      </c>
      <c r="J47" t="str">
        <f t="shared" si="7"/>
        <v>046 Reso Clavi KEYBOARDS</v>
      </c>
      <c r="K47" t="str">
        <f t="shared" si="2"/>
        <v>046 Doze Bass SYNTH BASS</v>
      </c>
      <c r="L47" t="str">
        <f t="shared" si="3"/>
        <v>046 AltoLead Sax SAX</v>
      </c>
      <c r="M47" t="str">
        <f t="shared" si="4"/>
        <v>046 Memory Pluck OTHER SYNTH</v>
      </c>
      <c r="N47" t="str">
        <f t="shared" si="5"/>
        <v>046 DarknessSide PULSATING</v>
      </c>
    </row>
    <row r="48" spans="1:14" x14ac:dyDescent="0.25">
      <c r="A48" s="2" t="s">
        <v>3766</v>
      </c>
      <c r="B48" s="2" t="s">
        <v>4024</v>
      </c>
      <c r="C48" s="2" t="s">
        <v>4152</v>
      </c>
      <c r="D48" s="2" t="s">
        <v>4282</v>
      </c>
      <c r="E48" s="2" t="s">
        <v>4410</v>
      </c>
      <c r="F48" s="2" t="s">
        <v>4548</v>
      </c>
      <c r="G48" t="str">
        <f t="shared" si="8"/>
        <v>047 &lt;&lt;No media&gt;&gt;</v>
      </c>
      <c r="H48" t="str">
        <f t="shared" si="6"/>
        <v>047 INIT PATCH</v>
      </c>
      <c r="I48" t="str">
        <f t="shared" si="1"/>
        <v>047 FS Unison Bs SYNTH BASS</v>
      </c>
      <c r="J48" t="str">
        <f t="shared" si="7"/>
        <v>047 Harpsy Clavi KEYBOARDS</v>
      </c>
      <c r="K48" t="str">
        <f t="shared" si="2"/>
        <v>047 FS Flat Bs SYNTH BASS</v>
      </c>
      <c r="L48" t="str">
        <f t="shared" si="3"/>
        <v>047 Tenor Sax SAX</v>
      </c>
      <c r="M48" t="str">
        <f t="shared" si="4"/>
        <v>047 Metalic Bass OTHER SYNTH</v>
      </c>
      <c r="N48" t="str">
        <f t="shared" si="5"/>
        <v>047 Sliced Choir PULSATING</v>
      </c>
    </row>
    <row r="49" spans="1:14" x14ac:dyDescent="0.25">
      <c r="A49" s="2" t="s">
        <v>3767</v>
      </c>
      <c r="B49" s="2" t="s">
        <v>4025</v>
      </c>
      <c r="C49" s="2" t="s">
        <v>4153</v>
      </c>
      <c r="D49" s="2" t="s">
        <v>4283</v>
      </c>
      <c r="E49" s="2" t="s">
        <v>4411</v>
      </c>
      <c r="F49" s="2" t="s">
        <v>4549</v>
      </c>
      <c r="G49" t="str">
        <f t="shared" si="8"/>
        <v>048 &lt;&lt;No media&gt;&gt;</v>
      </c>
      <c r="H49" t="str">
        <f t="shared" si="6"/>
        <v>048 INIT PATCH</v>
      </c>
      <c r="I49" t="str">
        <f t="shared" si="1"/>
        <v>048 Lo Bass SYNTH BASS</v>
      </c>
      <c r="J49" t="str">
        <f t="shared" si="7"/>
        <v>048 FS Harpsi KEYBOARDS</v>
      </c>
      <c r="K49" t="str">
        <f t="shared" si="2"/>
        <v>048 Saw&amp;MG Bass SYNTH BASS</v>
      </c>
      <c r="L49" t="str">
        <f t="shared" si="3"/>
        <v>048 Fat TenorSax SAX</v>
      </c>
      <c r="M49" t="str">
        <f t="shared" si="4"/>
        <v>048 Aqua OTHER SYNTH</v>
      </c>
      <c r="N49" t="str">
        <f t="shared" si="5"/>
        <v>048 Digi-Doo PULSATING</v>
      </c>
    </row>
    <row r="50" spans="1:14" x14ac:dyDescent="0.25">
      <c r="A50" s="2" t="s">
        <v>3768</v>
      </c>
      <c r="B50" s="2" t="s">
        <v>4026</v>
      </c>
      <c r="C50" s="2" t="s">
        <v>4154</v>
      </c>
      <c r="D50" s="2" t="s">
        <v>4284</v>
      </c>
      <c r="E50" s="2" t="s">
        <v>4412</v>
      </c>
      <c r="F50" s="2" t="s">
        <v>4550</v>
      </c>
      <c r="G50" t="str">
        <f t="shared" si="8"/>
        <v>049 &lt;&lt;No media&gt;&gt;</v>
      </c>
      <c r="H50" t="str">
        <f t="shared" si="6"/>
        <v>049 INIT PATCH</v>
      </c>
      <c r="I50" t="str">
        <f t="shared" si="1"/>
        <v>049 Solid Goa SYNTH BASS</v>
      </c>
      <c r="J50" t="str">
        <f t="shared" si="7"/>
        <v>049 Amadeus KEYBOARDS</v>
      </c>
      <c r="K50" t="str">
        <f t="shared" si="2"/>
        <v>049 R&amp;B Bass 2 SYNTH BASS</v>
      </c>
      <c r="L50" t="str">
        <f t="shared" si="3"/>
        <v>049 Baritone Sax SAX</v>
      </c>
      <c r="M50" t="str">
        <f t="shared" si="4"/>
        <v>049 Big Planet OTHER SYNTH</v>
      </c>
      <c r="N50" t="str">
        <f t="shared" si="5"/>
        <v>049 PanningFrmnt PULSATING</v>
      </c>
    </row>
    <row r="51" spans="1:14" x14ac:dyDescent="0.25">
      <c r="A51" s="2" t="s">
        <v>3769</v>
      </c>
      <c r="B51" s="2" t="s">
        <v>4027</v>
      </c>
      <c r="C51" s="2" t="s">
        <v>4155</v>
      </c>
      <c r="D51" s="2" t="s">
        <v>4285</v>
      </c>
      <c r="E51" s="2" t="s">
        <v>4413</v>
      </c>
      <c r="F51" s="2" t="s">
        <v>4551</v>
      </c>
      <c r="G51" t="str">
        <f t="shared" si="8"/>
        <v>050 &lt;&lt;No media&gt;&gt;</v>
      </c>
      <c r="H51" t="str">
        <f t="shared" si="6"/>
        <v>050 INIT PATCH</v>
      </c>
      <c r="I51" t="str">
        <f t="shared" si="1"/>
        <v>050 Loco Voco SYNTH BASS</v>
      </c>
      <c r="J51" t="str">
        <f t="shared" si="7"/>
        <v>050 FS Celesta KEYBOARDS</v>
      </c>
      <c r="K51" t="str">
        <f t="shared" si="2"/>
        <v>050 Foundation SYNTH BASS</v>
      </c>
      <c r="L51" t="str">
        <f t="shared" si="3"/>
        <v>050 Sax Sect. 1 SAX</v>
      </c>
      <c r="M51" t="str">
        <f t="shared" si="4"/>
        <v>050 Wet Atax OTHER SYNTH</v>
      </c>
      <c r="N51" t="str">
        <f t="shared" si="5"/>
        <v>050 Dirty Beat PULSATING</v>
      </c>
    </row>
    <row r="52" spans="1:14" x14ac:dyDescent="0.25">
      <c r="A52" s="2" t="s">
        <v>3770</v>
      </c>
      <c r="B52" s="2" t="s">
        <v>4028</v>
      </c>
      <c r="C52" s="2" t="s">
        <v>4156</v>
      </c>
      <c r="D52" s="2" t="s">
        <v>4286</v>
      </c>
      <c r="E52" s="2" t="s">
        <v>4414</v>
      </c>
      <c r="F52" s="2" t="s">
        <v>4552</v>
      </c>
      <c r="G52" t="str">
        <f t="shared" si="8"/>
        <v>051 &lt;&lt;No media&gt;&gt;</v>
      </c>
      <c r="H52" t="str">
        <f t="shared" si="6"/>
        <v>051 INIT PATCH</v>
      </c>
      <c r="I52" t="str">
        <f t="shared" si="1"/>
        <v>051 Electro Rubb SYNTH BASS</v>
      </c>
      <c r="J52" t="str">
        <f t="shared" si="7"/>
        <v>051 FS Glocken BELL</v>
      </c>
      <c r="K52" t="str">
        <f t="shared" si="2"/>
        <v>051 R&amp;B Bass 3 SYNTH BASS</v>
      </c>
      <c r="L52" t="str">
        <f t="shared" si="3"/>
        <v>051 Sax Sect. 2 SAX</v>
      </c>
      <c r="M52" t="str">
        <f t="shared" si="4"/>
        <v>051 Houze Clavi OTHER SYNTH</v>
      </c>
      <c r="N52" t="str">
        <f t="shared" si="5"/>
        <v>051 Hellrazor PULSATING</v>
      </c>
    </row>
    <row r="53" spans="1:14" x14ac:dyDescent="0.25">
      <c r="A53" s="2" t="s">
        <v>3771</v>
      </c>
      <c r="B53" s="2" t="s">
        <v>4029</v>
      </c>
      <c r="C53" s="2" t="s">
        <v>4157</v>
      </c>
      <c r="D53" s="2" t="s">
        <v>4287</v>
      </c>
      <c r="E53" s="2" t="s">
        <v>4415</v>
      </c>
      <c r="F53" s="2" t="s">
        <v>4553</v>
      </c>
      <c r="G53" t="str">
        <f t="shared" si="8"/>
        <v>052 &lt;&lt;No media&gt;&gt;</v>
      </c>
      <c r="H53" t="str">
        <f t="shared" si="6"/>
        <v>052 INIT PATCH</v>
      </c>
      <c r="I53" t="str">
        <f t="shared" si="1"/>
        <v>052 TexturedBusy SYNTH BASS</v>
      </c>
      <c r="J53" t="str">
        <f t="shared" si="7"/>
        <v>052 Music Bells BELL</v>
      </c>
      <c r="K53" t="str">
        <f t="shared" si="2"/>
        <v>052 HipHop Bs 1 SYNTH BASS</v>
      </c>
      <c r="L53" t="str">
        <f t="shared" si="3"/>
        <v>052 Horny Sax SAX</v>
      </c>
      <c r="M53" t="str">
        <f t="shared" si="4"/>
        <v>052 SuperSawSlow OTHER SYNTH</v>
      </c>
      <c r="N53" t="str">
        <f t="shared" si="5"/>
        <v>052 Electrons PULSATING</v>
      </c>
    </row>
    <row r="54" spans="1:14" x14ac:dyDescent="0.25">
      <c r="A54" s="2" t="s">
        <v>3772</v>
      </c>
      <c r="B54" s="2" t="s">
        <v>4030</v>
      </c>
      <c r="C54" s="2" t="s">
        <v>4158</v>
      </c>
      <c r="D54" s="2" t="s">
        <v>4288</v>
      </c>
      <c r="E54" s="2" t="s">
        <v>4416</v>
      </c>
      <c r="F54" s="2" t="s">
        <v>4554</v>
      </c>
      <c r="G54" t="str">
        <f t="shared" si="8"/>
        <v>053 &lt;&lt;No media&gt;&gt;</v>
      </c>
      <c r="H54" t="str">
        <f t="shared" si="6"/>
        <v>053 INIT PATCH</v>
      </c>
      <c r="I54" t="str">
        <f t="shared" si="1"/>
        <v>053 Unplug it! SYNTH BASS</v>
      </c>
      <c r="J54" t="str">
        <f t="shared" si="7"/>
        <v>053 FS Musicbox BELL</v>
      </c>
      <c r="K54" t="str">
        <f t="shared" si="2"/>
        <v>053 HipHop Bs 2 SYNTH BASS</v>
      </c>
      <c r="L54" t="str">
        <f t="shared" si="3"/>
        <v>053 R&amp;B TriLead SOFT LEAD</v>
      </c>
      <c r="M54" t="str">
        <f t="shared" si="4"/>
        <v>053 TranceSaws OTHER SYNTH</v>
      </c>
      <c r="N54" t="str">
        <f t="shared" si="5"/>
        <v>053 Protons PULSATING</v>
      </c>
    </row>
    <row r="55" spans="1:14" x14ac:dyDescent="0.25">
      <c r="A55" s="2" t="s">
        <v>3773</v>
      </c>
      <c r="B55" s="2" t="s">
        <v>4031</v>
      </c>
      <c r="C55" s="2" t="s">
        <v>4159</v>
      </c>
      <c r="D55" s="2" t="s">
        <v>4289</v>
      </c>
      <c r="E55" s="2" t="s">
        <v>4417</v>
      </c>
      <c r="F55" s="2" t="s">
        <v>4555</v>
      </c>
      <c r="G55" t="str">
        <f t="shared" si="8"/>
        <v>054 &lt;&lt;No media&gt;&gt;</v>
      </c>
      <c r="H55" t="str">
        <f t="shared" si="6"/>
        <v>054 INIT PATCH</v>
      </c>
      <c r="I55" t="str">
        <f t="shared" si="1"/>
        <v>054 S&amp;H Bass SYNTH BASS</v>
      </c>
      <c r="J55" t="str">
        <f t="shared" si="7"/>
        <v>054 MuBox Pad BELL</v>
      </c>
      <c r="K55" t="str">
        <f t="shared" si="2"/>
        <v>054 Solid Goa SYNTH BASS</v>
      </c>
      <c r="L55" t="str">
        <f t="shared" si="3"/>
        <v>054 PeakArpSine SOFT LEAD</v>
      </c>
      <c r="M55" t="str">
        <f t="shared" si="4"/>
        <v>054 Trancy Synth OTHER SYNTH</v>
      </c>
      <c r="N55" t="str">
        <f t="shared" si="5"/>
        <v>054 FS Alpha Rave PULSATING</v>
      </c>
    </row>
    <row r="56" spans="1:14" x14ac:dyDescent="0.25">
      <c r="A56" s="2" t="s">
        <v>3774</v>
      </c>
      <c r="B56" s="2" t="s">
        <v>4032</v>
      </c>
      <c r="C56" s="2" t="s">
        <v>4160</v>
      </c>
      <c r="D56" s="2" t="s">
        <v>4290</v>
      </c>
      <c r="E56" s="2" t="s">
        <v>4418</v>
      </c>
      <c r="F56" s="2" t="s">
        <v>4556</v>
      </c>
      <c r="G56" t="str">
        <f t="shared" si="8"/>
        <v>055 &lt;&lt;No media&gt;&gt;</v>
      </c>
      <c r="H56" t="str">
        <f t="shared" si="6"/>
        <v>055 INIT PATCH</v>
      </c>
      <c r="I56" t="str">
        <f t="shared" si="1"/>
        <v>055 Return2Base! BASS</v>
      </c>
      <c r="J56" t="str">
        <f t="shared" si="7"/>
        <v>055 Kalimbells BELL</v>
      </c>
      <c r="K56" t="str">
        <f t="shared" si="2"/>
        <v>055 ResoSyn Bs 1 SYNTH BASS</v>
      </c>
      <c r="L56" t="str">
        <f t="shared" si="3"/>
        <v>055 Theramax SOFT LEAD</v>
      </c>
      <c r="M56" t="str">
        <f t="shared" si="4"/>
        <v>055 Saw Stack OTHER SYNTH</v>
      </c>
      <c r="N56" t="str">
        <f t="shared" si="5"/>
        <v>055 Brisk Vortex PULSATING</v>
      </c>
    </row>
    <row r="57" spans="1:14" x14ac:dyDescent="0.25">
      <c r="A57" s="2" t="s">
        <v>3775</v>
      </c>
      <c r="B57" s="2" t="s">
        <v>4033</v>
      </c>
      <c r="C57" s="2" t="s">
        <v>4161</v>
      </c>
      <c r="D57" s="2" t="s">
        <v>4291</v>
      </c>
      <c r="E57" s="2" t="s">
        <v>4419</v>
      </c>
      <c r="F57" s="2" t="s">
        <v>4557</v>
      </c>
      <c r="G57" t="str">
        <f t="shared" si="8"/>
        <v>056 &lt;&lt;No media&gt;&gt;</v>
      </c>
      <c r="H57" t="str">
        <f t="shared" si="6"/>
        <v>056 INIT PATCH</v>
      </c>
      <c r="I57" t="str">
        <f t="shared" si="1"/>
        <v>056 LEO Bass BASS</v>
      </c>
      <c r="J57" t="str">
        <f t="shared" si="7"/>
        <v>056 Himalaya Ice BELL</v>
      </c>
      <c r="K57" t="str">
        <f t="shared" si="2"/>
        <v>056 SH-1 Bass SYNTH BASS</v>
      </c>
      <c r="L57" t="str">
        <f t="shared" si="3"/>
        <v>056 FS Sqr Lead SOFT LEAD</v>
      </c>
      <c r="M57" t="str">
        <f t="shared" si="4"/>
        <v>056 Frgile Saws OTHER SYNTH</v>
      </c>
      <c r="N57" t="str">
        <f t="shared" si="5"/>
        <v>056 FS Throbulax PULSATING</v>
      </c>
    </row>
    <row r="58" spans="1:14" x14ac:dyDescent="0.25">
      <c r="A58" s="2" t="s">
        <v>3776</v>
      </c>
      <c r="B58" s="2" t="s">
        <v>4034</v>
      </c>
      <c r="C58" s="2" t="s">
        <v>4162</v>
      </c>
      <c r="D58" s="2" t="s">
        <v>4292</v>
      </c>
      <c r="E58" s="2" t="s">
        <v>4420</v>
      </c>
      <c r="F58" s="2" t="s">
        <v>4558</v>
      </c>
      <c r="G58" t="str">
        <f t="shared" si="8"/>
        <v>057 &lt;&lt;No media&gt;&gt;</v>
      </c>
      <c r="H58" t="str">
        <f t="shared" si="6"/>
        <v>057 INIT PATCH</v>
      </c>
      <c r="I58" t="str">
        <f t="shared" si="1"/>
        <v>057 All Round Bs BASS</v>
      </c>
      <c r="J58" t="str">
        <f t="shared" si="7"/>
        <v>057 Dreaming Box BELL</v>
      </c>
      <c r="K58" t="str">
        <f t="shared" si="2"/>
        <v>057 SH-101 Bs 2 SYNTH BASS</v>
      </c>
      <c r="L58" t="str">
        <f t="shared" si="3"/>
        <v>057 Dawn Of Pan SOFT LEAD</v>
      </c>
      <c r="M58" t="str">
        <f t="shared" si="4"/>
        <v>057 Steamed Sawz OTHER SYNTH</v>
      </c>
      <c r="N58" t="str">
        <f t="shared" si="5"/>
        <v>057 FS Lonizer PULSATING</v>
      </c>
    </row>
    <row r="59" spans="1:14" x14ac:dyDescent="0.25">
      <c r="A59" s="2" t="s">
        <v>3777</v>
      </c>
      <c r="B59" s="2" t="s">
        <v>4035</v>
      </c>
      <c r="C59" s="2" t="s">
        <v>4163</v>
      </c>
      <c r="D59" s="2" t="s">
        <v>4293</v>
      </c>
      <c r="E59" s="2" t="s">
        <v>4421</v>
      </c>
      <c r="F59" s="2" t="s">
        <v>4559</v>
      </c>
      <c r="G59" t="str">
        <f t="shared" si="8"/>
        <v>058 &lt;&lt;No media&gt;&gt;</v>
      </c>
      <c r="H59" t="str">
        <f t="shared" si="6"/>
        <v>058 INIT PATCH</v>
      </c>
      <c r="I59" t="str">
        <f t="shared" si="1"/>
        <v>058 Basement BASS</v>
      </c>
      <c r="J59" t="str">
        <f t="shared" si="7"/>
        <v>058 Step Ice BELL</v>
      </c>
      <c r="K59" t="str">
        <f t="shared" si="2"/>
        <v>058 FS Syn Bass2 SYNTH BASS</v>
      </c>
      <c r="L59" t="str">
        <f t="shared" si="3"/>
        <v>058 Sqr Diamond SOFT LEAD</v>
      </c>
      <c r="M59" t="str">
        <f t="shared" si="4"/>
        <v>058 RAVtune OTHER SYNTH</v>
      </c>
      <c r="N59" t="str">
        <f t="shared" si="5"/>
        <v>058 FS Strobe PULSATING</v>
      </c>
    </row>
    <row r="60" spans="1:14" x14ac:dyDescent="0.25">
      <c r="A60" s="2" t="s">
        <v>3778</v>
      </c>
      <c r="B60" s="2" t="s">
        <v>4036</v>
      </c>
      <c r="C60" s="2" t="s">
        <v>4164</v>
      </c>
      <c r="D60" s="2" t="s">
        <v>4294</v>
      </c>
      <c r="E60" s="2" t="s">
        <v>4422</v>
      </c>
      <c r="F60" s="2" t="s">
        <v>4560</v>
      </c>
      <c r="G60" t="str">
        <f t="shared" si="8"/>
        <v>059 &lt;&lt;No media&gt;&gt;</v>
      </c>
      <c r="H60" t="str">
        <f t="shared" si="6"/>
        <v>059 INIT PATCH</v>
      </c>
      <c r="I60" t="str">
        <f t="shared" si="1"/>
        <v>059 Ulti Ac Bass BASS</v>
      </c>
      <c r="J60" t="str">
        <f t="shared" si="7"/>
        <v>059 FS Bell 1 BELL</v>
      </c>
      <c r="K60" t="str">
        <f t="shared" si="2"/>
        <v>059 Poly Bass SYNTH BASS</v>
      </c>
      <c r="L60" t="str">
        <f t="shared" si="3"/>
        <v>059 FS SoftLead SOFT LEAD</v>
      </c>
      <c r="M60" t="str">
        <f t="shared" si="4"/>
        <v>059 Bustranza OTHER SYNTH</v>
      </c>
      <c r="N60" t="str">
        <f t="shared" si="5"/>
        <v>059 VirtualHuman PULSATING</v>
      </c>
    </row>
    <row r="61" spans="1:14" x14ac:dyDescent="0.25">
      <c r="A61" s="2" t="s">
        <v>3779</v>
      </c>
      <c r="B61" s="2" t="s">
        <v>4037</v>
      </c>
      <c r="C61" s="2" t="s">
        <v>4165</v>
      </c>
      <c r="D61" s="2" t="s">
        <v>4295</v>
      </c>
      <c r="E61" s="2" t="s">
        <v>4423</v>
      </c>
      <c r="F61" s="2" t="s">
        <v>4561</v>
      </c>
      <c r="G61" t="str">
        <f t="shared" si="8"/>
        <v>060 &lt;&lt;No media&gt;&gt;</v>
      </c>
      <c r="H61" t="str">
        <f t="shared" si="6"/>
        <v>060 INIT PATCH</v>
      </c>
      <c r="I61" t="str">
        <f t="shared" si="1"/>
        <v>060 Comp´d JBass BASS</v>
      </c>
      <c r="J61" t="str">
        <f t="shared" si="7"/>
        <v>060 FS Bell 2 BELL</v>
      </c>
      <c r="K61" t="str">
        <f t="shared" si="2"/>
        <v>060 Punch MG 1 SYNTH BASS</v>
      </c>
      <c r="L61" t="str">
        <f t="shared" si="3"/>
        <v>060 Mid Saw Ld SOFT LEAD</v>
      </c>
      <c r="M61" t="str">
        <f t="shared" si="4"/>
        <v>060 AftTch Ji-n OTHER SYNTH</v>
      </c>
      <c r="N61" t="str">
        <f t="shared" si="5"/>
        <v>060 FS Line PULSATING</v>
      </c>
    </row>
    <row r="62" spans="1:14" x14ac:dyDescent="0.25">
      <c r="A62" s="2" t="s">
        <v>3780</v>
      </c>
      <c r="B62" s="2" t="s">
        <v>4038</v>
      </c>
      <c r="C62" s="2" t="s">
        <v>4166</v>
      </c>
      <c r="D62" s="2" t="s">
        <v>4296</v>
      </c>
      <c r="E62" s="2" t="s">
        <v>4424</v>
      </c>
      <c r="F62" s="2" t="s">
        <v>4562</v>
      </c>
      <c r="G62" t="str">
        <f t="shared" si="8"/>
        <v>061 &lt;&lt;No media&gt;&gt;</v>
      </c>
      <c r="H62" t="str">
        <f t="shared" si="6"/>
        <v>061 INIT PATCH</v>
      </c>
      <c r="I62" t="str">
        <f t="shared" si="1"/>
        <v>061 Roomy Bass BASS</v>
      </c>
      <c r="J62" t="str">
        <f t="shared" si="7"/>
        <v>061 Candy Bell BELL</v>
      </c>
      <c r="K62" t="str">
        <f t="shared" si="2"/>
        <v>061 Gashed Bass SYNTH BASS</v>
      </c>
      <c r="L62" t="str">
        <f t="shared" si="3"/>
        <v>061 FS ResoLead SOFT LEAD</v>
      </c>
      <c r="M62" t="str">
        <f t="shared" si="4"/>
        <v>061 JP OctAttack OTHER SYNTH</v>
      </c>
      <c r="N62" t="str">
        <f t="shared" si="5"/>
        <v>061 StepPitShift PULSATING</v>
      </c>
    </row>
    <row r="63" spans="1:14" x14ac:dyDescent="0.25">
      <c r="A63" s="2" t="s">
        <v>3781</v>
      </c>
      <c r="B63" s="2" t="s">
        <v>4039</v>
      </c>
      <c r="C63" s="2" t="s">
        <v>4167</v>
      </c>
      <c r="D63" s="2" t="s">
        <v>4297</v>
      </c>
      <c r="E63" s="2" t="s">
        <v>4425</v>
      </c>
      <c r="F63" s="2" t="s">
        <v>4563</v>
      </c>
      <c r="G63" t="str">
        <f t="shared" si="8"/>
        <v>062 &lt;&lt;No media&gt;&gt;</v>
      </c>
      <c r="H63" t="str">
        <f t="shared" si="6"/>
        <v>062 INIT PATCH</v>
      </c>
      <c r="I63" t="str">
        <f t="shared" si="1"/>
        <v>062 FS Fretnot 1 BASS</v>
      </c>
      <c r="J63" t="str">
        <f t="shared" si="7"/>
        <v>062 FS Chime BELL</v>
      </c>
      <c r="K63" t="str">
        <f t="shared" si="2"/>
        <v>062 Q Bass SYNTH BASS</v>
      </c>
      <c r="L63" t="str">
        <f t="shared" si="3"/>
        <v>062 Dig-n-Duke SOFT LEAD</v>
      </c>
      <c r="M63" t="str">
        <f t="shared" si="4"/>
        <v>062 Oct Unison OTHER SYNTH</v>
      </c>
      <c r="N63" t="str">
        <f t="shared" si="5"/>
        <v>062 Sever PULSATING</v>
      </c>
    </row>
    <row r="64" spans="1:14" x14ac:dyDescent="0.25">
      <c r="A64" s="2" t="s">
        <v>3782</v>
      </c>
      <c r="B64" s="2" t="s">
        <v>4040</v>
      </c>
      <c r="C64" s="2" t="s">
        <v>4168</v>
      </c>
      <c r="D64" s="2" t="s">
        <v>4298</v>
      </c>
      <c r="E64" s="2" t="s">
        <v>4426</v>
      </c>
      <c r="F64" s="2" t="s">
        <v>4564</v>
      </c>
      <c r="G64" t="str">
        <f t="shared" si="8"/>
        <v>063 &lt;&lt;No media&gt;&gt;</v>
      </c>
      <c r="H64" t="str">
        <f t="shared" si="6"/>
        <v>063 INIT PATCH</v>
      </c>
      <c r="I64" t="str">
        <f t="shared" si="1"/>
        <v>063 PeakArpSine SOFT LEAD</v>
      </c>
      <c r="J64" t="str">
        <f t="shared" si="7"/>
        <v>063 Bell Ring BELL</v>
      </c>
      <c r="K64" t="str">
        <f t="shared" si="2"/>
        <v>063 FS Rubber Bs SYNTH BASS</v>
      </c>
      <c r="L64" t="str">
        <f t="shared" si="3"/>
        <v>063 Modulated Ld SOFT LEAD</v>
      </c>
      <c r="M64" t="str">
        <f t="shared" si="4"/>
        <v>063 Xtatic OTHER SYNTH</v>
      </c>
      <c r="N64" t="str">
        <f t="shared" si="5"/>
        <v>063 Pad Pulses PULSATING</v>
      </c>
    </row>
    <row r="65" spans="1:14" x14ac:dyDescent="0.25">
      <c r="A65" s="2" t="s">
        <v>3783</v>
      </c>
      <c r="B65" s="2" t="s">
        <v>4041</v>
      </c>
      <c r="C65" s="2" t="s">
        <v>4169</v>
      </c>
      <c r="D65" s="2" t="s">
        <v>4299</v>
      </c>
      <c r="E65" s="2" t="s">
        <v>4427</v>
      </c>
      <c r="F65" s="2" t="s">
        <v>4565</v>
      </c>
      <c r="G65" t="str">
        <f t="shared" si="8"/>
        <v>064 &lt;&lt;No media&gt;&gt;</v>
      </c>
      <c r="H65" t="str">
        <f t="shared" si="6"/>
        <v>064 INIT PATCH</v>
      </c>
      <c r="I65" t="str">
        <f t="shared" si="1"/>
        <v>064 Sqr Diamond SOFT LEAD</v>
      </c>
      <c r="J65" t="str">
        <f t="shared" si="7"/>
        <v>064 Tubular Bell BELL</v>
      </c>
      <c r="K65" t="str">
        <f t="shared" si="2"/>
        <v>064 ResoSyn Bs 2 SYNTH BASS</v>
      </c>
      <c r="L65" t="str">
        <f t="shared" si="3"/>
        <v>064 Waspy Lead SOFT LEAD</v>
      </c>
      <c r="M65" t="str">
        <f t="shared" si="4"/>
        <v>064 Dirty Combo OTHER SYNTH</v>
      </c>
      <c r="N65" t="str">
        <f t="shared" si="5"/>
        <v>064 Dub Tales PULSATING</v>
      </c>
    </row>
    <row r="66" spans="1:14" x14ac:dyDescent="0.25">
      <c r="A66" s="2" t="s">
        <v>3784</v>
      </c>
      <c r="B66" s="2" t="s">
        <v>4042</v>
      </c>
      <c r="C66" s="2" t="s">
        <v>4170</v>
      </c>
      <c r="D66" s="2" t="s">
        <v>4300</v>
      </c>
      <c r="E66" s="2" t="s">
        <v>4428</v>
      </c>
      <c r="F66" s="2" t="s">
        <v>4566</v>
      </c>
      <c r="G66" t="str">
        <f t="shared" si="8"/>
        <v>065 &lt;&lt;No media&gt;&gt;</v>
      </c>
      <c r="H66" t="str">
        <f t="shared" si="6"/>
        <v>065 INIT PATCH</v>
      </c>
      <c r="I66" t="str">
        <f t="shared" ref="I66:I127" si="9">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SUBSTITUTE(A66,"'","´"),"[0-9] AC.PIANO","AC.PIANO",-1),"[0-9] PULSATING","PULSATING"),"[0-9] KEYBOARDS","KEYBOARDS"),"[0-9] EL.PIANO","EL.PIANO"),"[0-9] BELL","BELL"),"[0-9] MALLET","MALLET"),"[0-9] ORGAN","ORGAN"),"[0-9] ACCORDION","ACCORDION"),"[0-9] HARMONICA","HARMONICA"),"[0-9] AC.GUITAR","AC.GUITAR"),"[0-9] EL.GUITAR","EL.GUITAR"),"[0-9] DIST.GUITAR","DIST.GUITAR"),"[0-9] BASS","BASS"),"[0-9] STRINGS","STRINGS"),"[0-9] SYNTH BASS","SYNTH BASS"),"[0-9] ORCHESTRA","ORCHESTRA"),"[0-9] WIND","WIND"),"[0-9] FLUTE","FLUTE"),"[0-9] AC.BRASS","AC.BRASS"),"[0-9] SYNTH BRASS","SYNTH BRASS"),"[0-9] SAX","SAX"),"[0-9] SOFT LEAD","SOFT LEAD"),"[0-9] HARD LEAD","HARD LEAD"),"[0-9] HIT&amp;STAB","HIT&amp;STAB"),"[0-9] TECHNO SYNTH","TECHNO SYNTH"),"[0-9] OTHER SYNTH","OTHER SYNTH"),"[0-9] VOX","VOX"),"[0-9] SOFT PAD","SOFT PAD"),"[0-9] BRIGHT PAD","BRIGHT PAD"),"[0-9] PLUCKED","PLUCKED"),"[0-9] ETHNIC","ETHNIC"),"[0-9] FRETTED","FRETTED"),"[0-9] SYNTH FX","SYNTH FX"),"[0-9] BEAT&amp;GROOVE","BEAT&amp;GROOVE"),"[0-9] PERCUSSION","PERCUSSION"),"[0-9] COMBINATION","COMBINATION")</f>
        <v>065 Chubby Lead SOFT LEAD</v>
      </c>
      <c r="J66" t="str">
        <f t="shared" si="7"/>
        <v>065 5th Key BELL</v>
      </c>
      <c r="K66" t="str">
        <f t="shared" ref="K66:K129" si="10">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SUBSTITUTE(C66,"'","´"),"[0-9] AC.PIANO","AC.PIANO",-1),"[0-9] PULSATING","PULSATING"),"[0-9] KEYBOARDS","KEYBOARDS"),"[0-9] EL.PIANO","EL.PIANO"),"[0-9] BELL","BELL"),"[0-9] MALLET","MALLET"),"[0-9] ORGAN","ORGAN"),"[0-9] ACCORDION","ACCORDION"),"[0-9] HARMONICA","HARMONICA"),"[0-9] AC.GUITAR","AC.GUITAR"),"[0-9] EL.GUITAR","EL.GUITAR"),"[0-9] DIST.GUITAR","DIST.GUITAR"),"[0-9] BASS","BASS"),"[0-9] STRINGS","STRINGS"),"[0-9] SYNTH BASS","SYNTH BASS"),"[0-9] ORCHESTRA","ORCHESTRA"),"[0-9] WIND","WIND"),"[0-9] FLUTE","FLUTE"),"[0-9] AC.BRASS","AC.BRASS"),"[0-9] SYNTH BRASS","SYNTH BRASS"),"[0-9] SAX","SAX"),"[0-9] SOFT LEAD","SOFT LEAD"),"[0-9] HARD LEAD","HARD LEAD"),"[0-9] HIT&amp;STAB","HIT&amp;STAB"),"[0-9] TECHNO SYNTH","TECHNO SYNTH"),"[0-9] OTHER SYNTH","OTHER SYNTH"),"[0-9] VOX","VOX"),"[0-9] SOFT PAD","SOFT PAD"),"[0-9] BRIGHT PAD","BRIGHT PAD"),"[0-9] PLUCKED","PLUCKED"),"[0-9] ETHNIC","ETHNIC"),"[0-9] FRETTED","FRETTED"),"[0-9] SYNTH FX","SYNTH FX"),"[0-9] BEAT&amp;GROOVE","BEAT&amp;GROOVE"),"[0-9] PERCUSSION","PERCUSSION"),"[0-9] COMBINATION","COMBINATION")</f>
        <v>065 Super-G DX SYNTH BASS</v>
      </c>
      <c r="L66" t="str">
        <f t="shared" ref="L66:L129" si="11">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SUBSTITUTE(D66,"'","´"),"[0-9] AC.PIANO","AC.PIANO",-1),"[0-9] PULSATING","PULSATING"),"[0-9] KEYBOARDS","KEYBOARDS"),"[0-9] EL.PIANO","EL.PIANO"),"[0-9] BELL","BELL"),"[0-9] MALLET","MALLET"),"[0-9] ORGAN","ORGAN"),"[0-9] ACCORDION","ACCORDION"),"[0-9] HARMONICA","HARMONICA"),"[0-9] AC.GUITAR","AC.GUITAR"),"[0-9] EL.GUITAR","EL.GUITAR"),"[0-9] DIST.GUITAR","DIST.GUITAR"),"[0-9] BASS","BASS"),"[0-9] STRINGS","STRINGS"),"[0-9] SYNTH BASS","SYNTH BASS"),"[0-9] ORCHESTRA","ORCHESTRA"),"[0-9] WIND","WIND"),"[0-9] FLUTE","FLUTE"),"[0-9] AC.BRASS","AC.BRASS"),"[0-9] SYNTH BRASS","SYNTH BRASS"),"[0-9] SAX","SAX"),"[0-9] SOFT LEAD","SOFT LEAD"),"[0-9] HARD LEAD","HARD LEAD"),"[0-9] HIT&amp;STAB","HIT&amp;STAB"),"[0-9] TECHNO SYNTH","TECHNO SYNTH"),"[0-9] OTHER SYNTH","OTHER SYNTH"),"[0-9] VOX","VOX"),"[0-9] SOFT PAD","SOFT PAD"),"[0-9] BRIGHT PAD","BRIGHT PAD"),"[0-9] PLUCKED","PLUCKED"),"[0-9] ETHNIC","ETHNIC"),"[0-9] FRETTED","FRETTED"),"[0-9] SYNTH FX","SYNTH FX"),"[0-9] BEAT&amp;GROOVE","BEAT&amp;GROOVE"),"[0-9] PERCUSSION","PERCUSSION"),"[0-9] COMBINATION","COMBINATION")</f>
        <v>065 Mew Lead SOFT LEAD</v>
      </c>
      <c r="M66" t="str">
        <f t="shared" ref="M66:M129" si="12">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SUBSTITUTE(E66,"'","´"),"[0-9] AC.PIANO","AC.PIANO",-1),"[0-9] PULSATING","PULSATING"),"[0-9] KEYBOARDS","KEYBOARDS"),"[0-9] EL.PIANO","EL.PIANO"),"[0-9] BELL","BELL"),"[0-9] MALLET","MALLET"),"[0-9] ORGAN","ORGAN"),"[0-9] ACCORDION","ACCORDION"),"[0-9] HARMONICA","HARMONICA"),"[0-9] AC.GUITAR","AC.GUITAR"),"[0-9] EL.GUITAR","EL.GUITAR"),"[0-9] DIST.GUITAR","DIST.GUITAR"),"[0-9] BASS","BASS"),"[0-9] STRINGS","STRINGS"),"[0-9] SYNTH BASS","SYNTH BASS"),"[0-9] ORCHESTRA","ORCHESTRA"),"[0-9] WIND","WIND"),"[0-9] FLUTE","FLUTE"),"[0-9] AC.BRASS","AC.BRASS"),"[0-9] SYNTH BRASS","SYNTH BRASS"),"[0-9] SAX","SAX"),"[0-9] SOFT LEAD","SOFT LEAD"),"[0-9] HARD LEAD","HARD LEAD"),"[0-9] HIT&amp;STAB","HIT&amp;STAB"),"[0-9] TECHNO SYNTH","TECHNO SYNTH"),"[0-9] OTHER SYNTH","OTHER SYNTH"),"[0-9] VOX","VOX"),"[0-9] SOFT PAD","SOFT PAD"),"[0-9] BRIGHT PAD","BRIGHT PAD"),"[0-9] PLUCKED","PLUCKED"),"[0-9] ETHNIC","ETHNIC"),"[0-9] FRETTED","FRETTED"),"[0-9] SYNTH FX","SYNTH FX"),"[0-9] BEAT&amp;GROOVE","BEAT&amp;GROOVE"),"[0-9] PERCUSSION","PERCUSSION"),"[0-9] COMBINATION","COMBINATION")</f>
        <v>065 FM´s Attack OTHER SYNTH</v>
      </c>
      <c r="N66" t="str">
        <f t="shared" ref="N66:N129" si="13">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SUBSTITUTE(F66,"'","´"),"[0-9] AC.PIANO","AC.PIANO",-1),"[0-9] PULSATING","PULSATING"),"[0-9] KEYBOARDS","KEYBOARDS"),"[0-9] EL.PIANO","EL.PIANO"),"[0-9] BELL","BELL"),"[0-9] MALLET","MALLET"),"[0-9] ORGAN","ORGAN"),"[0-9] ACCORDION","ACCORDION"),"[0-9] HARMONICA","HARMONICA"),"[0-9] AC.GUITAR","AC.GUITAR"),"[0-9] EL.GUITAR","EL.GUITAR"),"[0-9] DIST.GUITAR","DIST.GUITAR"),"[0-9] BASS","BASS"),"[0-9] STRINGS","STRINGS"),"[0-9] SYNTH BASS","SYNTH BASS"),"[0-9] ORCHESTRA","ORCHESTRA"),"[0-9] WIND","WIND"),"[0-9] FLUTE","FLUTE"),"[0-9] AC.BRASS","AC.BRASS"),"[0-9] SYNTH BRASS","SYNTH BRASS"),"[0-9] SAX","SAX"),"[0-9] SOFT LEAD","SOFT LEAD"),"[0-9] HARD LEAD","HARD LEAD"),"[0-9] HIT&amp;STAB","HIT&amp;STAB"),"[0-9] TECHNO SYNTH","TECHNO SYNTH"),"[0-9] OTHER SYNTH","OTHER SYNTH"),"[0-9] VOX","VOX"),"[0-9] SOFT PAD","SOFT PAD"),"[0-9] BRIGHT PAD","BRIGHT PAD"),"[0-9] PLUCKED","PLUCKED"),"[0-9] ETHNIC","ETHNIC"),"[0-9] FRETTED","FRETTED"),"[0-9] SYNTH FX","SYNTH FX"),"[0-9] BEAT&amp;GROOVE","BEAT&amp;GROOVE"),"[0-9] PERCUSSION","PERCUSSION"),"[0-9] COMBINATION","COMBINATION")</f>
        <v>065 Seq-Pad 2 PULSATING</v>
      </c>
    </row>
    <row r="67" spans="1:14" x14ac:dyDescent="0.25">
      <c r="A67" s="2" t="s">
        <v>3785</v>
      </c>
      <c r="B67" s="2" t="s">
        <v>4043</v>
      </c>
      <c r="C67" s="2" t="s">
        <v>4171</v>
      </c>
      <c r="D67" s="2" t="s">
        <v>4301</v>
      </c>
      <c r="E67" s="2" t="s">
        <v>4429</v>
      </c>
      <c r="F67" s="2" t="s">
        <v>4567</v>
      </c>
      <c r="G67" t="str">
        <f t="shared" si="8"/>
        <v>066 &lt;&lt;No media&gt;&gt;</v>
      </c>
      <c r="H67" t="str">
        <f t="shared" ref="H67:H130" si="14">IF(ROW()-1 &gt; 99,_xlfn.VALUETOTEXT(ROW()-1)&amp;" INIT PATCH",IF(ROW()-1 &gt; 9, "0"&amp;_xlfn.VALUETOTEXT(ROW()-1)&amp;" INIT PATCH","00"&amp;_xlfn.VALUETOTEXT(ROW()-1)&amp;" INIT PATCH"))</f>
        <v>066 INIT PATCH</v>
      </c>
      <c r="I67" t="str">
        <f t="shared" si="9"/>
        <v>066 Gwyo Press HARD LEAD</v>
      </c>
      <c r="J67" t="str">
        <f t="shared" ref="J67:J129" si="15">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SUBSTITUTE(B67,"'","´"),"[0-9] AC.PIANO","AC.PIANO",-1),"[0-9] PULSATING","PULSATING"),"[0-9] KEYBOARDS","KEYBOARDS"),"[0-9] EL.PIANO","EL.PIANO"),"[0-9] BELL","BELL"),"[0-9] MALLET","MALLET"),"[0-9] ORGAN","ORGAN"),"[0-9] ACCORDION","ACCORDION"),"[0-9] HARMONICA","HARMONICA"),"[0-9] AC.GUITAR","AC.GUITAR"),"[0-9] EL.GUITAR","EL.GUITAR"),"[0-9] DIST.GUITAR","DIST.GUITAR"),"[0-9] BASS","BASS"),"[0-9] STRINGS","STRINGS"),"[0-9] SYNTH BASS","SYNTH BASS"),"[0-9] ORCHESTRA","ORCHESTRA"),"[0-9] WIND","WIND"),"[0-9] FLUTE","FLUTE"),"[0-9] AC.BRASS","AC.BRASS"),"[0-9] SYNTH BRASS","SYNTH BRASS"),"[0-9] SAX","SAX"),"[0-9] SOFT LEAD","SOFT LEAD"),"[0-9] HARD LEAD","HARD LEAD"),"[0-9] HIT&amp;STAB","HIT&amp;STAB"),"[0-9] TECHNO SYNTH","TECHNO SYNTH"),"[0-9] OTHER SYNTH","OTHER SYNTH"),"[0-9] VOX","VOX"),"[0-9] SOFT PAD","SOFT PAD"),"[0-9] BRIGHT PAD","BRIGHT PAD"),"[0-9] PLUCKED","PLUCKED"),"[0-9] ETHNIC","ETHNIC"),"[0-9] FRETTED","FRETTED"),"[0-9] SYNTH FX","SYNTH FX"),"[0-9] BEAT&amp;GROOVE","BEAT&amp;GROOVE"),"[0-9] PERCUSSION","PERCUSSION"),"[0-9] COMBINATION","COMBINATION")</f>
        <v>066 Vibrations MALLET</v>
      </c>
      <c r="K67" t="str">
        <f t="shared" si="10"/>
        <v>066 Punch MG 2 SYNTH BASS</v>
      </c>
      <c r="L67" t="str">
        <f t="shared" si="11"/>
        <v>066 Vliolin Lead SOFT LEAD</v>
      </c>
      <c r="M67" t="str">
        <f t="shared" si="12"/>
        <v>066 Impression OTHER SYNTH</v>
      </c>
      <c r="N67" t="str">
        <f t="shared" si="13"/>
        <v>066 Nice Kalimba PLUCKED</v>
      </c>
    </row>
    <row r="68" spans="1:14" x14ac:dyDescent="0.25">
      <c r="A68" s="2" t="s">
        <v>3786</v>
      </c>
      <c r="B68" s="2" t="s">
        <v>4044</v>
      </c>
      <c r="C68" s="2" t="s">
        <v>4172</v>
      </c>
      <c r="D68" s="2" t="s">
        <v>4302</v>
      </c>
      <c r="E68" s="2" t="s">
        <v>4430</v>
      </c>
      <c r="F68" s="2" t="s">
        <v>4568</v>
      </c>
      <c r="G68" t="str">
        <f t="shared" si="8"/>
        <v>067 &lt;&lt;No media&gt;&gt;</v>
      </c>
      <c r="H68" t="str">
        <f t="shared" si="14"/>
        <v>067 INIT PATCH</v>
      </c>
      <c r="I68" t="str">
        <f t="shared" si="9"/>
        <v>067 MG Sqr Lead SOFT LEAD</v>
      </c>
      <c r="J68" t="str">
        <f t="shared" si="15"/>
        <v>067 FS Vibe MALLET</v>
      </c>
      <c r="K68" t="str">
        <f t="shared" si="10"/>
        <v>067 Kickin´ Bass SYNTH BASS</v>
      </c>
      <c r="L68" t="str">
        <f t="shared" si="11"/>
        <v>067 Oscillo Lead SOFT LEAD</v>
      </c>
      <c r="M68" t="str">
        <f t="shared" si="12"/>
        <v>067 Digi-vox Syn OTHER SYNTH</v>
      </c>
      <c r="N68" t="str">
        <f t="shared" si="13"/>
        <v>067 Quiet River PLUCKED</v>
      </c>
    </row>
    <row r="69" spans="1:14" x14ac:dyDescent="0.25">
      <c r="A69" s="2" t="s">
        <v>3787</v>
      </c>
      <c r="B69" s="2" t="s">
        <v>4045</v>
      </c>
      <c r="C69" s="2" t="s">
        <v>4173</v>
      </c>
      <c r="D69" s="2" t="s">
        <v>4303</v>
      </c>
      <c r="E69" s="2" t="s">
        <v>4431</v>
      </c>
      <c r="F69" s="2" t="s">
        <v>4569</v>
      </c>
      <c r="G69" t="str">
        <f t="shared" si="8"/>
        <v>068 &lt;&lt;No media&gt;&gt;</v>
      </c>
      <c r="H69" t="str">
        <f t="shared" si="14"/>
        <v>068 INIT PATCH</v>
      </c>
      <c r="I69" t="str">
        <f t="shared" si="9"/>
        <v>068 SoloNzPeaker SOFT LEAD</v>
      </c>
      <c r="J69" t="str">
        <f t="shared" si="15"/>
        <v>068 FS Marimba MALLET</v>
      </c>
      <c r="K69" t="str">
        <f t="shared" si="10"/>
        <v>068 OilDrum Bass SYNTH BASS</v>
      </c>
      <c r="L69" t="str">
        <f t="shared" si="11"/>
        <v>068 JP Saw Lead SOFT LEAD</v>
      </c>
      <c r="M69" t="str">
        <f t="shared" si="12"/>
        <v>068 Fairy Factor OTHER SYNTH</v>
      </c>
      <c r="N69" t="str">
        <f t="shared" si="13"/>
        <v>068 Teky Drop PLUCKED</v>
      </c>
    </row>
    <row r="70" spans="1:14" x14ac:dyDescent="0.25">
      <c r="A70" s="2" t="s">
        <v>3788</v>
      </c>
      <c r="B70" s="2" t="s">
        <v>4046</v>
      </c>
      <c r="C70" s="2" t="s">
        <v>4174</v>
      </c>
      <c r="D70" s="2" t="s">
        <v>4304</v>
      </c>
      <c r="E70" s="2" t="s">
        <v>4432</v>
      </c>
      <c r="F70" s="2" t="s">
        <v>4570</v>
      </c>
      <c r="G70" t="str">
        <f t="shared" si="8"/>
        <v>069 &lt;&lt;No media&gt;&gt;</v>
      </c>
      <c r="H70" t="str">
        <f t="shared" si="14"/>
        <v>069 INIT PATCH</v>
      </c>
      <c r="I70" t="str">
        <f t="shared" si="9"/>
        <v>069 Oscillo Lead SOFT LEAD</v>
      </c>
      <c r="J70" t="str">
        <f t="shared" si="15"/>
        <v>069 FS Xylo MALLET</v>
      </c>
      <c r="K70" t="str">
        <f t="shared" si="10"/>
        <v>069 Glide-iator SYNTH BASS</v>
      </c>
      <c r="L70" t="str">
        <f t="shared" si="11"/>
        <v>069 MG Sqr Lead SOFT LEAD</v>
      </c>
      <c r="M70" t="str">
        <f t="shared" si="12"/>
        <v>069 Tempest OTHER SYNTH</v>
      </c>
      <c r="N70" t="str">
        <f t="shared" si="13"/>
        <v>069 Pat is away PLUCKED</v>
      </c>
    </row>
    <row r="71" spans="1:14" x14ac:dyDescent="0.25">
      <c r="A71" s="2" t="s">
        <v>3789</v>
      </c>
      <c r="B71" s="2" t="s">
        <v>4047</v>
      </c>
      <c r="C71" s="2" t="s">
        <v>4175</v>
      </c>
      <c r="D71" s="2" t="s">
        <v>4305</v>
      </c>
      <c r="E71" s="2" t="s">
        <v>4433</v>
      </c>
      <c r="F71" s="2" t="s">
        <v>4571</v>
      </c>
      <c r="G71" t="str">
        <f t="shared" si="8"/>
        <v>070 &lt;&lt;No media&gt;&gt;</v>
      </c>
      <c r="H71" t="str">
        <f t="shared" si="14"/>
        <v>070 INIT PATCH</v>
      </c>
      <c r="I71" t="str">
        <f t="shared" si="9"/>
        <v>070 Mid Saw Ld SOFT LEAD</v>
      </c>
      <c r="J71" t="str">
        <f t="shared" si="15"/>
        <v>070 Ethno Keys MALLET</v>
      </c>
      <c r="K71" t="str">
        <f t="shared" si="10"/>
        <v>070 MG+SubOsc Bs SYNTH BASS</v>
      </c>
      <c r="L71" t="str">
        <f t="shared" si="11"/>
        <v>070 Tristar SOFT LEAD</v>
      </c>
      <c r="M71" t="str">
        <f t="shared" si="12"/>
        <v>070 X-Racer OTHER SYNTH</v>
      </c>
      <c r="N71" t="str">
        <f t="shared" si="13"/>
        <v>070 FS Sitar 1 PLUCKED</v>
      </c>
    </row>
    <row r="72" spans="1:14" x14ac:dyDescent="0.25">
      <c r="A72" s="2" t="s">
        <v>3790</v>
      </c>
      <c r="B72" s="2" t="s">
        <v>4048</v>
      </c>
      <c r="C72" s="2" t="s">
        <v>4176</v>
      </c>
      <c r="D72" s="2" t="s">
        <v>4306</v>
      </c>
      <c r="E72" s="2" t="s">
        <v>4434</v>
      </c>
      <c r="F72" s="2" t="s">
        <v>4572</v>
      </c>
      <c r="G72" t="str">
        <f t="shared" si="8"/>
        <v>071 &lt;&lt;No media&gt;&gt;</v>
      </c>
      <c r="H72" t="str">
        <f t="shared" si="14"/>
        <v>071 INIT PATCH</v>
      </c>
      <c r="I72" t="str">
        <f t="shared" si="9"/>
        <v>071 Sneaky Leady SOFT LEAD</v>
      </c>
      <c r="J72" t="str">
        <f t="shared" si="15"/>
        <v>071 Synergy MLT MALLET</v>
      </c>
      <c r="K72" t="str">
        <f t="shared" si="10"/>
        <v>071 FS Unison Bs SYNTH BASS</v>
      </c>
      <c r="L72" t="str">
        <f t="shared" si="11"/>
        <v>071 Mod Lead SOFT LEAD</v>
      </c>
      <c r="M72" t="str">
        <f t="shared" si="12"/>
        <v>071 TB Booster OTHER SYNTH</v>
      </c>
      <c r="N72" t="str">
        <f t="shared" si="13"/>
        <v>071 FS Sitar 2 PLUCKED</v>
      </c>
    </row>
    <row r="73" spans="1:14" x14ac:dyDescent="0.25">
      <c r="A73" s="2" t="s">
        <v>3791</v>
      </c>
      <c r="B73" s="2" t="s">
        <v>4049</v>
      </c>
      <c r="C73" s="2" t="s">
        <v>4177</v>
      </c>
      <c r="D73" s="2" t="s">
        <v>4307</v>
      </c>
      <c r="E73" s="2" t="s">
        <v>4435</v>
      </c>
      <c r="F73" s="2" t="s">
        <v>4573</v>
      </c>
      <c r="G73" t="str">
        <f t="shared" si="8"/>
        <v>072 &lt;&lt;No media&gt;&gt;</v>
      </c>
      <c r="H73" t="str">
        <f t="shared" si="14"/>
        <v>072 INIT PATCH</v>
      </c>
      <c r="I73" t="str">
        <f t="shared" si="9"/>
        <v>072 Legato Tkno SOFT LEAD</v>
      </c>
      <c r="J73" t="str">
        <f t="shared" si="15"/>
        <v>072 Steel Drums MALLET</v>
      </c>
      <c r="K73" t="str">
        <f t="shared" si="10"/>
        <v>072 TexturedBusy SYNTH BASS</v>
      </c>
      <c r="L73" t="str">
        <f t="shared" si="11"/>
        <v>072 Digital Ld 1 SOFT LEAD</v>
      </c>
      <c r="M73" t="str">
        <f t="shared" si="12"/>
        <v>072 Syn-Orch/Mod OTHER SYNTH</v>
      </c>
      <c r="N73" t="str">
        <f t="shared" si="13"/>
        <v>072 Sitar on C PLUCKED</v>
      </c>
    </row>
    <row r="74" spans="1:14" x14ac:dyDescent="0.25">
      <c r="A74" s="2" t="s">
        <v>3792</v>
      </c>
      <c r="B74" s="2" t="s">
        <v>4050</v>
      </c>
      <c r="C74" s="2" t="s">
        <v>4178</v>
      </c>
      <c r="D74" s="2" t="s">
        <v>4308</v>
      </c>
      <c r="E74" s="2" t="s">
        <v>4436</v>
      </c>
      <c r="F74" s="2" t="s">
        <v>4574</v>
      </c>
      <c r="G74" t="str">
        <f t="shared" si="8"/>
        <v>073 &lt;&lt;No media&gt;&gt;</v>
      </c>
      <c r="H74" t="str">
        <f t="shared" si="14"/>
        <v>073 INIT PATCH</v>
      </c>
      <c r="I74" t="str">
        <f t="shared" si="9"/>
        <v>073 Tristar SOFT LEAD</v>
      </c>
      <c r="J74" t="str">
        <f t="shared" si="15"/>
        <v>073 Xylosizer MALLET</v>
      </c>
      <c r="K74" t="str">
        <f t="shared" si="10"/>
        <v>073 Detune Bass SYNTH BASS</v>
      </c>
      <c r="L74" t="str">
        <f t="shared" si="11"/>
        <v>073 Chubby Lead SOFT LEAD</v>
      </c>
      <c r="M74" t="str">
        <f t="shared" si="12"/>
        <v>073 Pressyn OTHER SYNTH</v>
      </c>
      <c r="N74" t="str">
        <f t="shared" si="13"/>
        <v>073 Sitar Baby PLUCKED</v>
      </c>
    </row>
    <row r="75" spans="1:14" x14ac:dyDescent="0.25">
      <c r="A75" s="2" t="s">
        <v>3793</v>
      </c>
      <c r="B75" s="2" t="s">
        <v>4051</v>
      </c>
      <c r="C75" s="2" t="s">
        <v>4179</v>
      </c>
      <c r="D75" s="2" t="s">
        <v>4309</v>
      </c>
      <c r="E75" s="2" t="s">
        <v>4437</v>
      </c>
      <c r="F75" s="2" t="s">
        <v>4575</v>
      </c>
      <c r="G75" t="str">
        <f t="shared" si="8"/>
        <v>074 &lt;&lt;No media&gt;&gt;</v>
      </c>
      <c r="H75" t="str">
        <f t="shared" si="14"/>
        <v>074 INIT PATCH</v>
      </c>
      <c r="I75" t="str">
        <f t="shared" si="9"/>
        <v>074 Theramax SOFT LEAD</v>
      </c>
      <c r="J75" t="str">
        <f t="shared" si="15"/>
        <v>074 Toy Box MALLET</v>
      </c>
      <c r="K75" t="str">
        <f t="shared" si="10"/>
        <v>074 Lo Bass SYNTH BASS</v>
      </c>
      <c r="L75" t="str">
        <f t="shared" si="11"/>
        <v>074 Sneaky Leady SOFT LEAD</v>
      </c>
      <c r="M75" t="str">
        <f t="shared" si="12"/>
        <v>074 High Five OTHER SYNTH</v>
      </c>
      <c r="N75" t="str">
        <f t="shared" si="13"/>
        <v>074 EasternDlite PLUCKED</v>
      </c>
    </row>
    <row r="76" spans="1:14" x14ac:dyDescent="0.25">
      <c r="A76" s="2" t="s">
        <v>3794</v>
      </c>
      <c r="B76" s="2" t="s">
        <v>4052</v>
      </c>
      <c r="C76" s="2" t="s">
        <v>4180</v>
      </c>
      <c r="D76" s="2" t="s">
        <v>4310</v>
      </c>
      <c r="E76" s="2" t="s">
        <v>4438</v>
      </c>
      <c r="F76" s="2" t="s">
        <v>4576</v>
      </c>
      <c r="G76" t="str">
        <f t="shared" ref="G76:G129" si="16">IF(ROW()-1 &gt; 99,_xlfn.VALUETOTEXT(ROW()-1)&amp;" &lt;&lt;No media&gt;&gt;",IF(ROW()-1 &gt; 9, "0"&amp;_xlfn.VALUETOTEXT(ROW()-1)&amp;" &lt;&lt;No media&gt;&gt;","00"&amp;_xlfn.VALUETOTEXT(ROW()-1)&amp;" &lt;&lt;No media&gt;&gt;"))</f>
        <v>075 &lt;&lt;No media&gt;&gt;</v>
      </c>
      <c r="H76" t="str">
        <f t="shared" si="14"/>
        <v>075 INIT PATCH</v>
      </c>
      <c r="I76" t="str">
        <f t="shared" si="9"/>
        <v>075 SyncModulate HARD LEAD</v>
      </c>
      <c r="J76" t="str">
        <f t="shared" si="15"/>
        <v>075 FullDraw Org ORGAN</v>
      </c>
      <c r="K76" t="str">
        <f t="shared" si="10"/>
        <v>075 SQ Pan SYNTH BASS</v>
      </c>
      <c r="L76" t="str">
        <f t="shared" si="11"/>
        <v>075 SoloNzPeaker SOFT LEAD</v>
      </c>
      <c r="M76" t="str">
        <f t="shared" si="12"/>
        <v>075 4DaCommonMan OTHER SYNTH</v>
      </c>
      <c r="N76" t="str">
        <f t="shared" si="13"/>
        <v>075 Elec Sitar PLUCKED</v>
      </c>
    </row>
    <row r="77" spans="1:14" x14ac:dyDescent="0.25">
      <c r="A77" s="2" t="s">
        <v>3795</v>
      </c>
      <c r="B77" s="2" t="s">
        <v>4053</v>
      </c>
      <c r="C77" s="2" t="s">
        <v>4181</v>
      </c>
      <c r="D77" s="2" t="s">
        <v>4311</v>
      </c>
      <c r="E77" s="2" t="s">
        <v>4439</v>
      </c>
      <c r="F77" s="2" t="s">
        <v>4577</v>
      </c>
      <c r="G77" t="str">
        <f t="shared" si="16"/>
        <v>076 &lt;&lt;No media&gt;&gt;</v>
      </c>
      <c r="H77" t="str">
        <f t="shared" si="14"/>
        <v>076 INIT PATCH</v>
      </c>
      <c r="I77" t="str">
        <f t="shared" si="9"/>
        <v>076 Wind Syn Ld HARD LEAD</v>
      </c>
      <c r="J77" t="str">
        <f t="shared" si="15"/>
        <v>076 StakDraw Org ORGAN</v>
      </c>
      <c r="K77" t="str">
        <f t="shared" si="10"/>
        <v>076 FS GarageBs1 SYNTH BASS</v>
      </c>
      <c r="L77" t="str">
        <f t="shared" si="11"/>
        <v>076 Clone Zone SOFT LEAD</v>
      </c>
      <c r="M77" t="str">
        <f t="shared" si="12"/>
        <v>076 Orgaenia OTHER SYNTH</v>
      </c>
      <c r="N77" t="str">
        <f t="shared" si="13"/>
        <v>076 Neo Sitar PLUCKED</v>
      </c>
    </row>
    <row r="78" spans="1:14" x14ac:dyDescent="0.25">
      <c r="A78" s="2" t="s">
        <v>3796</v>
      </c>
      <c r="B78" s="2" t="s">
        <v>4054</v>
      </c>
      <c r="C78" s="2" t="s">
        <v>4182</v>
      </c>
      <c r="D78" s="2" t="s">
        <v>4312</v>
      </c>
      <c r="E78" s="2" t="s">
        <v>4440</v>
      </c>
      <c r="F78" s="2" t="s">
        <v>4578</v>
      </c>
      <c r="G78" t="str">
        <f t="shared" si="16"/>
        <v>077 &lt;&lt;No media&gt;&gt;</v>
      </c>
      <c r="H78" t="str">
        <f t="shared" si="14"/>
        <v>077 INIT PATCH</v>
      </c>
      <c r="I78" t="str">
        <f t="shared" si="9"/>
        <v>077 Distorted MG HARD LEAD</v>
      </c>
      <c r="J78" t="str">
        <f t="shared" si="15"/>
        <v>077 FullStop Org ORGAN</v>
      </c>
      <c r="K78" t="str">
        <f t="shared" si="10"/>
        <v>077 FS GarageBs2 SYNTH BASS</v>
      </c>
      <c r="L78" t="str">
        <f t="shared" si="11"/>
        <v>077 Legato Tkno SOFT LEAD</v>
      </c>
      <c r="M78" t="str">
        <f t="shared" si="12"/>
        <v>077 Sleeper OTHER SYNTH</v>
      </c>
      <c r="N78" t="str">
        <f t="shared" si="13"/>
        <v>077 Bosporus PLUCKED</v>
      </c>
    </row>
    <row r="79" spans="1:14" x14ac:dyDescent="0.25">
      <c r="A79" s="2" t="s">
        <v>3797</v>
      </c>
      <c r="B79" s="2" t="s">
        <v>4055</v>
      </c>
      <c r="C79" s="2" t="s">
        <v>4183</v>
      </c>
      <c r="D79" s="2" t="s">
        <v>4313</v>
      </c>
      <c r="E79" s="2" t="s">
        <v>4441</v>
      </c>
      <c r="F79" s="2" t="s">
        <v>4579</v>
      </c>
      <c r="G79" t="str">
        <f t="shared" si="16"/>
        <v>078 &lt;&lt;No media&gt;&gt;</v>
      </c>
      <c r="H79" t="str">
        <f t="shared" si="14"/>
        <v>078 INIT PATCH</v>
      </c>
      <c r="I79" t="str">
        <f t="shared" si="9"/>
        <v>078 Clean? HARD LEAD</v>
      </c>
      <c r="J79" t="str">
        <f t="shared" si="15"/>
        <v>078 FS Perc Org ORGAN</v>
      </c>
      <c r="K79" t="str">
        <f t="shared" si="10"/>
        <v>078 Sub Sonic SYNTH BASS</v>
      </c>
      <c r="L79" t="str">
        <f t="shared" si="11"/>
        <v>078 DC Triangle HARD LEAD</v>
      </c>
      <c r="M79" t="str">
        <f t="shared" si="12"/>
        <v>078 Sugar Synth OTHER SYNTH</v>
      </c>
      <c r="N79" t="str">
        <f t="shared" si="13"/>
        <v>078 Santur Stack PLUCKED</v>
      </c>
    </row>
    <row r="80" spans="1:14" x14ac:dyDescent="0.25">
      <c r="A80" s="2" t="s">
        <v>3798</v>
      </c>
      <c r="B80" s="2" t="s">
        <v>4056</v>
      </c>
      <c r="C80" s="2" t="s">
        <v>4184</v>
      </c>
      <c r="D80" s="2" t="s">
        <v>4314</v>
      </c>
      <c r="E80" s="2" t="s">
        <v>4442</v>
      </c>
      <c r="F80" s="2" t="s">
        <v>4580</v>
      </c>
      <c r="G80" t="str">
        <f t="shared" si="16"/>
        <v>079 &lt;&lt;No media&gt;&gt;</v>
      </c>
      <c r="H80" t="str">
        <f t="shared" si="14"/>
        <v>079 INIT PATCH</v>
      </c>
      <c r="I80" t="str">
        <f t="shared" si="9"/>
        <v>079 SynLead 0322 HARD LEAD</v>
      </c>
      <c r="J80" t="str">
        <f t="shared" si="15"/>
        <v>079 Euro Organ ORGAN</v>
      </c>
      <c r="K80" t="str">
        <f t="shared" si="10"/>
        <v>079 FS Jungle Bs SYNTH BASS</v>
      </c>
      <c r="L80" t="str">
        <f t="shared" si="11"/>
        <v>079 Sqr-Seqence HARD LEAD</v>
      </c>
      <c r="M80" t="str">
        <f t="shared" si="12"/>
        <v>079 Ice Palace OTHER SYNTH</v>
      </c>
      <c r="N80" t="str">
        <f t="shared" si="13"/>
        <v>079 Aerial Harp PLUCKED</v>
      </c>
    </row>
    <row r="81" spans="1:14" x14ac:dyDescent="0.25">
      <c r="A81" s="2" t="s">
        <v>3799</v>
      </c>
      <c r="B81" s="2" t="s">
        <v>4057</v>
      </c>
      <c r="C81" s="2" t="s">
        <v>4185</v>
      </c>
      <c r="D81" s="2" t="s">
        <v>4315</v>
      </c>
      <c r="E81" s="2" t="s">
        <v>4443</v>
      </c>
      <c r="F81" s="2" t="s">
        <v>4581</v>
      </c>
      <c r="G81" t="str">
        <f t="shared" si="16"/>
        <v>080 &lt;&lt;No media&gt;&gt;</v>
      </c>
      <c r="H81" t="str">
        <f t="shared" si="14"/>
        <v>080 INIT PATCH</v>
      </c>
      <c r="I81" t="str">
        <f t="shared" si="9"/>
        <v>080 Legato Saw HARD LEAD</v>
      </c>
      <c r="J81" t="str">
        <f t="shared" si="15"/>
        <v>080 Perky Organ ORGAN</v>
      </c>
      <c r="K81" t="str">
        <f t="shared" si="10"/>
        <v>080 R&amp;B Bass 4 SYNTH BASS</v>
      </c>
      <c r="L81" t="str">
        <f t="shared" si="11"/>
        <v>080 Griggley HARD LEAD</v>
      </c>
      <c r="M81" t="str">
        <f t="shared" si="12"/>
        <v>080 Story Harp OTHER SYNTH</v>
      </c>
      <c r="N81" t="str">
        <f t="shared" si="13"/>
        <v>080 Harpiness PLUCKED</v>
      </c>
    </row>
    <row r="82" spans="1:14" x14ac:dyDescent="0.25">
      <c r="A82" s="2" t="s">
        <v>3800</v>
      </c>
      <c r="B82" s="2" t="s">
        <v>4058</v>
      </c>
      <c r="C82" s="2" t="s">
        <v>4186</v>
      </c>
      <c r="D82" s="2" t="s">
        <v>4316</v>
      </c>
      <c r="E82" s="2" t="s">
        <v>4444</v>
      </c>
      <c r="F82" s="2" t="s">
        <v>4582</v>
      </c>
      <c r="G82" t="str">
        <f t="shared" si="16"/>
        <v>081 &lt;&lt;No media&gt;&gt;</v>
      </c>
      <c r="H82" t="str">
        <f t="shared" si="14"/>
        <v>081 INIT PATCH</v>
      </c>
      <c r="I82" t="str">
        <f t="shared" si="9"/>
        <v>081 DC Triangle HARD LEAD</v>
      </c>
      <c r="J82" t="str">
        <f t="shared" si="15"/>
        <v>081 LoFi PercOrg ORGAN</v>
      </c>
      <c r="K82" t="str">
        <f t="shared" si="10"/>
        <v>081 Beepin Bass SYNTH BASS</v>
      </c>
      <c r="L82" t="str">
        <f t="shared" si="11"/>
        <v>081 Pure Square HARD LEAD</v>
      </c>
      <c r="M82" t="str">
        <f t="shared" si="12"/>
        <v>081 LostParadise OTHER SYNTH</v>
      </c>
      <c r="N82" t="str">
        <f t="shared" si="13"/>
        <v>081 TroubadorEns PLUCKED</v>
      </c>
    </row>
    <row r="83" spans="1:14" x14ac:dyDescent="0.25">
      <c r="A83" s="2" t="s">
        <v>3801</v>
      </c>
      <c r="B83" s="2" t="s">
        <v>4059</v>
      </c>
      <c r="C83" s="2" t="s">
        <v>4187</v>
      </c>
      <c r="D83" s="2" t="s">
        <v>4317</v>
      </c>
      <c r="E83" s="2" t="s">
        <v>4445</v>
      </c>
      <c r="F83" s="2" t="s">
        <v>4583</v>
      </c>
      <c r="G83" t="str">
        <f t="shared" si="16"/>
        <v>082 &lt;&lt;No media&gt;&gt;</v>
      </c>
      <c r="H83" t="str">
        <f t="shared" si="14"/>
        <v>082 INIT PATCH</v>
      </c>
      <c r="I83" t="str">
        <f t="shared" si="9"/>
        <v>082 Space Lead HARD LEAD</v>
      </c>
      <c r="J83" t="str">
        <f t="shared" si="15"/>
        <v>082 Rochno Org ORGAN</v>
      </c>
      <c r="K83" t="str">
        <f t="shared" si="10"/>
        <v>082 MC-TB Bass SYNTH BASS</v>
      </c>
      <c r="L83" t="str">
        <f t="shared" si="11"/>
        <v>082 Legato Saw HARD LEAD</v>
      </c>
      <c r="M83" t="str">
        <f t="shared" si="12"/>
        <v>082 Magnetic 5th OTHER SYNTH</v>
      </c>
      <c r="N83" t="str">
        <f t="shared" si="13"/>
        <v>082 Jamisen PLUCKED</v>
      </c>
    </row>
    <row r="84" spans="1:14" x14ac:dyDescent="0.25">
      <c r="A84" s="2" t="s">
        <v>3802</v>
      </c>
      <c r="B84" s="2" t="s">
        <v>4060</v>
      </c>
      <c r="C84" s="2" t="s">
        <v>4188</v>
      </c>
      <c r="D84" s="2" t="s">
        <v>4318</v>
      </c>
      <c r="E84" s="2" t="s">
        <v>4446</v>
      </c>
      <c r="F84" s="2" t="s">
        <v>4584</v>
      </c>
      <c r="G84" t="str">
        <f t="shared" si="16"/>
        <v>083 &lt;&lt;No media&gt;&gt;</v>
      </c>
      <c r="H84" t="str">
        <f t="shared" si="14"/>
        <v>083 INIT PATCH</v>
      </c>
      <c r="I84" t="str">
        <f t="shared" si="9"/>
        <v>083 Squareheads HARD LEAD</v>
      </c>
      <c r="J84" t="str">
        <f t="shared" si="15"/>
        <v>083 R&amp;B Organ 1 ORGAN</v>
      </c>
      <c r="K84" t="str">
        <f t="shared" si="10"/>
        <v>083 Acdg Bass SYNTH BASS</v>
      </c>
      <c r="L84" t="str">
        <f t="shared" si="11"/>
        <v>083 Lone Prophat HARD LEAD</v>
      </c>
      <c r="M84" t="str">
        <f t="shared" si="12"/>
        <v>083 Jazz Doos VOX</v>
      </c>
      <c r="N84" t="str">
        <f t="shared" si="13"/>
        <v>083 Koto PLUCKED</v>
      </c>
    </row>
    <row r="85" spans="1:14" x14ac:dyDescent="0.25">
      <c r="A85" s="2" t="s">
        <v>3803</v>
      </c>
      <c r="B85" s="2" t="s">
        <v>4061</v>
      </c>
      <c r="C85" s="2" t="s">
        <v>4189</v>
      </c>
      <c r="D85" s="2" t="s">
        <v>4319</v>
      </c>
      <c r="E85" s="2" t="s">
        <v>4447</v>
      </c>
      <c r="F85" s="2" t="s">
        <v>4585</v>
      </c>
      <c r="G85" t="str">
        <f t="shared" si="16"/>
        <v>084 &lt;&lt;No media&gt;&gt;</v>
      </c>
      <c r="H85" t="str">
        <f t="shared" si="14"/>
        <v>084 INIT PATCH</v>
      </c>
      <c r="I85" t="str">
        <f t="shared" si="9"/>
        <v>084 DirtyVoltage HARD LEAD</v>
      </c>
      <c r="J85" t="str">
        <f t="shared" si="15"/>
        <v>084 R&amp;B Organ 2 ORGAN</v>
      </c>
      <c r="K85" t="str">
        <f t="shared" si="10"/>
        <v>084 Loco Voco SYNTH BASS</v>
      </c>
      <c r="L85" t="str">
        <f t="shared" si="11"/>
        <v>084 Porta SoloLd HARD LEAD</v>
      </c>
      <c r="M85" t="str">
        <f t="shared" si="12"/>
        <v>084 Beat Vox VOX</v>
      </c>
      <c r="N85" t="str">
        <f t="shared" si="13"/>
        <v>084 Monsoon PLUCKED</v>
      </c>
    </row>
    <row r="86" spans="1:14" x14ac:dyDescent="0.25">
      <c r="A86" s="2" t="s">
        <v>3804</v>
      </c>
      <c r="B86" s="2" t="s">
        <v>4062</v>
      </c>
      <c r="C86" s="2" t="s">
        <v>4190</v>
      </c>
      <c r="D86" s="2" t="s">
        <v>4320</v>
      </c>
      <c r="E86" s="2" t="s">
        <v>4448</v>
      </c>
      <c r="F86" s="2" t="s">
        <v>4586</v>
      </c>
      <c r="G86" t="str">
        <f t="shared" si="16"/>
        <v>085 &lt;&lt;No media&gt;&gt;</v>
      </c>
      <c r="H86" t="str">
        <f t="shared" si="14"/>
        <v>085 INIT PATCH</v>
      </c>
      <c r="I86" t="str">
        <f t="shared" si="9"/>
        <v>085 Blue Meanie HARD LEAD</v>
      </c>
      <c r="J86" t="str">
        <f t="shared" si="15"/>
        <v>085 Zepix Organ ORGAN</v>
      </c>
      <c r="K86" t="str">
        <f t="shared" si="10"/>
        <v>085 TBasic SYNTH BASS</v>
      </c>
      <c r="L86" t="str">
        <f t="shared" si="11"/>
        <v>085 FS Saw Ld 1 HARD LEAD</v>
      </c>
      <c r="M86" t="str">
        <f t="shared" si="12"/>
        <v>085 Scat Beats VOX</v>
      </c>
      <c r="N86" t="str">
        <f t="shared" si="13"/>
        <v>085 Bend Koto PLUCKED</v>
      </c>
    </row>
    <row r="87" spans="1:14" x14ac:dyDescent="0.25">
      <c r="A87" s="2" t="s">
        <v>3805</v>
      </c>
      <c r="B87" s="2" t="s">
        <v>4063</v>
      </c>
      <c r="C87" s="2" t="s">
        <v>4191</v>
      </c>
      <c r="D87" s="2" t="s">
        <v>4321</v>
      </c>
      <c r="E87" s="2" t="s">
        <v>4449</v>
      </c>
      <c r="F87" s="2" t="s">
        <v>4587</v>
      </c>
      <c r="G87" t="str">
        <f t="shared" si="16"/>
        <v>086 &lt;&lt;No media&gt;&gt;</v>
      </c>
      <c r="H87" t="str">
        <f t="shared" si="14"/>
        <v>086 INIT PATCH</v>
      </c>
      <c r="I87" t="str">
        <f t="shared" si="9"/>
        <v>086 "Q" DualSaws HARD LEAD</v>
      </c>
      <c r="J87" t="str">
        <f t="shared" si="15"/>
        <v>086 Peep Durple ORGAN</v>
      </c>
      <c r="K87" t="str">
        <f t="shared" si="10"/>
        <v>086 Unplug it! SYNTH BASS</v>
      </c>
      <c r="L87" t="str">
        <f t="shared" si="11"/>
        <v>086 FS Saw Ld 2 HARD LEAD</v>
      </c>
      <c r="M87" t="str">
        <f t="shared" si="12"/>
        <v>086 Choir Aahs 1 VOX</v>
      </c>
      <c r="N87" t="str">
        <f t="shared" si="13"/>
        <v>086 LongDistance ETHNIC</v>
      </c>
    </row>
    <row r="88" spans="1:14" x14ac:dyDescent="0.25">
      <c r="A88" s="2" t="s">
        <v>3806</v>
      </c>
      <c r="B88" s="2" t="s">
        <v>4064</v>
      </c>
      <c r="C88" s="2" t="s">
        <v>4192</v>
      </c>
      <c r="D88" s="2" t="s">
        <v>4322</v>
      </c>
      <c r="E88" s="2" t="s">
        <v>4450</v>
      </c>
      <c r="F88" s="2" t="s">
        <v>4588</v>
      </c>
      <c r="G88" t="str">
        <f t="shared" si="16"/>
        <v>087 &lt;&lt;No media&gt;&gt;</v>
      </c>
      <c r="H88" t="str">
        <f t="shared" si="14"/>
        <v>087 INIT PATCH</v>
      </c>
      <c r="I88" t="str">
        <f t="shared" si="9"/>
        <v>087 X-Sink Delay HARD LEAD</v>
      </c>
      <c r="J88" t="str">
        <f t="shared" si="15"/>
        <v>087 FS Dist Bee ORGAN</v>
      </c>
      <c r="K88" t="str">
        <f t="shared" si="10"/>
        <v>087 V.Form Bass SYNTH BASS</v>
      </c>
      <c r="L88" t="str">
        <f t="shared" si="11"/>
        <v>087 Wind Syn Ld HARD LEAD</v>
      </c>
      <c r="M88" t="str">
        <f t="shared" si="12"/>
        <v>087 Choir Aahs 2 VOX</v>
      </c>
      <c r="N88" t="str">
        <f t="shared" si="13"/>
        <v>087 Ambi Shaku ETHNIC</v>
      </c>
    </row>
    <row r="89" spans="1:14" x14ac:dyDescent="0.25">
      <c r="A89" s="2" t="s">
        <v>3807</v>
      </c>
      <c r="B89" s="2" t="s">
        <v>4065</v>
      </c>
      <c r="C89" s="2" t="s">
        <v>4193</v>
      </c>
      <c r="D89" s="2" t="s">
        <v>4323</v>
      </c>
      <c r="E89" s="2" t="s">
        <v>4451</v>
      </c>
      <c r="F89" s="2" t="s">
        <v>4589</v>
      </c>
      <c r="G89" t="str">
        <f t="shared" si="16"/>
        <v>088 &lt;&lt;No media&gt;&gt;</v>
      </c>
      <c r="H89" t="str">
        <f t="shared" si="14"/>
        <v>088 INIT PATCH</v>
      </c>
      <c r="I89" t="str">
        <f t="shared" si="9"/>
        <v>088 Defcon HARD LEAD</v>
      </c>
      <c r="J89" t="str">
        <f t="shared" si="15"/>
        <v>088 60´s Org 1 ORGAN</v>
      </c>
      <c r="K89" t="str">
        <f t="shared" si="10"/>
        <v>088 S&amp;H Bass SYNTH BASS</v>
      </c>
      <c r="L89" t="str">
        <f t="shared" si="11"/>
        <v>088 Dual Profs HARD LEAD</v>
      </c>
      <c r="M89" t="str">
        <f t="shared" si="12"/>
        <v>088 ChoirOoh/Aft VOX</v>
      </c>
      <c r="N89" t="str">
        <f t="shared" si="13"/>
        <v>088 FS PipeDream ETHNIC</v>
      </c>
    </row>
    <row r="90" spans="1:14" x14ac:dyDescent="0.25">
      <c r="A90" s="2" t="s">
        <v>3808</v>
      </c>
      <c r="B90" s="2" t="s">
        <v>4066</v>
      </c>
      <c r="C90" s="2" t="s">
        <v>4194</v>
      </c>
      <c r="D90" s="2" t="s">
        <v>4324</v>
      </c>
      <c r="E90" s="2" t="s">
        <v>4452</v>
      </c>
      <c r="F90" s="2" t="s">
        <v>4590</v>
      </c>
      <c r="G90" t="str">
        <f t="shared" si="16"/>
        <v>089 &lt;&lt;No media&gt;&gt;</v>
      </c>
      <c r="H90" t="str">
        <f t="shared" si="14"/>
        <v>089 INIT PATCH</v>
      </c>
      <c r="I90" t="str">
        <f t="shared" si="9"/>
        <v>089 HumanKindnes SOFT PAD</v>
      </c>
      <c r="J90" t="str">
        <f t="shared" si="15"/>
        <v>089 60´s Org 2 ORGAN</v>
      </c>
      <c r="K90" t="str">
        <f t="shared" si="10"/>
        <v>089 Destroyed Bs SYNTH BASS</v>
      </c>
      <c r="L90" t="str">
        <f t="shared" si="11"/>
        <v>089 Gwyo Press HARD LEAD</v>
      </c>
      <c r="M90" t="str">
        <f t="shared" si="12"/>
        <v>089 Angels Choir VOX</v>
      </c>
      <c r="N90" t="str">
        <f t="shared" si="13"/>
        <v>089 FS Lochscape ETHNIC</v>
      </c>
    </row>
    <row r="91" spans="1:14" x14ac:dyDescent="0.25">
      <c r="A91" s="2" t="s">
        <v>3809</v>
      </c>
      <c r="B91" s="2" t="s">
        <v>4067</v>
      </c>
      <c r="C91" s="2" t="s">
        <v>4195</v>
      </c>
      <c r="D91" s="2" t="s">
        <v>4325</v>
      </c>
      <c r="E91" s="2" t="s">
        <v>4453</v>
      </c>
      <c r="F91" s="2" t="s">
        <v>4591</v>
      </c>
      <c r="G91" t="str">
        <f t="shared" si="16"/>
        <v>090 &lt;&lt;No media&gt;&gt;</v>
      </c>
      <c r="H91" t="str">
        <f t="shared" si="14"/>
        <v>090 INIT PATCH</v>
      </c>
      <c r="I91" t="str">
        <f t="shared" si="9"/>
        <v>090 Atmospherics SOFT PAD</v>
      </c>
      <c r="J91" t="str">
        <f t="shared" si="15"/>
        <v>090 FS SoapOpera ORGAN</v>
      </c>
      <c r="K91" t="str">
        <f t="shared" si="10"/>
        <v>090 FS Acid Bs SYNTH BASS</v>
      </c>
      <c r="L91" t="str">
        <f t="shared" si="11"/>
        <v>090 "Q" DualSaws HARD LEAD</v>
      </c>
      <c r="M91" t="str">
        <f t="shared" si="12"/>
        <v>090 Angelique VOX</v>
      </c>
      <c r="N91" t="str">
        <f t="shared" si="13"/>
        <v>090 FS Far East ETHNIC</v>
      </c>
    </row>
    <row r="92" spans="1:14" x14ac:dyDescent="0.25">
      <c r="A92" s="2" t="s">
        <v>3810</v>
      </c>
      <c r="B92" s="2" t="s">
        <v>4068</v>
      </c>
      <c r="C92" s="2" t="s">
        <v>4196</v>
      </c>
      <c r="D92" s="2" t="s">
        <v>4326</v>
      </c>
      <c r="E92" s="2" t="s">
        <v>4454</v>
      </c>
      <c r="F92" s="2" t="s">
        <v>4592</v>
      </c>
      <c r="G92" t="str">
        <f t="shared" si="16"/>
        <v>091 &lt;&lt;No media&gt;&gt;</v>
      </c>
      <c r="H92" t="str">
        <f t="shared" si="14"/>
        <v>091 INIT PATCH</v>
      </c>
      <c r="I92" t="str">
        <f t="shared" si="9"/>
        <v>091 In The Pass BRIGHT PAD</v>
      </c>
      <c r="J92" t="str">
        <f t="shared" si="15"/>
        <v>091 Chapel Organ ORGAN</v>
      </c>
      <c r="K92" t="str">
        <f t="shared" si="10"/>
        <v>091 Lo-Fi TB SYNTH BASS</v>
      </c>
      <c r="L92" t="str">
        <f t="shared" si="11"/>
        <v>091 Mogulator Ld HARD LEAD</v>
      </c>
      <c r="M92" t="str">
        <f t="shared" si="12"/>
        <v>091 Gospel Oohs VOX</v>
      </c>
      <c r="N92" t="str">
        <f t="shared" si="13"/>
        <v>091 Banjo FRETTED</v>
      </c>
    </row>
    <row r="93" spans="1:14" x14ac:dyDescent="0.25">
      <c r="A93" s="2" t="s">
        <v>3811</v>
      </c>
      <c r="B93" s="2" t="s">
        <v>4069</v>
      </c>
      <c r="C93" s="2" t="s">
        <v>4197</v>
      </c>
      <c r="D93" s="2" t="s">
        <v>4327</v>
      </c>
      <c r="E93" s="2" t="s">
        <v>4455</v>
      </c>
      <c r="F93" s="2" t="s">
        <v>4593</v>
      </c>
      <c r="G93" t="str">
        <f t="shared" si="16"/>
        <v>092 &lt;&lt;No media&gt;&gt;</v>
      </c>
      <c r="H93" t="str">
        <f t="shared" si="14"/>
        <v>092 INIT PATCH</v>
      </c>
      <c r="I93" t="str">
        <f t="shared" si="9"/>
        <v>092 SaturnHolida BRIGHT PAD</v>
      </c>
      <c r="J93" t="str">
        <f t="shared" si="15"/>
        <v>092 Grand Pipe ORGAN</v>
      </c>
      <c r="K93" t="str">
        <f t="shared" si="10"/>
        <v>092 Violin STRINGS</v>
      </c>
      <c r="L93" t="str">
        <f t="shared" si="11"/>
        <v>092 DirtyVoltage HARD LEAD</v>
      </c>
      <c r="M93" t="str">
        <f t="shared" si="12"/>
        <v>092 Uhmmm VOX</v>
      </c>
      <c r="N93" t="str">
        <f t="shared" si="13"/>
        <v>092 Breath Slice SYNTH FX</v>
      </c>
    </row>
    <row r="94" spans="1:14" x14ac:dyDescent="0.25">
      <c r="A94" s="2" t="s">
        <v>3812</v>
      </c>
      <c r="B94" s="2" t="s">
        <v>4070</v>
      </c>
      <c r="C94" s="2" t="s">
        <v>4198</v>
      </c>
      <c r="D94" s="2" t="s">
        <v>4328</v>
      </c>
      <c r="E94" s="2" t="s">
        <v>4456</v>
      </c>
      <c r="F94" s="2" t="s">
        <v>4594</v>
      </c>
      <c r="G94" t="str">
        <f t="shared" si="16"/>
        <v>093 &lt;&lt;No media&gt;&gt;</v>
      </c>
      <c r="H94" t="str">
        <f t="shared" si="14"/>
        <v>093 INIT PATCH</v>
      </c>
      <c r="I94" t="str">
        <f t="shared" si="9"/>
        <v>093 Cloud #9 SOFT PAD</v>
      </c>
      <c r="J94" t="str">
        <f t="shared" si="15"/>
        <v>093 Masked Opera ORGAN</v>
      </c>
      <c r="K94" t="str">
        <f t="shared" si="10"/>
        <v>093 Viola STRINGS</v>
      </c>
      <c r="L94" t="str">
        <f t="shared" si="11"/>
        <v>093 Clean? HARD LEAD</v>
      </c>
      <c r="M94" t="str">
        <f t="shared" si="12"/>
        <v>093 Aah Vox VOX</v>
      </c>
      <c r="N94" t="str">
        <f t="shared" si="13"/>
        <v>093 Lazer Points SYNTH FX</v>
      </c>
    </row>
    <row r="95" spans="1:14" x14ac:dyDescent="0.25">
      <c r="A95" s="2" t="s">
        <v>3813</v>
      </c>
      <c r="B95" s="2" t="s">
        <v>4071</v>
      </c>
      <c r="C95" s="2" t="s">
        <v>4199</v>
      </c>
      <c r="D95" s="2" t="s">
        <v>4329</v>
      </c>
      <c r="E95" s="2" t="s">
        <v>4457</v>
      </c>
      <c r="F95" s="2" t="s">
        <v>4595</v>
      </c>
      <c r="G95" t="str">
        <f t="shared" si="16"/>
        <v>094 &lt;&lt;No media&gt;&gt;</v>
      </c>
      <c r="H95" t="str">
        <f t="shared" si="14"/>
        <v>094 INIT PATCH</v>
      </c>
      <c r="I95" t="str">
        <f t="shared" si="9"/>
        <v>094 Vulcano Pad SOFT PAD</v>
      </c>
      <c r="J95" t="str">
        <f t="shared" si="15"/>
        <v>094 Pipe Org/Mod ORGAN</v>
      </c>
      <c r="K95" t="str">
        <f t="shared" si="10"/>
        <v>094 Cello STRINGS</v>
      </c>
      <c r="L95" t="str">
        <f t="shared" si="11"/>
        <v>094 Distortion HARD LEAD</v>
      </c>
      <c r="M95" t="str">
        <f t="shared" si="12"/>
        <v>094 Morning Star VOX</v>
      </c>
      <c r="N95" t="str">
        <f t="shared" si="13"/>
        <v>094 Chaos 2003 SYNTH FX</v>
      </c>
    </row>
    <row r="96" spans="1:14" x14ac:dyDescent="0.25">
      <c r="A96" s="2" t="s">
        <v>3814</v>
      </c>
      <c r="B96" s="2" t="s">
        <v>4072</v>
      </c>
      <c r="C96" s="2" t="s">
        <v>4200</v>
      </c>
      <c r="D96" s="2" t="s">
        <v>4330</v>
      </c>
      <c r="E96" s="2" t="s">
        <v>4458</v>
      </c>
      <c r="F96" s="2" t="s">
        <v>4596</v>
      </c>
      <c r="G96" t="str">
        <f t="shared" si="16"/>
        <v>095 &lt;&lt;No media&gt;&gt;</v>
      </c>
      <c r="H96" t="str">
        <f t="shared" si="14"/>
        <v>095 INIT PATCH</v>
      </c>
      <c r="I96" t="str">
        <f t="shared" si="9"/>
        <v>095 Strings Pad SOFT PAD</v>
      </c>
      <c r="J96" t="str">
        <f t="shared" si="15"/>
        <v>095 Vodkakordion ACCORDION</v>
      </c>
      <c r="K96" t="str">
        <f t="shared" si="10"/>
        <v>095 Contrabass STRINGS</v>
      </c>
      <c r="L96" t="str">
        <f t="shared" si="11"/>
        <v>095 FS Syn Ld HARD LEAD</v>
      </c>
      <c r="M96" t="str">
        <f t="shared" si="12"/>
        <v>095 Syn Opera VOX</v>
      </c>
      <c r="N96" t="str">
        <f t="shared" si="13"/>
        <v>095 SoundOnSound SYNTH FX</v>
      </c>
    </row>
    <row r="97" spans="1:14" x14ac:dyDescent="0.25">
      <c r="A97" s="2" t="s">
        <v>3815</v>
      </c>
      <c r="B97" s="2" t="s">
        <v>4073</v>
      </c>
      <c r="C97" s="2" t="s">
        <v>4201</v>
      </c>
      <c r="D97" s="2" t="s">
        <v>4331</v>
      </c>
      <c r="E97" s="2" t="s">
        <v>4459</v>
      </c>
      <c r="F97" s="2" t="s">
        <v>4597</v>
      </c>
      <c r="G97" t="str">
        <f t="shared" si="16"/>
        <v>096 &lt;&lt;No media&gt;&gt;</v>
      </c>
      <c r="H97" t="str">
        <f t="shared" si="14"/>
        <v>096 INIT PATCH</v>
      </c>
      <c r="I97" t="str">
        <f t="shared" si="9"/>
        <v>096 JP Strings 2 SOFT PAD</v>
      </c>
      <c r="J97" t="str">
        <f t="shared" si="15"/>
        <v>096 Squeeze Me! ACCORDION</v>
      </c>
      <c r="K97" t="str">
        <f t="shared" si="10"/>
        <v>096 Dolce Qrt STRINGS</v>
      </c>
      <c r="L97" t="str">
        <f t="shared" si="11"/>
        <v>096 SynLead 0322 HARD LEAD</v>
      </c>
      <c r="M97" t="str">
        <f t="shared" si="12"/>
        <v>096 BeautifulOne VOX</v>
      </c>
      <c r="N97" t="str">
        <f t="shared" si="13"/>
        <v>096 Low Beat-S SYNTH FX</v>
      </c>
    </row>
    <row r="98" spans="1:14" x14ac:dyDescent="0.25">
      <c r="A98" s="2" t="s">
        <v>3816</v>
      </c>
      <c r="B98" s="2" t="s">
        <v>4074</v>
      </c>
      <c r="C98" s="2" t="s">
        <v>4202</v>
      </c>
      <c r="D98" s="2" t="s">
        <v>4332</v>
      </c>
      <c r="E98" s="2" t="s">
        <v>4460</v>
      </c>
      <c r="F98" s="2" t="s">
        <v>4598</v>
      </c>
      <c r="G98" t="str">
        <f t="shared" si="16"/>
        <v>097 &lt;&lt;No media&gt;&gt;</v>
      </c>
      <c r="H98" t="str">
        <f t="shared" si="14"/>
        <v>097 INIT PATCH</v>
      </c>
      <c r="I98" t="str">
        <f t="shared" si="9"/>
        <v>097 FS MovinPad SOFT PAD</v>
      </c>
      <c r="J98" t="str">
        <f t="shared" si="15"/>
        <v>097 Guinguette ACCORDION</v>
      </c>
      <c r="K98" t="str">
        <f t="shared" si="10"/>
        <v>097 Chamber Str STRINGS</v>
      </c>
      <c r="L98" t="str">
        <f t="shared" si="11"/>
        <v>097 Digital Ld 2 HARD LEAD</v>
      </c>
      <c r="M98" t="str">
        <f t="shared" si="12"/>
        <v>097 Ooze VOX</v>
      </c>
      <c r="N98" t="str">
        <f t="shared" si="13"/>
        <v>097 Control Room SYNTH FX</v>
      </c>
    </row>
    <row r="99" spans="1:14" x14ac:dyDescent="0.25">
      <c r="A99" s="2" t="s">
        <v>3817</v>
      </c>
      <c r="B99" s="2" t="s">
        <v>4075</v>
      </c>
      <c r="C99" s="2" t="s">
        <v>4203</v>
      </c>
      <c r="D99" s="2" t="s">
        <v>4333</v>
      </c>
      <c r="E99" s="2" t="s">
        <v>4461</v>
      </c>
      <c r="F99" s="2" t="s">
        <v>4599</v>
      </c>
      <c r="G99" t="str">
        <f t="shared" si="16"/>
        <v>098 &lt;&lt;No media&gt;&gt;</v>
      </c>
      <c r="H99" t="str">
        <f t="shared" si="14"/>
        <v>098 INIT PATCH</v>
      </c>
      <c r="I99" t="str">
        <f t="shared" si="9"/>
        <v>098 Organic Pad SOFT PAD</v>
      </c>
      <c r="J99" t="str">
        <f t="shared" si="15"/>
        <v>098 HarWonderca HARMONICA</v>
      </c>
      <c r="K99" t="str">
        <f t="shared" si="10"/>
        <v>098 Small Str STRINGS</v>
      </c>
      <c r="L99" t="str">
        <f t="shared" si="11"/>
        <v>098 X-Sink Delay HARD LEAD</v>
      </c>
      <c r="M99" t="str">
        <f t="shared" si="12"/>
        <v>098 Aerial Choir VOX</v>
      </c>
      <c r="N99" t="str">
        <f t="shared" si="13"/>
        <v>098 FS Try This! SYNTH FX</v>
      </c>
    </row>
    <row r="100" spans="1:14" x14ac:dyDescent="0.25">
      <c r="A100" s="2" t="s">
        <v>3818</v>
      </c>
      <c r="B100" s="2" t="s">
        <v>4076</v>
      </c>
      <c r="C100" s="2" t="s">
        <v>4204</v>
      </c>
      <c r="D100" s="2" t="s">
        <v>4334</v>
      </c>
      <c r="E100" s="2" t="s">
        <v>4462</v>
      </c>
      <c r="F100" s="2" t="s">
        <v>4600</v>
      </c>
      <c r="G100" t="str">
        <f t="shared" si="16"/>
        <v>099 &lt;&lt;No media&gt;&gt;</v>
      </c>
      <c r="H100" t="str">
        <f t="shared" si="14"/>
        <v>099 INIT PATCH</v>
      </c>
      <c r="I100" t="str">
        <f t="shared" si="9"/>
        <v>099 Reso Pad SOFT PAD</v>
      </c>
      <c r="J100" t="str">
        <f t="shared" si="15"/>
        <v>099 BluesHrp V/S HARMONICA</v>
      </c>
      <c r="K100" t="str">
        <f t="shared" si="10"/>
        <v>099 Studio Sect. STRINGS</v>
      </c>
      <c r="L100" t="str">
        <f t="shared" si="11"/>
        <v>099 Noized Lead HARD LEAD</v>
      </c>
      <c r="M100" t="str">
        <f t="shared" si="12"/>
        <v>099 3D Vox VOX</v>
      </c>
      <c r="N100" t="str">
        <f t="shared" si="13"/>
        <v>099 OutOf sortz SYNTH FX</v>
      </c>
    </row>
    <row r="101" spans="1:14" x14ac:dyDescent="0.25">
      <c r="A101" s="2" t="s">
        <v>3819</v>
      </c>
      <c r="B101" s="2" t="s">
        <v>4077</v>
      </c>
      <c r="C101" s="2" t="s">
        <v>4205</v>
      </c>
      <c r="D101" s="2" t="s">
        <v>4335</v>
      </c>
      <c r="E101" s="2" t="s">
        <v>4463</v>
      </c>
      <c r="F101" s="2" t="s">
        <v>4601</v>
      </c>
      <c r="G101" t="str">
        <f t="shared" si="16"/>
        <v>100 &lt;&lt;No media&gt;&gt;</v>
      </c>
      <c r="H101" t="str">
        <f t="shared" si="14"/>
        <v>100 INIT PATCH</v>
      </c>
      <c r="I101" t="str">
        <f t="shared" si="9"/>
        <v>100 FS Syn Str SOFT PAD</v>
      </c>
      <c r="J101" t="str">
        <f t="shared" si="15"/>
        <v>100 Green Bullet HARMONICA</v>
      </c>
      <c r="K101" t="str">
        <f t="shared" si="10"/>
        <v>100 Stringz 101 STRINGS</v>
      </c>
      <c r="L101" t="str">
        <f t="shared" si="11"/>
        <v>100 Space Lead HARD LEAD</v>
      </c>
      <c r="M101" t="str">
        <f t="shared" si="12"/>
        <v>100 FS Sqr Pad SOFT PAD</v>
      </c>
      <c r="N101" t="str">
        <f t="shared" si="13"/>
        <v>100 Seq SYNTH FX</v>
      </c>
    </row>
    <row r="102" spans="1:14" x14ac:dyDescent="0.25">
      <c r="A102" s="2" t="s">
        <v>3820</v>
      </c>
      <c r="B102" s="2" t="s">
        <v>4078</v>
      </c>
      <c r="C102" s="2" t="s">
        <v>4206</v>
      </c>
      <c r="D102" s="2" t="s">
        <v>4336</v>
      </c>
      <c r="E102" s="2" t="s">
        <v>4464</v>
      </c>
      <c r="F102" s="2" t="s">
        <v>4602</v>
      </c>
      <c r="G102" t="str">
        <f t="shared" si="16"/>
        <v>101 &lt;&lt;No media&gt;&gt;</v>
      </c>
      <c r="H102" t="str">
        <f t="shared" si="14"/>
        <v>101 INIT PATCH</v>
      </c>
      <c r="I102" t="str">
        <f t="shared" si="9"/>
        <v>101 Glass Organ SOFT PAD</v>
      </c>
      <c r="J102" t="str">
        <f t="shared" si="15"/>
        <v>101 SoftNyln Gtr AC.GUITAR</v>
      </c>
      <c r="K102" t="str">
        <f t="shared" si="10"/>
        <v>101 Crossed Bows STRINGS</v>
      </c>
      <c r="L102" t="str">
        <f t="shared" si="11"/>
        <v>101 Destroyed Ld HARD LEAD</v>
      </c>
      <c r="M102" t="str">
        <f t="shared" si="12"/>
        <v>101 FS Hollow SOFT PAD</v>
      </c>
      <c r="N102" t="str">
        <f t="shared" si="13"/>
        <v>101 Scatter SYNTH FX</v>
      </c>
    </row>
    <row r="103" spans="1:14" x14ac:dyDescent="0.25">
      <c r="A103" s="2" t="s">
        <v>3821</v>
      </c>
      <c r="B103" s="2" t="s">
        <v>4079</v>
      </c>
      <c r="C103" s="2" t="s">
        <v>4207</v>
      </c>
      <c r="D103" s="2" t="s">
        <v>4337</v>
      </c>
      <c r="E103" s="2" t="s">
        <v>4465</v>
      </c>
      <c r="F103" s="2" t="s">
        <v>4603</v>
      </c>
      <c r="G103" t="str">
        <f t="shared" si="16"/>
        <v>102 &lt;&lt;No media&gt;&gt;</v>
      </c>
      <c r="H103" t="str">
        <f t="shared" si="14"/>
        <v>102 INIT PATCH</v>
      </c>
      <c r="I103" t="str">
        <f t="shared" si="9"/>
        <v>102 Terra Nostra SOFT PAD</v>
      </c>
      <c r="J103" t="str">
        <f t="shared" si="15"/>
        <v>102 FS Nylon Gt AC.GUITAR</v>
      </c>
      <c r="K103" t="str">
        <f t="shared" si="10"/>
        <v>102 FS Strings STRINGS</v>
      </c>
      <c r="L103" t="str">
        <f t="shared" si="11"/>
        <v>102 SyncModulate HARD LEAD</v>
      </c>
      <c r="M103" t="str">
        <f t="shared" si="12"/>
        <v>102 Silk Pad SOFT PAD</v>
      </c>
      <c r="N103" t="str">
        <f t="shared" si="13"/>
        <v>102 WaitnOutside SYNTH FX</v>
      </c>
    </row>
    <row r="104" spans="1:14" x14ac:dyDescent="0.25">
      <c r="A104" s="2" t="s">
        <v>3822</v>
      </c>
      <c r="B104" s="2" t="s">
        <v>4080</v>
      </c>
      <c r="C104" s="2" t="s">
        <v>4208</v>
      </c>
      <c r="D104" s="2" t="s">
        <v>4338</v>
      </c>
      <c r="E104" s="2" t="s">
        <v>4466</v>
      </c>
      <c r="F104" s="2" t="s">
        <v>4604</v>
      </c>
      <c r="G104" t="str">
        <f t="shared" si="16"/>
        <v>103 &lt;&lt;No media&gt;&gt;</v>
      </c>
      <c r="H104" t="str">
        <f t="shared" si="14"/>
        <v>103 INIT PATCH</v>
      </c>
      <c r="I104" t="str">
        <f t="shared" si="9"/>
        <v>103 Seq-Pad 1 SOFT PAD</v>
      </c>
      <c r="J104" t="str">
        <f t="shared" si="15"/>
        <v>103 Wet Nyln Gtr AC.GUITAR</v>
      </c>
      <c r="K104" t="str">
        <f t="shared" si="10"/>
        <v>103 2-way Sect. STRINGS</v>
      </c>
      <c r="L104" t="str">
        <f t="shared" si="11"/>
        <v>103 Sync Tank HARD LEAD</v>
      </c>
      <c r="M104" t="str">
        <f t="shared" si="12"/>
        <v>103 WarmReso Pad SOFT PAD</v>
      </c>
      <c r="N104" t="str">
        <f t="shared" si="13"/>
        <v>103 Ambience SYNTH FX</v>
      </c>
    </row>
    <row r="105" spans="1:14" x14ac:dyDescent="0.25">
      <c r="A105" s="2" t="s">
        <v>3823</v>
      </c>
      <c r="B105" s="2" t="s">
        <v>4081</v>
      </c>
      <c r="C105" s="2" t="s">
        <v>4209</v>
      </c>
      <c r="D105" s="2" t="s">
        <v>4339</v>
      </c>
      <c r="E105" s="2" t="s">
        <v>4467</v>
      </c>
      <c r="F105" s="2" t="s">
        <v>4605</v>
      </c>
      <c r="G105" t="str">
        <f t="shared" si="16"/>
        <v>104 &lt;&lt;No media&gt;&gt;</v>
      </c>
      <c r="H105" t="str">
        <f t="shared" si="14"/>
        <v>104 INIT PATCH</v>
      </c>
      <c r="I105" t="str">
        <f t="shared" si="9"/>
        <v>104 Neuro-Drone BRIGHT PAD</v>
      </c>
      <c r="J105" t="str">
        <f t="shared" si="15"/>
        <v>104 Pre Mass Hum AC.GUITAR</v>
      </c>
      <c r="K105" t="str">
        <f t="shared" si="10"/>
        <v>104 Warm Strings STRINGS</v>
      </c>
      <c r="L105" t="str">
        <f t="shared" si="11"/>
        <v>104 Squareheads HARD LEAD</v>
      </c>
      <c r="M105" t="str">
        <f t="shared" si="12"/>
        <v>104 FS Soft Pad SOFT PAD</v>
      </c>
      <c r="N105" t="str">
        <f t="shared" si="13"/>
        <v>104 Fantom Noise SYNTH FX</v>
      </c>
    </row>
    <row r="106" spans="1:14" x14ac:dyDescent="0.25">
      <c r="A106" s="2" t="s">
        <v>3824</v>
      </c>
      <c r="B106" s="2" t="s">
        <v>4082</v>
      </c>
      <c r="C106" s="2" t="s">
        <v>4210</v>
      </c>
      <c r="D106" s="2" t="s">
        <v>4340</v>
      </c>
      <c r="E106" s="2" t="s">
        <v>4468</v>
      </c>
      <c r="F106" s="2" t="s">
        <v>4606</v>
      </c>
      <c r="G106" t="str">
        <f t="shared" si="16"/>
        <v>105 &lt;&lt;No media&gt;&gt;</v>
      </c>
      <c r="H106" t="str">
        <f t="shared" si="14"/>
        <v>105 INIT PATCH</v>
      </c>
      <c r="I106" t="str">
        <f t="shared" si="9"/>
        <v>105 HugeSoundMod BRIGHT PAD</v>
      </c>
      <c r="J106" t="str">
        <f t="shared" si="15"/>
        <v>105 Thick Steel AC.GUITAR</v>
      </c>
      <c r="K106" t="str">
        <f t="shared" si="10"/>
        <v>105 Stacc mp Str STRINGS</v>
      </c>
      <c r="L106" t="str">
        <f t="shared" si="11"/>
        <v>105 Distorted MG HARD LEAD</v>
      </c>
      <c r="M106" t="str">
        <f t="shared" si="12"/>
        <v>105 Soft Breeze SOFT PAD</v>
      </c>
      <c r="N106" t="str">
        <f t="shared" si="13"/>
        <v>105 Breath Echo SYNTH FX</v>
      </c>
    </row>
    <row r="107" spans="1:14" x14ac:dyDescent="0.25">
      <c r="A107" s="2" t="s">
        <v>3825</v>
      </c>
      <c r="B107" s="2" t="s">
        <v>4083</v>
      </c>
      <c r="C107" s="2" t="s">
        <v>4211</v>
      </c>
      <c r="D107" s="2" t="s">
        <v>4341</v>
      </c>
      <c r="E107" s="2" t="s">
        <v>4469</v>
      </c>
      <c r="F107" s="2" t="s">
        <v>4607</v>
      </c>
      <c r="G107" t="str">
        <f t="shared" si="16"/>
        <v>106 &lt;&lt;No media&gt;&gt;</v>
      </c>
      <c r="H107" t="str">
        <f t="shared" si="14"/>
        <v>106 INIT PATCH</v>
      </c>
      <c r="I107" t="str">
        <f t="shared" si="9"/>
        <v>106 MistOver5ths BRIGHT PAD</v>
      </c>
      <c r="J107" t="str">
        <f t="shared" si="15"/>
        <v>106 Uncle Martin AC.GUITAR</v>
      </c>
      <c r="K107" t="str">
        <f t="shared" si="10"/>
        <v>106 Magnolia Str STRINGS</v>
      </c>
      <c r="L107" t="str">
        <f t="shared" si="11"/>
        <v>106 SonicVampire HARD LEAD</v>
      </c>
      <c r="M107" t="str">
        <f t="shared" si="12"/>
        <v>106 JP Strings 1 SOFT PAD</v>
      </c>
      <c r="N107" t="str">
        <f t="shared" si="13"/>
        <v>106 SoundStrange SYNTH FX</v>
      </c>
    </row>
    <row r="108" spans="1:14" x14ac:dyDescent="0.25">
      <c r="A108" s="2" t="s">
        <v>3826</v>
      </c>
      <c r="B108" s="2" t="s">
        <v>4084</v>
      </c>
      <c r="C108" s="2" t="s">
        <v>4212</v>
      </c>
      <c r="D108" s="2" t="s">
        <v>4342</v>
      </c>
      <c r="E108" s="2" t="s">
        <v>4470</v>
      </c>
      <c r="F108" s="2" t="s">
        <v>4608</v>
      </c>
      <c r="G108" t="str">
        <f t="shared" si="16"/>
        <v>107 &lt;&lt;No media&gt;&gt;</v>
      </c>
      <c r="H108" t="str">
        <f t="shared" si="14"/>
        <v>107 INIT PATCH</v>
      </c>
      <c r="I108" t="str">
        <f t="shared" si="9"/>
        <v>107 Polar Night BRIGHT PAD</v>
      </c>
      <c r="J108" t="str">
        <f t="shared" si="15"/>
        <v>107 Wide Ac Gtr AC.GUITAR</v>
      </c>
      <c r="K108" t="str">
        <f t="shared" si="10"/>
        <v>107 Movie Scene STRINGS</v>
      </c>
      <c r="L108" t="str">
        <f t="shared" si="11"/>
        <v>107 Blue Meanie HARD LEAD</v>
      </c>
      <c r="M108" t="str">
        <f t="shared" si="12"/>
        <v>107 JP Strings 2 SOFT PAD</v>
      </c>
      <c r="N108" t="str">
        <f t="shared" si="13"/>
        <v>107 Cosmic Pulse SYNTH FX</v>
      </c>
    </row>
    <row r="109" spans="1:14" x14ac:dyDescent="0.25">
      <c r="A109" s="2" t="s">
        <v>3827</v>
      </c>
      <c r="B109" s="2" t="s">
        <v>4085</v>
      </c>
      <c r="C109" s="2" t="s">
        <v>4213</v>
      </c>
      <c r="D109" s="2" t="s">
        <v>4343</v>
      </c>
      <c r="E109" s="2" t="s">
        <v>4471</v>
      </c>
      <c r="F109" s="2" t="s">
        <v>4609</v>
      </c>
      <c r="G109" t="str">
        <f t="shared" si="16"/>
        <v>108 &lt;&lt;No media&gt;&gt;</v>
      </c>
      <c r="H109" t="str">
        <f t="shared" si="14"/>
        <v>108 INIT PATCH</v>
      </c>
      <c r="I109" t="str">
        <f t="shared" si="9"/>
        <v>108 BillionStars BRIGHT PAD</v>
      </c>
      <c r="J109" t="str">
        <f t="shared" si="15"/>
        <v>108 Comp Stl Gtr AC.GUITAR</v>
      </c>
      <c r="K109" t="str">
        <f t="shared" si="10"/>
        <v>108 Gang Strangs STRINGS</v>
      </c>
      <c r="L109" t="str">
        <f t="shared" si="11"/>
        <v>108 Defcon HARD LEAD</v>
      </c>
      <c r="M109" t="str">
        <f t="shared" si="12"/>
        <v>108 FS Syn Str SOFT PAD</v>
      </c>
      <c r="N109" t="str">
        <f t="shared" si="13"/>
        <v>108 Faked Piano SYNTH FX</v>
      </c>
    </row>
    <row r="110" spans="1:14" x14ac:dyDescent="0.25">
      <c r="A110" s="2" t="s">
        <v>3828</v>
      </c>
      <c r="B110" s="2" t="s">
        <v>4086</v>
      </c>
      <c r="C110" s="2" t="s">
        <v>4214</v>
      </c>
      <c r="D110" s="2" t="s">
        <v>4344</v>
      </c>
      <c r="E110" s="2" t="s">
        <v>4472</v>
      </c>
      <c r="F110" s="2" t="s">
        <v>4610</v>
      </c>
      <c r="G110" t="str">
        <f t="shared" si="16"/>
        <v>109 &lt;&lt;No media&gt;&gt;</v>
      </c>
      <c r="H110" t="str">
        <f t="shared" si="14"/>
        <v>109 INIT PATCH</v>
      </c>
      <c r="I110" t="str">
        <f t="shared" si="9"/>
        <v>109 Mod Dare BRIGHT PAD</v>
      </c>
      <c r="J110" t="str">
        <f t="shared" si="15"/>
        <v>109 Stl Gtr Duo AC.GUITAR</v>
      </c>
      <c r="K110" t="str">
        <f t="shared" si="10"/>
        <v>109 Clustered!?! STRINGS</v>
      </c>
      <c r="L110" t="str">
        <f t="shared" si="11"/>
        <v>109 Stimulation HARD LEAD</v>
      </c>
      <c r="M110" t="str">
        <f t="shared" si="12"/>
        <v>109 Syn Strings SOFT PAD</v>
      </c>
      <c r="N110" t="str">
        <f t="shared" si="13"/>
        <v>109 Tubulence SYNTH FX</v>
      </c>
    </row>
    <row r="111" spans="1:14" x14ac:dyDescent="0.25">
      <c r="A111" s="2" t="s">
        <v>3829</v>
      </c>
      <c r="B111" s="2" t="s">
        <v>4087</v>
      </c>
      <c r="C111" s="2" t="s">
        <v>4215</v>
      </c>
      <c r="D111" s="2" t="s">
        <v>4345</v>
      </c>
      <c r="E111" s="2" t="s">
        <v>4473</v>
      </c>
      <c r="F111" s="2" t="s">
        <v>4611</v>
      </c>
      <c r="G111" t="str">
        <f t="shared" si="16"/>
        <v>110 &lt;&lt;No media&gt;&gt;</v>
      </c>
      <c r="H111" t="str">
        <f t="shared" si="14"/>
        <v>110 INIT PATCH</v>
      </c>
      <c r="I111" t="str">
        <f t="shared" si="9"/>
        <v>110 Distant Sun BRIGHT PAD</v>
      </c>
      <c r="J111" t="str">
        <f t="shared" si="15"/>
        <v>110 FS 12str Gtr AC.GUITAR</v>
      </c>
      <c r="K111" t="str">
        <f t="shared" si="10"/>
        <v>110 DramaSect/sw STRINGS</v>
      </c>
      <c r="L111" t="str">
        <f t="shared" si="11"/>
        <v>110 Sub Hit HIT&amp;STAB</v>
      </c>
      <c r="M111" t="str">
        <f t="shared" si="12"/>
        <v>110 OB Slow Str SOFT PAD</v>
      </c>
      <c r="N111" t="str">
        <f t="shared" si="13"/>
        <v>110 South Pole SYNTH FX</v>
      </c>
    </row>
    <row r="112" spans="1:14" x14ac:dyDescent="0.25">
      <c r="A112" s="2" t="s">
        <v>3830</v>
      </c>
      <c r="B112" s="2" t="s">
        <v>4088</v>
      </c>
      <c r="C112" s="2" t="s">
        <v>4216</v>
      </c>
      <c r="D112" s="2" t="s">
        <v>4346</v>
      </c>
      <c r="E112" s="2" t="s">
        <v>4474</v>
      </c>
      <c r="F112" s="2" t="s">
        <v>4612</v>
      </c>
      <c r="G112" t="str">
        <f t="shared" si="16"/>
        <v>111 &lt;&lt;No media&gt;&gt;</v>
      </c>
      <c r="H112" t="str">
        <f t="shared" si="14"/>
        <v>111 INIT PATCH</v>
      </c>
      <c r="I112" t="str">
        <f t="shared" si="9"/>
        <v>111 Filmscape BRIGHT PAD</v>
      </c>
      <c r="J112" t="str">
        <f t="shared" si="15"/>
        <v>111 So good ! AC.GUITAR</v>
      </c>
      <c r="K112" t="str">
        <f t="shared" si="10"/>
        <v>111 DelicatePizz STRINGS</v>
      </c>
      <c r="L112" t="str">
        <f t="shared" si="11"/>
        <v>111 Blue Ice HIT&amp;STAB</v>
      </c>
      <c r="M112" t="str">
        <f t="shared" si="12"/>
        <v>111 Super SynStr SOFT PAD</v>
      </c>
      <c r="N112" t="str">
        <f t="shared" si="13"/>
        <v>111 FS Crystal SYNTH FX</v>
      </c>
    </row>
    <row r="113" spans="1:14" x14ac:dyDescent="0.25">
      <c r="A113" s="2" t="s">
        <v>3831</v>
      </c>
      <c r="B113" s="2" t="s">
        <v>4089</v>
      </c>
      <c r="C113" s="2" t="s">
        <v>4217</v>
      </c>
      <c r="D113" s="2" t="s">
        <v>4347</v>
      </c>
      <c r="E113" s="2" t="s">
        <v>4475</v>
      </c>
      <c r="F113" s="2" t="s">
        <v>4613</v>
      </c>
      <c r="G113" t="str">
        <f t="shared" si="16"/>
        <v>112 &lt;&lt;No media&gt;&gt;</v>
      </c>
      <c r="H113" t="str">
        <f t="shared" si="14"/>
        <v>112 INIT PATCH</v>
      </c>
      <c r="I113" t="str">
        <f t="shared" si="9"/>
        <v>112 OB Rezo Pad BRIGHT PAD</v>
      </c>
      <c r="J113" t="str">
        <f t="shared" si="15"/>
        <v>112 Muted Gtr Pk EL.GUITAR</v>
      </c>
      <c r="K113" t="str">
        <f t="shared" si="10"/>
        <v>112 Vls PizzHall STRINGS</v>
      </c>
      <c r="L113" t="str">
        <f t="shared" si="11"/>
        <v>112 .16 Orch HIT&amp;STAB</v>
      </c>
      <c r="M113" t="str">
        <f t="shared" si="12"/>
        <v>112 Strings Pad SOFT PAD</v>
      </c>
      <c r="N113" t="str">
        <f t="shared" si="13"/>
        <v>112 ResoSweep Dn SYNTH FX</v>
      </c>
    </row>
    <row r="114" spans="1:14" x14ac:dyDescent="0.25">
      <c r="A114" s="2" t="s">
        <v>3832</v>
      </c>
      <c r="B114" s="2" t="s">
        <v>4090</v>
      </c>
      <c r="C114" s="2" t="s">
        <v>4218</v>
      </c>
      <c r="D114" s="2" t="s">
        <v>4348</v>
      </c>
      <c r="E114" s="2" t="s">
        <v>4476</v>
      </c>
      <c r="F114" s="2" t="s">
        <v>4614</v>
      </c>
      <c r="G114" t="str">
        <f t="shared" si="16"/>
        <v>113 &lt;&lt;No media&gt;&gt;</v>
      </c>
      <c r="H114" t="str">
        <f t="shared" si="14"/>
        <v>113 INIT PATCH</v>
      </c>
      <c r="I114" t="str">
        <f t="shared" si="9"/>
        <v>113 Voyager BRIGHT PAD</v>
      </c>
      <c r="J114" t="str">
        <f t="shared" si="15"/>
        <v>113 StratSeq´nce EL.GUITAR</v>
      </c>
      <c r="K114" t="str">
        <f t="shared" si="10"/>
        <v>113 Orch Pizz STRINGS</v>
      </c>
      <c r="L114" t="str">
        <f t="shared" si="11"/>
        <v>113 In da Cave HIT&amp;STAB</v>
      </c>
      <c r="M114" t="str">
        <f t="shared" si="12"/>
        <v>113 R&amp;B SoftPad SOFT PAD</v>
      </c>
      <c r="N114" t="str">
        <f t="shared" si="13"/>
        <v>113 Zap B3 &amp; C4 SYNTH FX</v>
      </c>
    </row>
    <row r="115" spans="1:14" x14ac:dyDescent="0.25">
      <c r="A115" s="2" t="s">
        <v>3833</v>
      </c>
      <c r="B115" s="2" t="s">
        <v>4091</v>
      </c>
      <c r="C115" s="2" t="s">
        <v>4219</v>
      </c>
      <c r="D115" s="2" t="s">
        <v>4349</v>
      </c>
      <c r="E115" s="2" t="s">
        <v>4477</v>
      </c>
      <c r="F115" s="2" t="s">
        <v>4615</v>
      </c>
      <c r="G115" t="str">
        <f t="shared" si="16"/>
        <v>114 &lt;&lt;No media&gt;&gt;</v>
      </c>
      <c r="H115" t="str">
        <f t="shared" si="14"/>
        <v>114 INIT PATCH</v>
      </c>
      <c r="I115" t="str">
        <f t="shared" si="9"/>
        <v>114 * Beat Dance BEAT&amp;GROOVE</v>
      </c>
      <c r="J115" t="str">
        <f t="shared" si="15"/>
        <v>114 Fixx it EL.GUITAR</v>
      </c>
      <c r="K115" t="str">
        <f t="shared" si="10"/>
        <v>114 Wind &amp; Str 1 ORCHESTRA</v>
      </c>
      <c r="L115" t="str">
        <f t="shared" si="11"/>
        <v>114 BlastfrmPast HIT&amp;STAB</v>
      </c>
      <c r="M115" t="str">
        <f t="shared" si="12"/>
        <v>114 Reso Pad SOFT PAD</v>
      </c>
      <c r="N115" t="str">
        <f t="shared" si="13"/>
        <v>114 PolySweep Nz SYNTH FX</v>
      </c>
    </row>
    <row r="116" spans="1:14" x14ac:dyDescent="0.25">
      <c r="A116" s="2" t="s">
        <v>3834</v>
      </c>
      <c r="B116" s="2" t="s">
        <v>4092</v>
      </c>
      <c r="C116" s="2" t="s">
        <v>4220</v>
      </c>
      <c r="D116" s="2" t="s">
        <v>4350</v>
      </c>
      <c r="E116" s="2" t="s">
        <v>4478</v>
      </c>
      <c r="F116" s="2" t="s">
        <v>4616</v>
      </c>
      <c r="G116" t="str">
        <f t="shared" si="16"/>
        <v>115 &lt;&lt;No media&gt;&gt;</v>
      </c>
      <c r="H116" t="str">
        <f t="shared" si="14"/>
        <v>115 INIT PATCH</v>
      </c>
      <c r="I116" t="str">
        <f t="shared" si="9"/>
        <v>115 *StepLFO Ens BEAT&amp;GROOVE</v>
      </c>
      <c r="J116" t="str">
        <f t="shared" si="15"/>
        <v>115 Jazz Guitar EL.GUITAR</v>
      </c>
      <c r="K116" t="str">
        <f t="shared" si="10"/>
        <v>115 Wind &amp; Str 2 ORCHESTRA</v>
      </c>
      <c r="L116" t="str">
        <f t="shared" si="11"/>
        <v>115 Smear Hit 1 HIT&amp;STAB</v>
      </c>
      <c r="M116" t="str">
        <f t="shared" si="12"/>
        <v>115 Phat Pad SOFT PAD</v>
      </c>
      <c r="N116" t="str">
        <f t="shared" si="13"/>
        <v>115 New Planetz SYNTH FX</v>
      </c>
    </row>
    <row r="117" spans="1:14" x14ac:dyDescent="0.25">
      <c r="A117" s="2" t="s">
        <v>3835</v>
      </c>
      <c r="B117" s="2" t="s">
        <v>4093</v>
      </c>
      <c r="C117" s="2" t="s">
        <v>4221</v>
      </c>
      <c r="D117" s="2" t="s">
        <v>4351</v>
      </c>
      <c r="E117" s="2" t="s">
        <v>4479</v>
      </c>
      <c r="F117" s="2" t="s">
        <v>4617</v>
      </c>
      <c r="G117" t="str">
        <f t="shared" si="16"/>
        <v>116 &lt;&lt;No media&gt;&gt;</v>
      </c>
      <c r="H117" t="str">
        <f t="shared" si="14"/>
        <v>116 INIT PATCH</v>
      </c>
      <c r="I117" t="str">
        <f t="shared" si="9"/>
        <v>116 * SliceDance BEAT&amp;GROOVE</v>
      </c>
      <c r="J117" t="str">
        <f t="shared" si="15"/>
        <v>116 DynoJazz Gtr EL.GUITAR</v>
      </c>
      <c r="K117" t="str">
        <f t="shared" si="10"/>
        <v>116 Farewell ORCHESTRA</v>
      </c>
      <c r="L117" t="str">
        <f t="shared" si="11"/>
        <v>116 Smear Hit 2 HIT&amp;STAB</v>
      </c>
      <c r="M117" t="str">
        <f t="shared" si="12"/>
        <v>116 FS PhaserPad SOFT PAD</v>
      </c>
      <c r="N117" t="str">
        <f t="shared" si="13"/>
        <v>116 Strange Land SYNTH FX</v>
      </c>
    </row>
    <row r="118" spans="1:14" x14ac:dyDescent="0.25">
      <c r="A118" s="2" t="s">
        <v>3836</v>
      </c>
      <c r="B118" s="2" t="s">
        <v>4094</v>
      </c>
      <c r="C118" s="2" t="s">
        <v>4222</v>
      </c>
      <c r="D118" s="2" t="s">
        <v>4352</v>
      </c>
      <c r="E118" s="2" t="s">
        <v>4480</v>
      </c>
      <c r="F118" s="2" t="s">
        <v>4618</v>
      </c>
      <c r="G118" t="str">
        <f t="shared" si="16"/>
        <v>117 &lt;&lt;No media&gt;&gt;</v>
      </c>
      <c r="H118" t="str">
        <f t="shared" si="14"/>
        <v>117 INIT PATCH</v>
      </c>
      <c r="I118" t="str">
        <f t="shared" si="9"/>
        <v>117 VirtualHuman PULSATING</v>
      </c>
      <c r="J118" t="str">
        <f t="shared" si="15"/>
        <v>117 Wet TC EL.GUITAR</v>
      </c>
      <c r="K118" t="str">
        <f t="shared" si="10"/>
        <v>117 Orch &amp; Horns ORCHESTRA</v>
      </c>
      <c r="L118" t="str">
        <f t="shared" si="11"/>
        <v>117 Good Old Hit HIT&amp;STAB</v>
      </c>
      <c r="M118" t="str">
        <f t="shared" si="12"/>
        <v>117 Mystic Str SOFT PAD</v>
      </c>
      <c r="N118" t="str">
        <f t="shared" si="13"/>
        <v>117 Trancer SYNTH FX</v>
      </c>
    </row>
    <row r="119" spans="1:14" x14ac:dyDescent="0.25">
      <c r="A119" s="2" t="s">
        <v>3837</v>
      </c>
      <c r="B119" s="2" t="s">
        <v>4095</v>
      </c>
      <c r="C119" s="2" t="s">
        <v>4223</v>
      </c>
      <c r="D119" s="2" t="s">
        <v>4353</v>
      </c>
      <c r="E119" s="2" t="s">
        <v>4481</v>
      </c>
      <c r="F119" s="2" t="s">
        <v>4619</v>
      </c>
      <c r="G119" t="str">
        <f t="shared" si="16"/>
        <v>118 &lt;&lt;No media&gt;&gt;</v>
      </c>
      <c r="H119" t="str">
        <f t="shared" si="14"/>
        <v>118 INIT PATCH</v>
      </c>
      <c r="I119" t="str">
        <f t="shared" si="9"/>
        <v>118 ShapeURMusic PULSATING</v>
      </c>
      <c r="J119" t="str">
        <f t="shared" si="15"/>
        <v>118 Clean Gtr EL.GUITAR</v>
      </c>
      <c r="K119" t="str">
        <f t="shared" si="10"/>
        <v>118 Soft Orch 1 ORCHESTRA</v>
      </c>
      <c r="L119" t="str">
        <f t="shared" si="11"/>
        <v>118 Mix Hit 1 HIT&amp;STAB</v>
      </c>
      <c r="M119" t="str">
        <f t="shared" si="12"/>
        <v>118 Glass Organ SOFT PAD</v>
      </c>
      <c r="N119" t="str">
        <f t="shared" si="13"/>
        <v>118 S&amp;H Voc SYNTH FX</v>
      </c>
    </row>
    <row r="120" spans="1:14" x14ac:dyDescent="0.25">
      <c r="A120" s="2" t="s">
        <v>3838</v>
      </c>
      <c r="B120" s="2" t="s">
        <v>4096</v>
      </c>
      <c r="C120" s="2" t="s">
        <v>4224</v>
      </c>
      <c r="D120" s="2" t="s">
        <v>4354</v>
      </c>
      <c r="E120" s="2" t="s">
        <v>4482</v>
      </c>
      <c r="F120" s="2" t="s">
        <v>4620</v>
      </c>
      <c r="G120" t="str">
        <f t="shared" si="16"/>
        <v>119 &lt;&lt;No media&gt;&gt;</v>
      </c>
      <c r="H120" t="str">
        <f t="shared" si="14"/>
        <v>119 INIT PATCH</v>
      </c>
      <c r="I120" t="str">
        <f t="shared" si="9"/>
        <v>119 Auto Trance PULSATING</v>
      </c>
      <c r="J120" t="str">
        <f t="shared" si="15"/>
        <v>119 Crimson Gtr EL.GUITAR</v>
      </c>
      <c r="K120" t="str">
        <f t="shared" si="10"/>
        <v>119 Soft Orch 2 ORCHESTRA</v>
      </c>
      <c r="L120" t="str">
        <f t="shared" si="11"/>
        <v>119 Philly Hit HIT&amp;STAB</v>
      </c>
      <c r="M120" t="str">
        <f t="shared" si="12"/>
        <v>119 Wind Pad SOFT PAD</v>
      </c>
      <c r="N120" t="str">
        <f t="shared" si="13"/>
        <v>119 12th Planet SYNTH FX</v>
      </c>
    </row>
    <row r="121" spans="1:14" x14ac:dyDescent="0.25">
      <c r="A121" s="2" t="s">
        <v>3839</v>
      </c>
      <c r="B121" s="2" t="s">
        <v>4097</v>
      </c>
      <c r="C121" s="2" t="s">
        <v>4225</v>
      </c>
      <c r="D121" s="2" t="s">
        <v>4355</v>
      </c>
      <c r="E121" s="2" t="s">
        <v>4483</v>
      </c>
      <c r="F121" s="2" t="s">
        <v>4621</v>
      </c>
      <c r="G121" t="str">
        <f t="shared" si="16"/>
        <v>120 &lt;&lt;No media&gt;&gt;</v>
      </c>
      <c r="H121" t="str">
        <f t="shared" si="14"/>
        <v>120 INIT PATCH</v>
      </c>
      <c r="I121" t="str">
        <f t="shared" si="9"/>
        <v>120 PanningFrmnt PULSATING</v>
      </c>
      <c r="J121" t="str">
        <f t="shared" si="15"/>
        <v>120 Touchee Funk EL.GUITAR</v>
      </c>
      <c r="K121" t="str">
        <f t="shared" si="10"/>
        <v>120 Henry IX ORCHESTRA</v>
      </c>
      <c r="L121" t="str">
        <f t="shared" si="11"/>
        <v>120 Mojo Man HIT&amp;STAB</v>
      </c>
      <c r="M121" t="str">
        <f t="shared" si="12"/>
        <v>120 Combination SOFT PAD</v>
      </c>
      <c r="N121" t="str">
        <f t="shared" si="13"/>
        <v>120 Ambidextrous 2 SOUND FX</v>
      </c>
    </row>
    <row r="122" spans="1:14" x14ac:dyDescent="0.25">
      <c r="A122" s="2" t="s">
        <v>3840</v>
      </c>
      <c r="B122" s="2" t="s">
        <v>4098</v>
      </c>
      <c r="C122" s="2" t="s">
        <v>4226</v>
      </c>
      <c r="D122" s="2" t="s">
        <v>4356</v>
      </c>
      <c r="E122" s="2" t="s">
        <v>4484</v>
      </c>
      <c r="F122" s="2" t="s">
        <v>4622</v>
      </c>
      <c r="G122" t="str">
        <f t="shared" si="16"/>
        <v>121 &lt;&lt;No media&gt;&gt;</v>
      </c>
      <c r="H122" t="str">
        <f t="shared" si="14"/>
        <v>121 INIT PATCH</v>
      </c>
      <c r="I122" t="str">
        <f t="shared" si="9"/>
        <v>121 Digi-Doo PULSATING</v>
      </c>
      <c r="J122" t="str">
        <f t="shared" si="15"/>
        <v>121 Plug n´ Gig EL.GUITAR</v>
      </c>
      <c r="K122" t="str">
        <f t="shared" si="10"/>
        <v>121 Ending Scene ORCHESTRA</v>
      </c>
      <c r="L122" t="str">
        <f t="shared" si="11"/>
        <v>121 Cheezy Movie HIT&amp;STAB</v>
      </c>
      <c r="M122" t="str">
        <f t="shared" si="12"/>
        <v>121 HumanKindnes SOFT PAD</v>
      </c>
      <c r="N122" t="str">
        <f t="shared" si="13"/>
        <v>121 En-co-re 4 SOUND FX</v>
      </c>
    </row>
    <row r="123" spans="1:14" x14ac:dyDescent="0.25">
      <c r="A123" s="2" t="s">
        <v>3841</v>
      </c>
      <c r="B123" s="2" t="s">
        <v>4099</v>
      </c>
      <c r="C123" s="2" t="s">
        <v>4227</v>
      </c>
      <c r="D123" s="2" t="s">
        <v>4357</v>
      </c>
      <c r="E123" s="2" t="s">
        <v>4485</v>
      </c>
      <c r="F123" s="2" t="s">
        <v>4623</v>
      </c>
      <c r="G123" t="str">
        <f t="shared" si="16"/>
        <v>122 &lt;&lt;No media&gt;&gt;</v>
      </c>
      <c r="H123" t="str">
        <f t="shared" si="14"/>
        <v>122 INIT PATCH</v>
      </c>
      <c r="I123" t="str">
        <f t="shared" si="9"/>
        <v>122 Beat Pad PULSATING</v>
      </c>
      <c r="J123" t="str">
        <f t="shared" si="15"/>
        <v>122 Kinda Kurt EL.GUITAR</v>
      </c>
      <c r="K123" t="str">
        <f t="shared" si="10"/>
        <v>122 Good Old Day WIND</v>
      </c>
      <c r="L123" t="str">
        <f t="shared" si="11"/>
        <v>122 Mix Hit 2 HIT&amp;STAB</v>
      </c>
      <c r="M123" t="str">
        <f t="shared" si="12"/>
        <v>122 Atmospherics SOFT PAD</v>
      </c>
      <c r="N123" t="str">
        <f t="shared" si="13"/>
        <v>122 Mobile Phone 1 SOUND FX</v>
      </c>
    </row>
    <row r="124" spans="1:14" x14ac:dyDescent="0.25">
      <c r="A124" s="2" t="s">
        <v>3842</v>
      </c>
      <c r="B124" s="2" t="s">
        <v>4100</v>
      </c>
      <c r="C124" s="2" t="s">
        <v>4228</v>
      </c>
      <c r="D124" s="2" t="s">
        <v>4358</v>
      </c>
      <c r="E124" s="2" t="s">
        <v>4486</v>
      </c>
      <c r="F124" s="2" t="s">
        <v>4624</v>
      </c>
      <c r="G124" t="str">
        <f t="shared" si="16"/>
        <v>123 &lt;&lt;No media&gt;&gt;</v>
      </c>
      <c r="H124" t="str">
        <f t="shared" si="14"/>
        <v>123 INIT PATCH</v>
      </c>
      <c r="I124" t="str">
        <f t="shared" si="9"/>
        <v>123 FS ResoStep PULSATING</v>
      </c>
      <c r="J124" t="str">
        <f t="shared" si="15"/>
        <v>123 Nice Oct Gtr EL.GUITAR</v>
      </c>
      <c r="K124" t="str">
        <f t="shared" si="10"/>
        <v>123 FS WindWood WIND</v>
      </c>
      <c r="L124" t="str">
        <f t="shared" si="11"/>
        <v>123 Lo-Fi Hit HIT&amp;STAB</v>
      </c>
      <c r="M124" t="str">
        <f t="shared" si="12"/>
        <v>123 Terra Nostra SOFT PAD</v>
      </c>
      <c r="N124" t="str">
        <f t="shared" si="13"/>
        <v>123 Beat (C4) BEAT&amp;GROOVE</v>
      </c>
    </row>
    <row r="125" spans="1:14" x14ac:dyDescent="0.25">
      <c r="A125" s="2" t="s">
        <v>3843</v>
      </c>
      <c r="B125" s="2" t="s">
        <v>4101</v>
      </c>
      <c r="C125" s="2" t="s">
        <v>4229</v>
      </c>
      <c r="D125" s="2" t="s">
        <v>4359</v>
      </c>
      <c r="E125" s="2" t="s">
        <v>4487</v>
      </c>
      <c r="F125" s="2" t="s">
        <v>4625</v>
      </c>
      <c r="G125" t="str">
        <f t="shared" si="16"/>
        <v>124 &lt;&lt;No media&gt;&gt;</v>
      </c>
      <c r="H125" t="str">
        <f t="shared" si="14"/>
        <v>124 INIT PATCH</v>
      </c>
      <c r="I125" t="str">
        <f t="shared" si="9"/>
        <v>124 HPF Slicer PULSATING</v>
      </c>
      <c r="J125" t="str">
        <f t="shared" si="15"/>
        <v>124 Strat Gtr EL.GUITAR</v>
      </c>
      <c r="K125" t="str">
        <f t="shared" si="10"/>
        <v>124 Clarence.net WIND</v>
      </c>
      <c r="L125" t="str">
        <f t="shared" si="11"/>
        <v>124 2ble Action HIT&amp;STAB</v>
      </c>
      <c r="M125" t="str">
        <f t="shared" si="12"/>
        <v>124 OB Aaahs SOFT PAD</v>
      </c>
      <c r="N125" t="str">
        <f t="shared" si="13"/>
        <v>124 StepLFO Ens BEAT&amp;GROOVE</v>
      </c>
    </row>
    <row r="126" spans="1:14" x14ac:dyDescent="0.25">
      <c r="A126" s="2" t="s">
        <v>3844</v>
      </c>
      <c r="B126" s="2" t="s">
        <v>4102</v>
      </c>
      <c r="C126" s="2" t="s">
        <v>4230</v>
      </c>
      <c r="D126" s="2" t="s">
        <v>4360</v>
      </c>
      <c r="E126" s="2" t="s">
        <v>4488</v>
      </c>
      <c r="F126" s="2" t="s">
        <v>4626</v>
      </c>
      <c r="G126" t="str">
        <f t="shared" si="16"/>
        <v>125 &lt;&lt;No media&gt;&gt;</v>
      </c>
      <c r="H126" t="str">
        <f t="shared" si="14"/>
        <v>125 INIT PATCH</v>
      </c>
      <c r="I126" t="str">
        <f t="shared" si="9"/>
        <v>125 DarknessSide PULSATING</v>
      </c>
      <c r="J126" t="str">
        <f t="shared" si="15"/>
        <v>125 JC Strat Bdy EL.GUITAR</v>
      </c>
      <c r="K126" t="str">
        <f t="shared" si="10"/>
        <v>125 FS Oboe WIND</v>
      </c>
      <c r="L126" t="str">
        <f t="shared" si="11"/>
        <v>125 Funk Chank HIT&amp;STAB</v>
      </c>
      <c r="M126" t="str">
        <f t="shared" si="12"/>
        <v>125 Vulcano Pad SOFT PAD</v>
      </c>
      <c r="N126" t="str">
        <f t="shared" si="13"/>
        <v>125 Timpani+Low PERCUSSION</v>
      </c>
    </row>
    <row r="127" spans="1:14" x14ac:dyDescent="0.25">
      <c r="A127" s="2" t="s">
        <v>3845</v>
      </c>
      <c r="B127" s="2" t="s">
        <v>4103</v>
      </c>
      <c r="C127" s="2" t="s">
        <v>4231</v>
      </c>
      <c r="D127" s="2" t="s">
        <v>4361</v>
      </c>
      <c r="E127" s="2" t="s">
        <v>4489</v>
      </c>
      <c r="F127" s="2" t="s">
        <v>4627</v>
      </c>
      <c r="G127" t="str">
        <f t="shared" si="16"/>
        <v>126 &lt;&lt;No media&gt;&gt;</v>
      </c>
      <c r="H127" t="str">
        <f t="shared" si="14"/>
        <v>126 INIT PATCH</v>
      </c>
      <c r="I127" t="str">
        <f t="shared" si="9"/>
        <v>126 FS Alpha Rave PULSATING</v>
      </c>
      <c r="J127" t="str">
        <f t="shared" si="15"/>
        <v>126 Twin StratsB EL.GUITAR</v>
      </c>
      <c r="K127" t="str">
        <f t="shared" si="10"/>
        <v>126 Hall Oboe WIND</v>
      </c>
      <c r="L127" t="str">
        <f t="shared" si="11"/>
        <v>126 Venus HIT&amp;STAB</v>
      </c>
      <c r="M127" t="str">
        <f t="shared" si="12"/>
        <v>126 Cloud #9 SOFT PAD</v>
      </c>
      <c r="N127" t="str">
        <f t="shared" si="13"/>
        <v>126 Timpani Roll PERCUSSION</v>
      </c>
    </row>
    <row r="128" spans="1:14" x14ac:dyDescent="0.25">
      <c r="A128" s="2" t="s">
        <v>3846</v>
      </c>
      <c r="B128" s="2" t="s">
        <v>4104</v>
      </c>
      <c r="C128" s="2" t="s">
        <v>4232</v>
      </c>
      <c r="D128" s="2" t="s">
        <v>4362</v>
      </c>
      <c r="E128" s="2" t="s">
        <v>4490</v>
      </c>
      <c r="F128" s="2" t="s">
        <v>4628</v>
      </c>
      <c r="G128" t="str">
        <f t="shared" si="16"/>
        <v>127 &lt;&lt;No media&gt;&gt;</v>
      </c>
      <c r="H128" t="str">
        <f t="shared" si="14"/>
        <v>127 INIT PATCH</v>
      </c>
      <c r="I128" t="str">
        <f>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SUBSTITUTE(A128,"'","´"),"[0-9] AC.PIANO","AC.PIANO",-1),"[0-9] PULSATING","PULSATING"),"[0-9] KEYBOARDS","KEYBOARDS"),"[0-9] EL.PIANO","EL.PIANO"),"[0-9] BELL","BELL"),"[0-9] MALLET","MALLET"),"[0-9] ORGAN","ORGAN"),"[0-9] ACCORDION","ACCORDION"),"[0-9] HARMONICA","HARMONICA"),"[0-9] AC.GUITAR","AC.GUITAR"),"[0-9] EL.GUITAR","EL.GUITAR"),"[0-9] DIST.GUITAR","DIST.GUITAR"),"[0-9] BASS","BASS"),"[0-9] STRINGS","STRINGS"),"[0-9] SYNTH BASS","SYNTH BASS"),"[0-9] ORCHESTRA","ORCHESTRA"),"[0-9] WIND","WIND"),"[0-9] FLUTE","FLUTE"),"[0-9] AC.BRASS","AC.BRASS"),"[0-9] SYNTH BRASS","SYNTH BRASS"),"[0-9] SAX","SAX"),"[0-9] SOFT LEAD","SOFT LEAD"),"[0-9] HARD LEAD","HARD LEAD"),"[0-9] HIT&amp;STAB","HIT&amp;STAB"),"[0-9] TECHNO SYNTH","TECHNO SYNTH"),"[0-9] OTHER SYNTH","OTHER SYNTH"),"[0-9] VOX","VOX"),"[0-9] SOFT PAD","SOFT PAD"),"[0-9] BRIGHT PAD","BRIGHT PAD"),"[0-9] PLUCKED","PLUCKED"),"[0-9] ETHNIC","ETHNIC"),"[0-9] FRETTED","FRETTED"),"[0-9] SYNTH FX","SYNTH FX"),"[0-9] BEAT&amp;GROOVE","BEAT&amp;GROOVE"),"[0-9] PERCUSSION","PERCUSSION"),"[0-9] COMBINATION","COMBINATION")</f>
        <v>127 Seq-Pad 2 PULSATING</v>
      </c>
      <c r="J128" t="str">
        <f t="shared" si="15"/>
        <v>127 BluNoteStrat EL.GUITAR</v>
      </c>
      <c r="K128" t="str">
        <f t="shared" si="10"/>
        <v>127 English Horn WIND</v>
      </c>
      <c r="L128" t="str">
        <f t="shared" si="11"/>
        <v>127 AluminmWires TECHNO SYNTH</v>
      </c>
      <c r="M128" t="str">
        <f t="shared" si="12"/>
        <v>127 Lostscapes SOFT PAD</v>
      </c>
      <c r="N128" t="str">
        <f t="shared" si="13"/>
        <v>127 Bass Drum PERCUSSION</v>
      </c>
    </row>
    <row r="129" spans="1:14" x14ac:dyDescent="0.25">
      <c r="A129" s="2" t="s">
        <v>3847</v>
      </c>
      <c r="B129" s="2" t="s">
        <v>4105</v>
      </c>
      <c r="C129" s="2" t="s">
        <v>4233</v>
      </c>
      <c r="D129" s="2" t="s">
        <v>4363</v>
      </c>
      <c r="E129" s="2" t="s">
        <v>4491</v>
      </c>
      <c r="F129" s="2" t="s">
        <v>4629</v>
      </c>
      <c r="G129" t="str">
        <f t="shared" si="16"/>
        <v>128 &lt;&lt;No media&gt;&gt;</v>
      </c>
      <c r="H129" t="str">
        <f t="shared" si="14"/>
        <v>128 INIT PATCH</v>
      </c>
      <c r="I129" t="str">
        <f t="shared" ref="I129:I192" si="17">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SUBSTITUTE(A129,"'","´"),"[0-9] AC.PIANO","AC.PIANO",-1),"[0-9] PULSATING","PULSATING"),"[0-9] KEYBOARDS","KEYBOARDS"),"[0-9] EL.PIANO","EL.PIANO"),"[0-9] BELL","BELL"),"[0-9] MALLET","MALLET"),"[0-9] ORGAN","ORGAN"),"[0-9] ACCORDION","ACCORDION"),"[0-9] HARMONICA","HARMONICA"),"[0-9] AC.GUITAR","AC.GUITAR"),"[0-9] EL.GUITAR","EL.GUITAR"),"[0-9] DIST.GUITAR","DIST.GUITAR"),"[0-9] BASS","BASS"),"[0-9] STRINGS","STRINGS"),"[0-9] SYNTH BASS","SYNTH BASS"),"[0-9] ORCHESTRA","ORCHESTRA"),"[0-9] WIND","WIND"),"[0-9] FLUTE","FLUTE"),"[0-9] AC.BRASS","AC.BRASS"),"[0-9] SYNTH BRASS","SYNTH BRASS"),"[0-9] SAX","SAX"),"[0-9] SOFT LEAD","SOFT LEAD"),"[0-9] HARD LEAD","HARD LEAD"),"[0-9] HIT&amp;STAB","HIT&amp;STAB"),"[0-9] TECHNO SYNTH","TECHNO SYNTH"),"[0-9] OTHER SYNTH","OTHER SYNTH"),"[0-9] VOX","VOX"),"[0-9] SOFT PAD","SOFT PAD"),"[0-9] BRIGHT PAD","BRIGHT PAD"),"[0-9] PLUCKED","PLUCKED"),"[0-9] ETHNIC","ETHNIC"),"[0-9] FRETTED","FRETTED"),"[0-9] SYNTH FX","SYNTH FX"),"[0-9] BEAT&amp;GROOVE","BEAT&amp;GROOVE"),"[0-9] PERCUSSION","PERCUSSION"),"[0-9] COMBINATION","COMBINATION")</f>
        <v>128 Step Trance PULSATING</v>
      </c>
      <c r="J129" t="str">
        <f t="shared" si="15"/>
        <v>128 FS Funk Gtr EL.GUITAR</v>
      </c>
      <c r="K129" t="str">
        <f t="shared" si="10"/>
        <v>128 Bassoon WIND</v>
      </c>
      <c r="L129" t="str">
        <f t="shared" si="11"/>
        <v>128 Raven Chord TECHNO SYNTH</v>
      </c>
      <c r="M129" t="str">
        <f t="shared" si="12"/>
        <v>128 Organic Pad SOFT PAD</v>
      </c>
      <c r="N129" t="str">
        <f t="shared" si="13"/>
        <v>128 Techno Craft COMBINATION</v>
      </c>
    </row>
    <row r="130" spans="1:14" x14ac:dyDescent="0.25">
      <c r="A130" s="2" t="s">
        <v>3848</v>
      </c>
      <c r="H130" t="str">
        <f t="shared" si="14"/>
        <v>129 INIT PATCH</v>
      </c>
      <c r="I130" t="str">
        <f t="shared" si="17"/>
        <v>129 Electrons PULSATING</v>
      </c>
    </row>
    <row r="131" spans="1:14" x14ac:dyDescent="0.25">
      <c r="A131" s="2" t="s">
        <v>3849</v>
      </c>
      <c r="H131" t="str">
        <f t="shared" ref="H131:H194" si="18">IF(ROW()-1 &gt; 99,_xlfn.VALUETOTEXT(ROW()-1)&amp;" INIT PATCH",IF(ROW()-1 &gt; 9, "0"&amp;_xlfn.VALUETOTEXT(ROW()-1)&amp;" INIT PATCH","00"&amp;_xlfn.VALUETOTEXT(ROW()-1)&amp;" INIT PATCH"))</f>
        <v>130 INIT PATCH</v>
      </c>
      <c r="I131" t="str">
        <f t="shared" si="17"/>
        <v>130 StepPitShift PULSATING</v>
      </c>
    </row>
    <row r="132" spans="1:14" x14ac:dyDescent="0.25">
      <c r="A132" s="2" t="s">
        <v>3850</v>
      </c>
      <c r="H132" t="str">
        <f t="shared" si="18"/>
        <v>131 INIT PATCH</v>
      </c>
      <c r="I132" t="str">
        <f t="shared" si="17"/>
        <v>131 FS Strobe PULSATING</v>
      </c>
    </row>
    <row r="133" spans="1:14" x14ac:dyDescent="0.25">
      <c r="A133" s="2" t="s">
        <v>3851</v>
      </c>
      <c r="H133" t="str">
        <f t="shared" si="18"/>
        <v>132 INIT PATCH</v>
      </c>
      <c r="I133" t="str">
        <f t="shared" si="17"/>
        <v>132 Sweet House TECHNO SYNTH</v>
      </c>
    </row>
    <row r="134" spans="1:14" x14ac:dyDescent="0.25">
      <c r="A134" s="2" t="s">
        <v>3852</v>
      </c>
      <c r="H134" t="str">
        <f t="shared" si="18"/>
        <v>133 INIT PATCH</v>
      </c>
      <c r="I134" t="str">
        <f t="shared" si="17"/>
        <v>133 Electrostars TECHNO SYNTH</v>
      </c>
    </row>
    <row r="135" spans="1:14" x14ac:dyDescent="0.25">
      <c r="A135" s="2" t="s">
        <v>3853</v>
      </c>
      <c r="H135" t="str">
        <f t="shared" si="18"/>
        <v>134 INIT PATCH</v>
      </c>
      <c r="I135" t="str">
        <f t="shared" si="17"/>
        <v>134 Hoovercraft TECHNO SYNTH</v>
      </c>
    </row>
    <row r="136" spans="1:14" x14ac:dyDescent="0.25">
      <c r="A136" s="2" t="s">
        <v>3854</v>
      </c>
      <c r="H136" t="str">
        <f t="shared" si="18"/>
        <v>135 INIT PATCH</v>
      </c>
      <c r="I136" t="str">
        <f t="shared" si="17"/>
        <v>135 DelyResoSaws TECHNO SYNTH</v>
      </c>
    </row>
    <row r="137" spans="1:14" x14ac:dyDescent="0.25">
      <c r="A137" s="2" t="s">
        <v>3855</v>
      </c>
      <c r="H137" t="str">
        <f t="shared" si="18"/>
        <v>136 INIT PATCH</v>
      </c>
      <c r="I137" t="str">
        <f t="shared" si="17"/>
        <v>136 LoFiSequence TECHNO SYNTH</v>
      </c>
    </row>
    <row r="138" spans="1:14" x14ac:dyDescent="0.25">
      <c r="A138" s="2" t="s">
        <v>3856</v>
      </c>
      <c r="H138" t="str">
        <f t="shared" si="18"/>
        <v>137 INIT PATCH</v>
      </c>
      <c r="I138" t="str">
        <f t="shared" si="17"/>
        <v>137 Techno Snips TECHNO SYNTH</v>
      </c>
    </row>
    <row r="139" spans="1:14" x14ac:dyDescent="0.25">
      <c r="A139" s="2" t="s">
        <v>3857</v>
      </c>
      <c r="H139" t="str">
        <f t="shared" si="18"/>
        <v>138 INIT PATCH</v>
      </c>
      <c r="I139" t="str">
        <f t="shared" si="17"/>
        <v>138 Coffee Bee TECHNO SYNTH</v>
      </c>
    </row>
    <row r="140" spans="1:14" x14ac:dyDescent="0.25">
      <c r="A140" s="2" t="s">
        <v>3858</v>
      </c>
      <c r="H140" t="str">
        <f t="shared" si="18"/>
        <v>139 INIT PATCH</v>
      </c>
      <c r="I140" t="str">
        <f t="shared" si="17"/>
        <v>139 DreamInColor TECHNO SYNTH</v>
      </c>
    </row>
    <row r="141" spans="1:14" x14ac:dyDescent="0.25">
      <c r="A141" s="2" t="s">
        <v>3859</v>
      </c>
      <c r="H141" t="str">
        <f t="shared" si="18"/>
        <v>140 INIT PATCH</v>
      </c>
      <c r="I141" t="str">
        <f t="shared" si="17"/>
        <v>140 Alpha Retro TECHNO SYNTH</v>
      </c>
    </row>
    <row r="142" spans="1:14" x14ac:dyDescent="0.25">
      <c r="A142" s="2" t="s">
        <v>3860</v>
      </c>
      <c r="H142" t="str">
        <f t="shared" si="18"/>
        <v>141 INIT PATCH</v>
      </c>
      <c r="I142" t="str">
        <f t="shared" si="17"/>
        <v>141 AluminmWires TECHNO SYNTH</v>
      </c>
    </row>
    <row r="143" spans="1:14" x14ac:dyDescent="0.25">
      <c r="A143" s="2" t="s">
        <v>3861</v>
      </c>
      <c r="H143" t="str">
        <f t="shared" si="18"/>
        <v>142 INIT PATCH</v>
      </c>
      <c r="I143" t="str">
        <f t="shared" si="17"/>
        <v>142 Moon Synth TECHNO SYNTH</v>
      </c>
    </row>
    <row r="144" spans="1:14" x14ac:dyDescent="0.25">
      <c r="A144" s="2" t="s">
        <v>3862</v>
      </c>
      <c r="H144" t="str">
        <f t="shared" si="18"/>
        <v>143 INIT PATCH</v>
      </c>
      <c r="I144" t="str">
        <f t="shared" si="17"/>
        <v>143 DetuneSeqSaw TECHNO SYNTH</v>
      </c>
    </row>
    <row r="145" spans="1:9" x14ac:dyDescent="0.25">
      <c r="A145" s="2" t="s">
        <v>3863</v>
      </c>
      <c r="H145" t="str">
        <f t="shared" si="18"/>
        <v>144 INIT PATCH</v>
      </c>
      <c r="I145" t="str">
        <f t="shared" si="17"/>
        <v>144 MetalVoxBox TECHNO SYNTH</v>
      </c>
    </row>
    <row r="146" spans="1:9" x14ac:dyDescent="0.25">
      <c r="A146" s="2" t="s">
        <v>3864</v>
      </c>
      <c r="H146" t="str">
        <f t="shared" si="18"/>
        <v>145 INIT PATCH</v>
      </c>
      <c r="I146" t="str">
        <f t="shared" si="17"/>
        <v>145 Repertition TECHNO SYNTH</v>
      </c>
    </row>
    <row r="147" spans="1:9" x14ac:dyDescent="0.25">
      <c r="A147" s="2" t="s">
        <v>3865</v>
      </c>
      <c r="H147" t="str">
        <f t="shared" si="18"/>
        <v>146 INIT PATCH</v>
      </c>
      <c r="I147" t="str">
        <f t="shared" si="17"/>
        <v>146 Trancy Synth OTHER SYNTH</v>
      </c>
    </row>
    <row r="148" spans="1:9" x14ac:dyDescent="0.25">
      <c r="A148" s="2" t="s">
        <v>3866</v>
      </c>
      <c r="H148" t="str">
        <f t="shared" si="18"/>
        <v>147 INIT PATCH</v>
      </c>
      <c r="I148" t="str">
        <f t="shared" si="17"/>
        <v>147 4DaCommonMan OTHER SYNTH</v>
      </c>
    </row>
    <row r="149" spans="1:9" x14ac:dyDescent="0.25">
      <c r="A149" s="2" t="s">
        <v>3867</v>
      </c>
      <c r="H149" t="str">
        <f t="shared" si="18"/>
        <v>148 INIT PATCH</v>
      </c>
      <c r="I149" t="str">
        <f t="shared" si="17"/>
        <v>148 Magnetic 5th OTHER SYNTH</v>
      </c>
    </row>
    <row r="150" spans="1:9" x14ac:dyDescent="0.25">
      <c r="A150" s="2" t="s">
        <v>3868</v>
      </c>
      <c r="H150" t="str">
        <f t="shared" si="18"/>
        <v>149 INIT PATCH</v>
      </c>
      <c r="I150" t="str">
        <f t="shared" si="17"/>
        <v>149 Digitaless OTHER SYNTH</v>
      </c>
    </row>
    <row r="151" spans="1:9" x14ac:dyDescent="0.25">
      <c r="A151" s="2" t="s">
        <v>3869</v>
      </c>
      <c r="H151" t="str">
        <f t="shared" si="18"/>
        <v>150 INIT PATCH</v>
      </c>
      <c r="I151" t="str">
        <f t="shared" si="17"/>
        <v>150 Big Planet OTHER SYNTH</v>
      </c>
    </row>
    <row r="152" spans="1:9" x14ac:dyDescent="0.25">
      <c r="A152" s="2" t="s">
        <v>3870</v>
      </c>
      <c r="H152" t="str">
        <f t="shared" si="18"/>
        <v>151 INIT PATCH</v>
      </c>
      <c r="I152" t="str">
        <f t="shared" si="17"/>
        <v>151 Short Detune OTHER SYNTH</v>
      </c>
    </row>
    <row r="153" spans="1:9" x14ac:dyDescent="0.25">
      <c r="A153" s="2" t="s">
        <v>3871</v>
      </c>
      <c r="H153" t="str">
        <f t="shared" si="18"/>
        <v>152 INIT PATCH</v>
      </c>
      <c r="I153" t="str">
        <f t="shared" si="17"/>
        <v>152 Bustranza OTHER SYNTH</v>
      </c>
    </row>
    <row r="154" spans="1:9" x14ac:dyDescent="0.25">
      <c r="A154" s="2" t="s">
        <v>3872</v>
      </c>
      <c r="H154" t="str">
        <f t="shared" si="18"/>
        <v>153 INIT PATCH</v>
      </c>
      <c r="I154" t="str">
        <f t="shared" si="17"/>
        <v>153 Fairy Factor OTHER SYNTH</v>
      </c>
    </row>
    <row r="155" spans="1:9" x14ac:dyDescent="0.25">
      <c r="A155" s="2" t="s">
        <v>3873</v>
      </c>
      <c r="H155" t="str">
        <f t="shared" si="18"/>
        <v>154 INIT PATCH</v>
      </c>
      <c r="I155" t="str">
        <f t="shared" si="17"/>
        <v>154 Metalic Bass OTHER SYNTH</v>
      </c>
    </row>
    <row r="156" spans="1:9" x14ac:dyDescent="0.25">
      <c r="A156" s="2" t="s">
        <v>3874</v>
      </c>
      <c r="H156" t="str">
        <f t="shared" si="18"/>
        <v>155 INIT PATCH</v>
      </c>
      <c r="I156" t="str">
        <f t="shared" si="17"/>
        <v>155 X-Racer OTHER SYNTH</v>
      </c>
    </row>
    <row r="157" spans="1:9" x14ac:dyDescent="0.25">
      <c r="A157" s="2" t="s">
        <v>3875</v>
      </c>
      <c r="H157" t="str">
        <f t="shared" si="18"/>
        <v>156 INIT PATCH</v>
      </c>
      <c r="I157" t="str">
        <f t="shared" si="17"/>
        <v>156 TB-Sequence OTHER SYNTH</v>
      </c>
    </row>
    <row r="158" spans="1:9" x14ac:dyDescent="0.25">
      <c r="A158" s="2" t="s">
        <v>3876</v>
      </c>
      <c r="H158" t="str">
        <f t="shared" si="18"/>
        <v>157 INIT PATCH</v>
      </c>
      <c r="I158" t="str">
        <f t="shared" si="17"/>
        <v>157 TranceSaws OTHER SYNTH</v>
      </c>
    </row>
    <row r="159" spans="1:9" x14ac:dyDescent="0.25">
      <c r="A159" s="2" t="s">
        <v>3877</v>
      </c>
      <c r="H159" t="str">
        <f t="shared" si="18"/>
        <v>158 INIT PATCH</v>
      </c>
      <c r="I159" t="str">
        <f t="shared" si="17"/>
        <v>158 Impression OTHER SYNTH</v>
      </c>
    </row>
    <row r="160" spans="1:9" x14ac:dyDescent="0.25">
      <c r="A160" s="2" t="s">
        <v>3878</v>
      </c>
      <c r="H160" t="str">
        <f t="shared" si="18"/>
        <v>159 INIT PATCH</v>
      </c>
      <c r="I160" t="str">
        <f t="shared" si="17"/>
        <v>159 Story Harp OTHER SYNTH</v>
      </c>
    </row>
    <row r="161" spans="1:9" x14ac:dyDescent="0.25">
      <c r="A161" s="2" t="s">
        <v>3879</v>
      </c>
      <c r="H161" t="str">
        <f t="shared" si="18"/>
        <v>160 INIT PATCH</v>
      </c>
      <c r="I161" t="str">
        <f t="shared" si="17"/>
        <v>160 Wet Atax OTHER SYNTH</v>
      </c>
    </row>
    <row r="162" spans="1:9" x14ac:dyDescent="0.25">
      <c r="A162" s="2" t="s">
        <v>3880</v>
      </c>
      <c r="H162" t="str">
        <f t="shared" si="18"/>
        <v>161 INIT PATCH</v>
      </c>
      <c r="I162" t="str">
        <f t="shared" si="17"/>
        <v>161 Techno Craft COMBINATION</v>
      </c>
    </row>
    <row r="163" spans="1:9" x14ac:dyDescent="0.25">
      <c r="A163" s="2" t="s">
        <v>3881</v>
      </c>
      <c r="H163" t="str">
        <f t="shared" si="18"/>
        <v>162 INIT PATCH</v>
      </c>
      <c r="I163" t="str">
        <f t="shared" si="17"/>
        <v>162 Scatter SYNTH FX</v>
      </c>
    </row>
    <row r="164" spans="1:9" x14ac:dyDescent="0.25">
      <c r="A164" s="2" t="s">
        <v>3882</v>
      </c>
      <c r="H164" t="str">
        <f t="shared" si="18"/>
        <v>163 INIT PATCH</v>
      </c>
      <c r="I164" t="str">
        <f t="shared" si="17"/>
        <v>163 Control Room SYNTH FX</v>
      </c>
    </row>
    <row r="165" spans="1:9" x14ac:dyDescent="0.25">
      <c r="A165" s="2" t="s">
        <v>3883</v>
      </c>
      <c r="H165" t="str">
        <f t="shared" si="18"/>
        <v>164 INIT PATCH</v>
      </c>
      <c r="I165" t="str">
        <f t="shared" si="17"/>
        <v>164 Lazer Points SYNTH FX</v>
      </c>
    </row>
    <row r="166" spans="1:9" x14ac:dyDescent="0.25">
      <c r="A166" s="2" t="s">
        <v>3884</v>
      </c>
      <c r="H166" t="str">
        <f t="shared" si="18"/>
        <v>165 INIT PATCH</v>
      </c>
      <c r="I166" t="str">
        <f t="shared" si="17"/>
        <v>165 FS Crystal SYNTH FX</v>
      </c>
    </row>
    <row r="167" spans="1:9" x14ac:dyDescent="0.25">
      <c r="A167" s="2" t="s">
        <v>3885</v>
      </c>
      <c r="H167" t="str">
        <f t="shared" si="18"/>
        <v>166 INIT PATCH</v>
      </c>
      <c r="I167" t="str">
        <f t="shared" si="17"/>
        <v>166 Ambience SYNTH FX</v>
      </c>
    </row>
    <row r="168" spans="1:9" x14ac:dyDescent="0.25">
      <c r="A168" s="2" t="s">
        <v>3886</v>
      </c>
      <c r="H168" t="str">
        <f t="shared" si="18"/>
        <v>167 INIT PATCH</v>
      </c>
      <c r="I168" t="str">
        <f t="shared" si="17"/>
        <v>167 New Planetz SYNTH FX</v>
      </c>
    </row>
    <row r="169" spans="1:9" x14ac:dyDescent="0.25">
      <c r="A169" s="2" t="s">
        <v>3887</v>
      </c>
      <c r="H169" t="str">
        <f t="shared" si="18"/>
        <v>168 INIT PATCH</v>
      </c>
      <c r="I169" t="str">
        <f t="shared" si="17"/>
        <v>168 FS Try This! SYNTH FX</v>
      </c>
    </row>
    <row r="170" spans="1:9" x14ac:dyDescent="0.25">
      <c r="A170" s="2" t="s">
        <v>3888</v>
      </c>
      <c r="H170" t="str">
        <f t="shared" si="18"/>
        <v>169 INIT PATCH</v>
      </c>
      <c r="I170" t="str">
        <f t="shared" si="17"/>
        <v>169 Breath Echo SYNTH FX</v>
      </c>
    </row>
    <row r="171" spans="1:9" x14ac:dyDescent="0.25">
      <c r="A171" s="2" t="s">
        <v>3889</v>
      </c>
      <c r="H171" t="str">
        <f t="shared" si="18"/>
        <v>170 INIT PATCH</v>
      </c>
      <c r="I171" t="str">
        <f t="shared" si="17"/>
        <v>170 Faked Piano SYNTH FX</v>
      </c>
    </row>
    <row r="172" spans="1:9" x14ac:dyDescent="0.25">
      <c r="A172" s="2" t="s">
        <v>3890</v>
      </c>
      <c r="H172" t="str">
        <f t="shared" si="18"/>
        <v>171 INIT PATCH</v>
      </c>
      <c r="I172" t="str">
        <f t="shared" si="17"/>
        <v>171 Sub Hit HIT&amp;STAB</v>
      </c>
    </row>
    <row r="173" spans="1:9" x14ac:dyDescent="0.25">
      <c r="A173" s="2" t="s">
        <v>3891</v>
      </c>
      <c r="H173" t="str">
        <f t="shared" si="18"/>
        <v>172 INIT PATCH</v>
      </c>
      <c r="I173" t="str">
        <f t="shared" si="17"/>
        <v>172 Blue Ice HIT&amp;STAB</v>
      </c>
    </row>
    <row r="174" spans="1:9" x14ac:dyDescent="0.25">
      <c r="A174" s="2" t="s">
        <v>3892</v>
      </c>
      <c r="H174" t="str">
        <f t="shared" si="18"/>
        <v>173 INIT PATCH</v>
      </c>
      <c r="I174" t="str">
        <f t="shared" si="17"/>
        <v>173 Venus HIT&amp;STAB</v>
      </c>
    </row>
    <row r="175" spans="1:9" x14ac:dyDescent="0.25">
      <c r="A175" s="2" t="s">
        <v>3893</v>
      </c>
      <c r="H175" t="str">
        <f t="shared" si="18"/>
        <v>174 INIT PATCH</v>
      </c>
      <c r="I175" t="str">
        <f t="shared" si="17"/>
        <v>174 BlastfrmPast HIT&amp;STAB</v>
      </c>
    </row>
    <row r="176" spans="1:9" x14ac:dyDescent="0.25">
      <c r="A176" s="2" t="s">
        <v>3894</v>
      </c>
      <c r="H176" t="str">
        <f t="shared" si="18"/>
        <v>175 INIT PATCH</v>
      </c>
      <c r="I176" t="str">
        <f t="shared" si="17"/>
        <v>175 2ble Action HIT&amp;STAB</v>
      </c>
    </row>
    <row r="177" spans="1:9" x14ac:dyDescent="0.25">
      <c r="A177" s="2" t="s">
        <v>3895</v>
      </c>
      <c r="H177" t="str">
        <f t="shared" si="18"/>
        <v>176 INIT PATCH</v>
      </c>
      <c r="I177" t="str">
        <f t="shared" si="17"/>
        <v>176 Cheezy Movie HIT&amp;STAB</v>
      </c>
    </row>
    <row r="178" spans="1:9" x14ac:dyDescent="0.25">
      <c r="A178" s="2" t="s">
        <v>3896</v>
      </c>
      <c r="H178" t="str">
        <f t="shared" si="18"/>
        <v>177 INIT PATCH</v>
      </c>
      <c r="I178" t="str">
        <f t="shared" si="17"/>
        <v>177 SoftNyln Gtr AC.GUITAR</v>
      </c>
    </row>
    <row r="179" spans="1:9" x14ac:dyDescent="0.25">
      <c r="A179" s="2" t="s">
        <v>3897</v>
      </c>
      <c r="H179" t="str">
        <f t="shared" si="18"/>
        <v>178 INIT PATCH</v>
      </c>
      <c r="I179" t="str">
        <f t="shared" si="17"/>
        <v>178 Pre Mass Hum AC.GUITAR</v>
      </c>
    </row>
    <row r="180" spans="1:9" x14ac:dyDescent="0.25">
      <c r="A180" s="2" t="s">
        <v>3898</v>
      </c>
      <c r="H180" t="str">
        <f t="shared" si="18"/>
        <v>179 INIT PATCH</v>
      </c>
      <c r="I180" t="str">
        <f t="shared" si="17"/>
        <v>179 Wide Ac Gtr AC.GUITAR</v>
      </c>
    </row>
    <row r="181" spans="1:9" x14ac:dyDescent="0.25">
      <c r="A181" s="2" t="s">
        <v>3899</v>
      </c>
      <c r="H181" t="str">
        <f t="shared" si="18"/>
        <v>180 INIT PATCH</v>
      </c>
      <c r="I181" t="str">
        <f t="shared" si="17"/>
        <v>180 Strat Gtr EL.GUITAR</v>
      </c>
    </row>
    <row r="182" spans="1:9" x14ac:dyDescent="0.25">
      <c r="A182" s="2" t="s">
        <v>3900</v>
      </c>
      <c r="H182" t="str">
        <f t="shared" si="18"/>
        <v>181 INIT PATCH</v>
      </c>
      <c r="I182" t="str">
        <f t="shared" si="17"/>
        <v>181 Fixx it EL.GUITAR</v>
      </c>
    </row>
    <row r="183" spans="1:9" x14ac:dyDescent="0.25">
      <c r="A183" s="2" t="s">
        <v>3901</v>
      </c>
      <c r="H183" t="str">
        <f t="shared" si="18"/>
        <v>182 INIT PATCH</v>
      </c>
      <c r="I183" t="str">
        <f t="shared" si="17"/>
        <v>182 BluNoteStrat EL.GUITAR</v>
      </c>
    </row>
    <row r="184" spans="1:9" x14ac:dyDescent="0.25">
      <c r="A184" s="2" t="s">
        <v>3902</v>
      </c>
      <c r="H184" t="str">
        <f t="shared" si="18"/>
        <v>183 INIT PATCH</v>
      </c>
      <c r="I184" t="str">
        <f t="shared" si="17"/>
        <v>183 Clean Gtr EL.GUITAR</v>
      </c>
    </row>
    <row r="185" spans="1:9" x14ac:dyDescent="0.25">
      <c r="A185" s="2" t="s">
        <v>3903</v>
      </c>
      <c r="H185" t="str">
        <f t="shared" si="18"/>
        <v>184 INIT PATCH</v>
      </c>
      <c r="I185" t="str">
        <f t="shared" si="17"/>
        <v>184 JC Strat Bdy EL.GUITAR</v>
      </c>
    </row>
    <row r="186" spans="1:9" x14ac:dyDescent="0.25">
      <c r="A186" s="2" t="s">
        <v>3904</v>
      </c>
      <c r="H186" t="str">
        <f t="shared" si="18"/>
        <v>185 INIT PATCH</v>
      </c>
      <c r="I186" t="str">
        <f t="shared" si="17"/>
        <v>185 DynoJazz Gtr EL.GUITAR</v>
      </c>
    </row>
    <row r="187" spans="1:9" x14ac:dyDescent="0.25">
      <c r="A187" s="2" t="s">
        <v>3905</v>
      </c>
      <c r="H187" t="str">
        <f t="shared" si="18"/>
        <v>186 INIT PATCH</v>
      </c>
      <c r="I187" t="str">
        <f t="shared" si="17"/>
        <v>186 Searing COSM DIST.GUITAR</v>
      </c>
    </row>
    <row r="188" spans="1:9" x14ac:dyDescent="0.25">
      <c r="A188" s="2" t="s">
        <v>3906</v>
      </c>
      <c r="H188" t="str">
        <f t="shared" si="18"/>
        <v>187 INIT PATCH</v>
      </c>
      <c r="I188" t="str">
        <f t="shared" si="17"/>
        <v>187 Hurtling Gtr DIST.GUITAR</v>
      </c>
    </row>
    <row r="189" spans="1:9" x14ac:dyDescent="0.25">
      <c r="A189" s="2" t="s">
        <v>3907</v>
      </c>
      <c r="H189" t="str">
        <f t="shared" si="18"/>
        <v>188 INIT PATCH</v>
      </c>
      <c r="I189" t="str">
        <f t="shared" si="17"/>
        <v>188 Touch Drive DIST.GUITAR</v>
      </c>
    </row>
    <row r="190" spans="1:9" x14ac:dyDescent="0.25">
      <c r="A190" s="2" t="s">
        <v>3908</v>
      </c>
      <c r="H190" t="str">
        <f t="shared" si="18"/>
        <v>189 INIT PATCH</v>
      </c>
      <c r="I190" t="str">
        <f t="shared" si="17"/>
        <v>189 Pat is away PLUCKED</v>
      </c>
    </row>
    <row r="191" spans="1:9" x14ac:dyDescent="0.25">
      <c r="A191" s="2" t="s">
        <v>3909</v>
      </c>
      <c r="H191" t="str">
        <f t="shared" si="18"/>
        <v>190 INIT PATCH</v>
      </c>
      <c r="I191" t="str">
        <f t="shared" si="17"/>
        <v>190 Bosporus PLUCKED</v>
      </c>
    </row>
    <row r="192" spans="1:9" x14ac:dyDescent="0.25">
      <c r="A192" s="2" t="s">
        <v>3910</v>
      </c>
      <c r="H192" t="str">
        <f t="shared" si="18"/>
        <v>191 INIT PATCH</v>
      </c>
      <c r="I192" t="str">
        <f t="shared" si="17"/>
        <v>191 Teky Drop PLUCKED</v>
      </c>
    </row>
    <row r="193" spans="1:9" x14ac:dyDescent="0.25">
      <c r="A193" s="2" t="s">
        <v>3911</v>
      </c>
      <c r="H193" t="str">
        <f t="shared" si="18"/>
        <v>192 INIT PATCH</v>
      </c>
      <c r="I193" t="str">
        <f t="shared" ref="I193:I256" si="19">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SUBSTITUTE(A193,"'","´"),"[0-9] AC.PIANO","AC.PIANO",-1),"[0-9] PULSATING","PULSATING"),"[0-9] KEYBOARDS","KEYBOARDS"),"[0-9] EL.PIANO","EL.PIANO"),"[0-9] BELL","BELL"),"[0-9] MALLET","MALLET"),"[0-9] ORGAN","ORGAN"),"[0-9] ACCORDION","ACCORDION"),"[0-9] HARMONICA","HARMONICA"),"[0-9] AC.GUITAR","AC.GUITAR"),"[0-9] EL.GUITAR","EL.GUITAR"),"[0-9] DIST.GUITAR","DIST.GUITAR"),"[0-9] BASS","BASS"),"[0-9] STRINGS","STRINGS"),"[0-9] SYNTH BASS","SYNTH BASS"),"[0-9] ORCHESTRA","ORCHESTRA"),"[0-9] WIND","WIND"),"[0-9] FLUTE","FLUTE"),"[0-9] AC.BRASS","AC.BRASS"),"[0-9] SYNTH BRASS","SYNTH BRASS"),"[0-9] SAX","SAX"),"[0-9] SOFT LEAD","SOFT LEAD"),"[0-9] HARD LEAD","HARD LEAD"),"[0-9] HIT&amp;STAB","HIT&amp;STAB"),"[0-9] TECHNO SYNTH","TECHNO SYNTH"),"[0-9] OTHER SYNTH","OTHER SYNTH"),"[0-9] VOX","VOX"),"[0-9] SOFT PAD","SOFT PAD"),"[0-9] BRIGHT PAD","BRIGHT PAD"),"[0-9] PLUCKED","PLUCKED"),"[0-9] ETHNIC","ETHNIC"),"[0-9] FRETTED","FRETTED"),"[0-9] SYNTH FX","SYNTH FX"),"[0-9] BEAT&amp;GROOVE","BEAT&amp;GROOVE"),"[0-9] PERCUSSION","PERCUSSION"),"[0-9] COMBINATION","COMBINATION")</f>
        <v>192 Aerial Harp PLUCKED</v>
      </c>
    </row>
    <row r="194" spans="1:9" x14ac:dyDescent="0.25">
      <c r="A194" s="2" t="s">
        <v>3912</v>
      </c>
      <c r="H194" t="str">
        <f t="shared" si="18"/>
        <v>193 INIT PATCH</v>
      </c>
      <c r="I194" t="str">
        <f t="shared" si="19"/>
        <v>193 Neo Sitar PLUCKED</v>
      </c>
    </row>
    <row r="195" spans="1:9" x14ac:dyDescent="0.25">
      <c r="A195" s="2" t="s">
        <v>3913</v>
      </c>
      <c r="H195" t="str">
        <f t="shared" ref="H195:H257" si="20">IF(ROW()-1 &gt; 99,_xlfn.VALUETOTEXT(ROW()-1)&amp;" INIT PATCH",IF(ROW()-1 &gt; 9, "0"&amp;_xlfn.VALUETOTEXT(ROW()-1)&amp;" INIT PATCH","00"&amp;_xlfn.VALUETOTEXT(ROW()-1)&amp;" INIT PATCH"))</f>
        <v>194 INIT PATCH</v>
      </c>
      <c r="I195" t="str">
        <f t="shared" si="19"/>
        <v>194 Sitar on C PLUCKED</v>
      </c>
    </row>
    <row r="196" spans="1:9" x14ac:dyDescent="0.25">
      <c r="A196" s="2" t="s">
        <v>3914</v>
      </c>
      <c r="H196" t="str">
        <f t="shared" si="20"/>
        <v>195 INIT PATCH</v>
      </c>
      <c r="I196" t="str">
        <f t="shared" si="19"/>
        <v>195 Stacc mp Str STRINGS</v>
      </c>
    </row>
    <row r="197" spans="1:9" x14ac:dyDescent="0.25">
      <c r="A197" s="2" t="s">
        <v>3915</v>
      </c>
      <c r="H197" t="str">
        <f t="shared" si="20"/>
        <v>196 INIT PATCH</v>
      </c>
      <c r="I197" t="str">
        <f t="shared" si="19"/>
        <v>196 FS Strings STRINGS</v>
      </c>
    </row>
    <row r="198" spans="1:9" x14ac:dyDescent="0.25">
      <c r="A198" s="2" t="s">
        <v>3916</v>
      </c>
      <c r="H198" t="str">
        <f t="shared" si="20"/>
        <v>197 INIT PATCH</v>
      </c>
      <c r="I198" t="str">
        <f t="shared" si="19"/>
        <v>197 Crossed Bows STRINGS</v>
      </c>
    </row>
    <row r="199" spans="1:9" x14ac:dyDescent="0.25">
      <c r="A199" s="2" t="s">
        <v>3917</v>
      </c>
      <c r="H199" t="str">
        <f t="shared" si="20"/>
        <v>198 INIT PATCH</v>
      </c>
      <c r="I199" t="str">
        <f t="shared" si="19"/>
        <v>198 DelicatePizz STRINGS</v>
      </c>
    </row>
    <row r="200" spans="1:9" x14ac:dyDescent="0.25">
      <c r="A200" s="2" t="s">
        <v>3918</v>
      </c>
      <c r="H200" t="str">
        <f t="shared" si="20"/>
        <v>199 INIT PATCH</v>
      </c>
      <c r="I200" t="str">
        <f t="shared" si="19"/>
        <v>199 Dolce Qrt STRINGS</v>
      </c>
    </row>
    <row r="201" spans="1:9" x14ac:dyDescent="0.25">
      <c r="A201" s="2" t="s">
        <v>3919</v>
      </c>
      <c r="H201" t="str">
        <f t="shared" si="20"/>
        <v>200 INIT PATCH</v>
      </c>
      <c r="I201" t="str">
        <f t="shared" si="19"/>
        <v>200 Clustered!?! STRINGS</v>
      </c>
    </row>
    <row r="202" spans="1:9" x14ac:dyDescent="0.25">
      <c r="A202" s="2" t="s">
        <v>3920</v>
      </c>
      <c r="H202" t="str">
        <f t="shared" si="20"/>
        <v>201 INIT PATCH</v>
      </c>
      <c r="I202" t="str">
        <f t="shared" si="19"/>
        <v>201 Small Str STRINGS</v>
      </c>
    </row>
    <row r="203" spans="1:9" x14ac:dyDescent="0.25">
      <c r="A203" s="2" t="s">
        <v>3921</v>
      </c>
      <c r="H203" t="str">
        <f t="shared" si="20"/>
        <v>202 INIT PATCH</v>
      </c>
      <c r="I203" t="str">
        <f t="shared" si="19"/>
        <v>202 Violin STRINGS</v>
      </c>
    </row>
    <row r="204" spans="1:9" x14ac:dyDescent="0.25">
      <c r="A204" s="2" t="s">
        <v>3922</v>
      </c>
      <c r="H204" t="str">
        <f t="shared" si="20"/>
        <v>203 INIT PATCH</v>
      </c>
      <c r="I204" t="str">
        <f t="shared" si="19"/>
        <v>203 2-way Sect. STRINGS</v>
      </c>
    </row>
    <row r="205" spans="1:9" x14ac:dyDescent="0.25">
      <c r="A205" s="2" t="s">
        <v>3923</v>
      </c>
      <c r="H205" t="str">
        <f t="shared" si="20"/>
        <v>204 INIT PATCH</v>
      </c>
      <c r="I205" t="str">
        <f t="shared" si="19"/>
        <v>204 HarWonderca HARMONICA</v>
      </c>
    </row>
    <row r="206" spans="1:9" x14ac:dyDescent="0.25">
      <c r="A206" s="2" t="s">
        <v>3924</v>
      </c>
      <c r="H206" t="str">
        <f t="shared" si="20"/>
        <v>205 INIT PATCH</v>
      </c>
      <c r="I206" t="str">
        <f t="shared" si="19"/>
        <v>205 Soft Orch 2 ORCHESTRA</v>
      </c>
    </row>
    <row r="207" spans="1:9" x14ac:dyDescent="0.25">
      <c r="A207" s="2" t="s">
        <v>3925</v>
      </c>
      <c r="H207" t="str">
        <f t="shared" si="20"/>
        <v>206 INIT PATCH</v>
      </c>
      <c r="I207" t="str">
        <f t="shared" si="19"/>
        <v>206 Farewell ORCHESTRA</v>
      </c>
    </row>
    <row r="208" spans="1:9" x14ac:dyDescent="0.25">
      <c r="A208" s="2" t="s">
        <v>3926</v>
      </c>
      <c r="H208" t="str">
        <f t="shared" si="20"/>
        <v>207 INIT PATCH</v>
      </c>
      <c r="I208" t="str">
        <f t="shared" si="19"/>
        <v>207 Wind &amp; Str 2 ORCHESTRA</v>
      </c>
    </row>
    <row r="209" spans="1:9" x14ac:dyDescent="0.25">
      <c r="A209" s="2" t="s">
        <v>3927</v>
      </c>
      <c r="H209" t="str">
        <f t="shared" si="20"/>
        <v>208 INIT PATCH</v>
      </c>
      <c r="I209" t="str">
        <f t="shared" si="19"/>
        <v>208 Atk Flute FLUTE</v>
      </c>
    </row>
    <row r="210" spans="1:9" x14ac:dyDescent="0.25">
      <c r="A210" s="2" t="s">
        <v>3928</v>
      </c>
      <c r="H210" t="str">
        <f t="shared" si="20"/>
        <v>209 INIT PATCH</v>
      </c>
      <c r="I210" t="str">
        <f t="shared" si="19"/>
        <v>209 Pan Pipes FLUTE</v>
      </c>
    </row>
    <row r="211" spans="1:9" x14ac:dyDescent="0.25">
      <c r="A211" s="2" t="s">
        <v>3929</v>
      </c>
      <c r="H211" t="str">
        <f t="shared" si="20"/>
        <v>210 INIT PATCH</v>
      </c>
      <c r="I211" t="str">
        <f t="shared" si="19"/>
        <v>210 Andes Mood FLUTE</v>
      </c>
    </row>
    <row r="212" spans="1:9" x14ac:dyDescent="0.25">
      <c r="A212" s="2" t="s">
        <v>3930</v>
      </c>
      <c r="H212" t="str">
        <f t="shared" si="20"/>
        <v>211 INIT PATCH</v>
      </c>
      <c r="I212" t="str">
        <f t="shared" si="19"/>
        <v>211 FS PipeDream ETHNIC</v>
      </c>
    </row>
    <row r="213" spans="1:9" x14ac:dyDescent="0.25">
      <c r="A213" s="2" t="s">
        <v>3931</v>
      </c>
      <c r="H213" t="str">
        <f t="shared" si="20"/>
        <v>212 INIT PATCH</v>
      </c>
      <c r="I213" t="str">
        <f t="shared" si="19"/>
        <v>212 FS Oboe WIND</v>
      </c>
    </row>
    <row r="214" spans="1:9" x14ac:dyDescent="0.25">
      <c r="A214" s="2" t="s">
        <v>3932</v>
      </c>
      <c r="H214" t="str">
        <f t="shared" si="20"/>
        <v>213 INIT PATCH</v>
      </c>
      <c r="I214" t="str">
        <f t="shared" si="19"/>
        <v>213 Clarence.net WIND</v>
      </c>
    </row>
    <row r="215" spans="1:9" x14ac:dyDescent="0.25">
      <c r="A215" s="2" t="s">
        <v>3933</v>
      </c>
      <c r="H215" t="str">
        <f t="shared" si="20"/>
        <v>214 INIT PATCH</v>
      </c>
      <c r="I215" t="str">
        <f t="shared" si="19"/>
        <v>214 Good Old Day WIND</v>
      </c>
    </row>
    <row r="216" spans="1:9" x14ac:dyDescent="0.25">
      <c r="A216" s="2" t="s">
        <v>3934</v>
      </c>
      <c r="H216" t="str">
        <f t="shared" si="20"/>
        <v>215 INIT PATCH</v>
      </c>
      <c r="I216" t="str">
        <f t="shared" si="19"/>
        <v>215 Solo Sop Sax SAX</v>
      </c>
    </row>
    <row r="217" spans="1:9" x14ac:dyDescent="0.25">
      <c r="A217" s="2" t="s">
        <v>3935</v>
      </c>
      <c r="H217" t="str">
        <f t="shared" si="20"/>
        <v>216 INIT PATCH</v>
      </c>
      <c r="I217" t="str">
        <f t="shared" si="19"/>
        <v>216 Alto mp SAX</v>
      </c>
    </row>
    <row r="218" spans="1:9" x14ac:dyDescent="0.25">
      <c r="A218" s="2" t="s">
        <v>3936</v>
      </c>
      <c r="H218" t="str">
        <f t="shared" si="20"/>
        <v>217 INIT PATCH</v>
      </c>
      <c r="I218" t="str">
        <f t="shared" si="19"/>
        <v>217 Sax Sect. 1 SAX</v>
      </c>
    </row>
    <row r="219" spans="1:9" x14ac:dyDescent="0.25">
      <c r="A219" s="2" t="s">
        <v>3937</v>
      </c>
      <c r="H219" t="str">
        <f t="shared" si="20"/>
        <v>218 INIT PATCH</v>
      </c>
      <c r="I219" t="str">
        <f t="shared" si="19"/>
        <v>218 Squeeze Me! ACCORDION</v>
      </c>
    </row>
    <row r="220" spans="1:9" x14ac:dyDescent="0.25">
      <c r="A220" s="2" t="s">
        <v>3938</v>
      </c>
      <c r="H220" t="str">
        <f t="shared" si="20"/>
        <v>219 INIT PATCH</v>
      </c>
      <c r="I220" t="str">
        <f t="shared" si="19"/>
        <v>219 Timpani+Low PERCUSSION</v>
      </c>
    </row>
    <row r="221" spans="1:9" x14ac:dyDescent="0.25">
      <c r="A221" s="2" t="s">
        <v>3939</v>
      </c>
      <c r="H221" t="str">
        <f t="shared" si="20"/>
        <v>220 INIT PATCH</v>
      </c>
      <c r="I221" t="str">
        <f t="shared" si="19"/>
        <v>220 Silky JP SYNTH BRASS</v>
      </c>
    </row>
    <row r="222" spans="1:9" x14ac:dyDescent="0.25">
      <c r="A222" s="2" t="s">
        <v>3940</v>
      </c>
      <c r="H222" t="str">
        <f t="shared" si="20"/>
        <v>221 INIT PATCH</v>
      </c>
      <c r="I222" t="str">
        <f t="shared" si="19"/>
        <v>221 SoftSynBrass SYNTH BRASS</v>
      </c>
    </row>
    <row r="223" spans="1:9" x14ac:dyDescent="0.25">
      <c r="A223" s="2" t="s">
        <v>3941</v>
      </c>
      <c r="H223" t="str">
        <f t="shared" si="20"/>
        <v>222 INIT PATCH</v>
      </c>
      <c r="I223" t="str">
        <f t="shared" si="19"/>
        <v>222 Silk Brs Pad SYNTH BRASS</v>
      </c>
    </row>
    <row r="224" spans="1:9" x14ac:dyDescent="0.25">
      <c r="A224" s="2" t="s">
        <v>3942</v>
      </c>
      <c r="H224" t="str">
        <f t="shared" si="20"/>
        <v>223 INIT PATCH</v>
      </c>
      <c r="I224" t="str">
        <f t="shared" si="19"/>
        <v>223 DetuneSawBrs SYNTH BRASS</v>
      </c>
    </row>
    <row r="225" spans="1:9" x14ac:dyDescent="0.25">
      <c r="A225" s="2" t="s">
        <v>3943</v>
      </c>
      <c r="H225" t="str">
        <f t="shared" si="20"/>
        <v>224 INIT PATCH</v>
      </c>
      <c r="I225" t="str">
        <f t="shared" si="19"/>
        <v>224 FS Brass AC.BRASS</v>
      </c>
    </row>
    <row r="226" spans="1:9" x14ac:dyDescent="0.25">
      <c r="A226" s="2" t="s">
        <v>3944</v>
      </c>
      <c r="H226" t="str">
        <f t="shared" si="20"/>
        <v>225 INIT PATCH</v>
      </c>
      <c r="I226" t="str">
        <f t="shared" si="19"/>
        <v>225 F.Horns Sect AC.BRASS</v>
      </c>
    </row>
    <row r="227" spans="1:9" x14ac:dyDescent="0.25">
      <c r="A227" s="2" t="s">
        <v>3945</v>
      </c>
      <c r="H227" t="str">
        <f t="shared" si="20"/>
        <v>226 INIT PATCH</v>
      </c>
      <c r="I227" t="str">
        <f t="shared" si="19"/>
        <v>226 Solo Tp AC.BRASS</v>
      </c>
    </row>
    <row r="228" spans="1:9" x14ac:dyDescent="0.25">
      <c r="A228" s="2" t="s">
        <v>3946</v>
      </c>
      <c r="H228" t="str">
        <f t="shared" si="20"/>
        <v>227 INIT PATCH</v>
      </c>
      <c r="I228" t="str">
        <f t="shared" si="19"/>
        <v>227 Harmon Mute AC.BRASS</v>
      </c>
    </row>
    <row r="229" spans="1:9" x14ac:dyDescent="0.25">
      <c r="A229" s="2" t="s">
        <v>3947</v>
      </c>
      <c r="H229" t="str">
        <f t="shared" si="20"/>
        <v>228 INIT PATCH</v>
      </c>
      <c r="I229" t="str">
        <f t="shared" si="19"/>
        <v>228 DynamicBrass AC.BRASS</v>
      </c>
    </row>
    <row r="230" spans="1:9" x14ac:dyDescent="0.25">
      <c r="A230" s="2" t="s">
        <v>3948</v>
      </c>
      <c r="H230" t="str">
        <f t="shared" si="20"/>
        <v>229 INIT PATCH</v>
      </c>
      <c r="I230" t="str">
        <f t="shared" si="19"/>
        <v>229 Flugel Horn AC.BRASS</v>
      </c>
    </row>
    <row r="231" spans="1:9" x14ac:dyDescent="0.25">
      <c r="A231" s="2" t="s">
        <v>3949</v>
      </c>
      <c r="H231" t="str">
        <f t="shared" si="20"/>
        <v>230 INIT PATCH</v>
      </c>
      <c r="I231" t="str">
        <f t="shared" si="19"/>
        <v>230 BrassPartOut AC.BRASS</v>
      </c>
    </row>
    <row r="232" spans="1:9" x14ac:dyDescent="0.25">
      <c r="A232" s="2" t="s">
        <v>3950</v>
      </c>
      <c r="H232" t="str">
        <f t="shared" si="20"/>
        <v>231 INIT PATCH</v>
      </c>
      <c r="I232" t="str">
        <f t="shared" si="19"/>
        <v>231 StackTp Sect AC.BRASS</v>
      </c>
    </row>
    <row r="233" spans="1:9" x14ac:dyDescent="0.25">
      <c r="A233" s="2" t="s">
        <v>3951</v>
      </c>
      <c r="H233" t="str">
        <f t="shared" si="20"/>
        <v>232 INIT PATCH</v>
      </c>
      <c r="I233" t="str">
        <f t="shared" si="19"/>
        <v>232 Beat Vox VOX</v>
      </c>
    </row>
    <row r="234" spans="1:9" x14ac:dyDescent="0.25">
      <c r="A234" s="2" t="s">
        <v>3952</v>
      </c>
      <c r="H234" t="str">
        <f t="shared" si="20"/>
        <v>233 INIT PATCH</v>
      </c>
      <c r="I234" t="str">
        <f t="shared" si="19"/>
        <v>233 Syn Opera VOX</v>
      </c>
    </row>
    <row r="235" spans="1:9" x14ac:dyDescent="0.25">
      <c r="A235" s="2" t="s">
        <v>3953</v>
      </c>
      <c r="H235" t="str">
        <f t="shared" si="20"/>
        <v>234 INIT PATCH</v>
      </c>
      <c r="I235" t="str">
        <f t="shared" si="19"/>
        <v>234 Uhmmm VOX</v>
      </c>
    </row>
    <row r="236" spans="1:9" x14ac:dyDescent="0.25">
      <c r="A236" s="2" t="s">
        <v>3954</v>
      </c>
      <c r="H236" t="str">
        <f t="shared" si="20"/>
        <v>235 INIT PATCH</v>
      </c>
      <c r="I236" t="str">
        <f t="shared" si="19"/>
        <v>235 Ooze VOX</v>
      </c>
    </row>
    <row r="237" spans="1:9" x14ac:dyDescent="0.25">
      <c r="A237" s="2" t="s">
        <v>3955</v>
      </c>
      <c r="H237" t="str">
        <f t="shared" si="20"/>
        <v>236 INIT PATCH</v>
      </c>
      <c r="I237" t="str">
        <f t="shared" si="19"/>
        <v>236 Morning Star VOX</v>
      </c>
    </row>
    <row r="238" spans="1:9" x14ac:dyDescent="0.25">
      <c r="A238" s="2" t="s">
        <v>3956</v>
      </c>
      <c r="H238" t="str">
        <f t="shared" si="20"/>
        <v>237 INIT PATCH</v>
      </c>
      <c r="I238" t="str">
        <f t="shared" si="19"/>
        <v>237 Angels Choir VOX</v>
      </c>
    </row>
    <row r="239" spans="1:9" x14ac:dyDescent="0.25">
      <c r="A239" s="2" t="s">
        <v>3957</v>
      </c>
      <c r="H239" t="str">
        <f t="shared" si="20"/>
        <v>238 INIT PATCH</v>
      </c>
      <c r="I239" t="str">
        <f t="shared" si="19"/>
        <v>238 Gospel Oohs VOX</v>
      </c>
    </row>
    <row r="240" spans="1:9" x14ac:dyDescent="0.25">
      <c r="A240" s="2" t="s">
        <v>3958</v>
      </c>
      <c r="H240" t="str">
        <f t="shared" si="20"/>
        <v>239 INIT PATCH</v>
      </c>
      <c r="I240" t="str">
        <f t="shared" si="19"/>
        <v>239 Rochno Org ORGAN</v>
      </c>
    </row>
    <row r="241" spans="1:9" x14ac:dyDescent="0.25">
      <c r="A241" s="2" t="s">
        <v>3959</v>
      </c>
      <c r="H241" t="str">
        <f t="shared" si="20"/>
        <v>240 INIT PATCH</v>
      </c>
      <c r="I241" t="str">
        <f t="shared" si="19"/>
        <v>240 LoFi PercOrg ORGAN</v>
      </c>
    </row>
    <row r="242" spans="1:9" x14ac:dyDescent="0.25">
      <c r="A242" s="2" t="s">
        <v>3960</v>
      </c>
      <c r="H242" t="str">
        <f t="shared" si="20"/>
        <v>241 INIT PATCH</v>
      </c>
      <c r="I242" t="str">
        <f t="shared" si="19"/>
        <v>241 Euro Organ ORGAN</v>
      </c>
    </row>
    <row r="243" spans="1:9" x14ac:dyDescent="0.25">
      <c r="A243" s="2" t="s">
        <v>3961</v>
      </c>
      <c r="H243" t="str">
        <f t="shared" si="20"/>
        <v>242 INIT PATCH</v>
      </c>
      <c r="I243" t="str">
        <f t="shared" si="19"/>
        <v>242 60´s Org 1 ORGAN</v>
      </c>
    </row>
    <row r="244" spans="1:9" x14ac:dyDescent="0.25">
      <c r="A244" s="2" t="s">
        <v>3962</v>
      </c>
      <c r="H244" t="str">
        <f t="shared" si="20"/>
        <v>243 INIT PATCH</v>
      </c>
      <c r="I244" t="str">
        <f t="shared" si="19"/>
        <v>243 60´s Org 2 ORGAN</v>
      </c>
    </row>
    <row r="245" spans="1:9" x14ac:dyDescent="0.25">
      <c r="A245" s="2" t="s">
        <v>3963</v>
      </c>
      <c r="H245" t="str">
        <f t="shared" si="20"/>
        <v>244 INIT PATCH</v>
      </c>
      <c r="I245" t="str">
        <f t="shared" si="19"/>
        <v>244 Peep Durple ORGAN</v>
      </c>
    </row>
    <row r="246" spans="1:9" x14ac:dyDescent="0.25">
      <c r="A246" s="2" t="s">
        <v>3964</v>
      </c>
      <c r="H246" t="str">
        <f t="shared" si="20"/>
        <v>245 INIT PATCH</v>
      </c>
      <c r="I246" t="str">
        <f t="shared" si="19"/>
        <v>245 Chapel Organ ORGAN</v>
      </c>
    </row>
    <row r="247" spans="1:9" x14ac:dyDescent="0.25">
      <c r="A247" s="2" t="s">
        <v>3965</v>
      </c>
      <c r="H247" t="str">
        <f t="shared" si="20"/>
        <v>246 INIT PATCH</v>
      </c>
      <c r="I247" t="str">
        <f t="shared" si="19"/>
        <v>246 Pipe Org/Mod ORGAN</v>
      </c>
    </row>
    <row r="248" spans="1:9" x14ac:dyDescent="0.25">
      <c r="A248" s="2" t="s">
        <v>3966</v>
      </c>
      <c r="H248" t="str">
        <f t="shared" si="20"/>
        <v>247 INIT PATCH</v>
      </c>
      <c r="I248" t="str">
        <f t="shared" si="19"/>
        <v>247 FS SoapOpera ORGAN</v>
      </c>
    </row>
    <row r="249" spans="1:9" x14ac:dyDescent="0.25">
      <c r="A249" s="2" t="s">
        <v>3967</v>
      </c>
      <c r="H249" t="str">
        <f t="shared" si="20"/>
        <v>248 INIT PATCH</v>
      </c>
      <c r="I249" t="str">
        <f t="shared" si="19"/>
        <v>248 Dreaming Box BELL</v>
      </c>
    </row>
    <row r="250" spans="1:9" x14ac:dyDescent="0.25">
      <c r="A250" s="2" t="s">
        <v>3968</v>
      </c>
      <c r="H250" t="str">
        <f t="shared" si="20"/>
        <v>249 INIT PATCH</v>
      </c>
      <c r="I250" t="str">
        <f t="shared" si="19"/>
        <v>249 Himalaya Ice BELL</v>
      </c>
    </row>
    <row r="251" spans="1:9" x14ac:dyDescent="0.25">
      <c r="A251" s="2" t="s">
        <v>3969</v>
      </c>
      <c r="H251" t="str">
        <f t="shared" si="20"/>
        <v>250 INIT PATCH</v>
      </c>
      <c r="I251" t="str">
        <f t="shared" si="19"/>
        <v>250 FS Musicbox BELL</v>
      </c>
    </row>
    <row r="252" spans="1:9" x14ac:dyDescent="0.25">
      <c r="A252" s="2" t="s">
        <v>3970</v>
      </c>
      <c r="H252" t="str">
        <f t="shared" si="20"/>
        <v>251 INIT PATCH</v>
      </c>
      <c r="I252" t="str">
        <f t="shared" si="19"/>
        <v>251 Candy Bell BELL</v>
      </c>
    </row>
    <row r="253" spans="1:9" x14ac:dyDescent="0.25">
      <c r="A253" s="2" t="s">
        <v>3971</v>
      </c>
      <c r="H253" t="str">
        <f t="shared" si="20"/>
        <v>252 INIT PATCH</v>
      </c>
      <c r="I253" t="str">
        <f t="shared" si="19"/>
        <v>252 MuBox Pad BELL</v>
      </c>
    </row>
    <row r="254" spans="1:9" x14ac:dyDescent="0.25">
      <c r="A254" s="2" t="s">
        <v>3972</v>
      </c>
      <c r="H254" t="str">
        <f t="shared" si="20"/>
        <v>253 INIT PATCH</v>
      </c>
      <c r="I254" t="str">
        <f t="shared" si="19"/>
        <v>253 Ethno Keys MALLET</v>
      </c>
    </row>
    <row r="255" spans="1:9" x14ac:dyDescent="0.25">
      <c r="A255" s="2" t="s">
        <v>3973</v>
      </c>
      <c r="H255" t="str">
        <f t="shared" si="20"/>
        <v>254 INIT PATCH</v>
      </c>
      <c r="I255" t="str">
        <f t="shared" si="19"/>
        <v>254 FS Marimba MALLET</v>
      </c>
    </row>
    <row r="256" spans="1:9" x14ac:dyDescent="0.25">
      <c r="A256" s="2" t="s">
        <v>3974</v>
      </c>
      <c r="H256" t="str">
        <f t="shared" si="20"/>
        <v>255 INIT PATCH</v>
      </c>
      <c r="I256" t="str">
        <f t="shared" si="19"/>
        <v>255 FS Vibe MALLET</v>
      </c>
    </row>
    <row r="257" spans="1:9" x14ac:dyDescent="0.25">
      <c r="A257" s="2" t="s">
        <v>3975</v>
      </c>
      <c r="H257" t="str">
        <f t="shared" si="20"/>
        <v>256 INIT PATCH</v>
      </c>
      <c r="I257" t="str">
        <f t="shared" ref="I257" si="21">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SUBSTITUTE(A257,"'","´"),"[0-9] AC.PIANO","AC.PIANO",-1),"[0-9] PULSATING","PULSATING"),"[0-9] KEYBOARDS","KEYBOARDS"),"[0-9] EL.PIANO","EL.PIANO"),"[0-9] BELL","BELL"),"[0-9] MALLET","MALLET"),"[0-9] ORGAN","ORGAN"),"[0-9] ACCORDION","ACCORDION"),"[0-9] HARMONICA","HARMONICA"),"[0-9] AC.GUITAR","AC.GUITAR"),"[0-9] EL.GUITAR","EL.GUITAR"),"[0-9] DIST.GUITAR","DIST.GUITAR"),"[0-9] BASS","BASS"),"[0-9] STRINGS","STRINGS"),"[0-9] SYNTH BASS","SYNTH BASS"),"[0-9] ORCHESTRA","ORCHESTRA"),"[0-9] WIND","WIND"),"[0-9] FLUTE","FLUTE"),"[0-9] AC.BRASS","AC.BRASS"),"[0-9] SYNTH BRASS","SYNTH BRASS"),"[0-9] SAX","SAX"),"[0-9] SOFT LEAD","SOFT LEAD"),"[0-9] HARD LEAD","HARD LEAD"),"[0-9] HIT&amp;STAB","HIT&amp;STAB"),"[0-9] TECHNO SYNTH","TECHNO SYNTH"),"[0-9] OTHER SYNTH","OTHER SYNTH"),"[0-9] VOX","VOX"),"[0-9] SOFT PAD","SOFT PAD"),"[0-9] BRIGHT PAD","BRIGHT PAD"),"[0-9] PLUCKED","PLUCKED"),"[0-9] ETHNIC","ETHNIC"),"[0-9] FRETTED","FRETTED"),"[0-9] SYNTH FX","SYNTH FX"),"[0-9] BEAT&amp;GROOVE","BEAT&amp;GROOVE"),"[0-9] PERCUSSION","PERCUSSION"),"[0-9] COMBINATION","COMBINATION")</f>
        <v>256 Toy Box MALLET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44867-F480-4212-B939-4A4645F7C3E5}">
  <dimension ref="A1:T257"/>
  <sheetViews>
    <sheetView workbookViewId="0">
      <selection activeCell="B141" sqref="B141"/>
    </sheetView>
  </sheetViews>
  <sheetFormatPr defaultRowHeight="15" x14ac:dyDescent="0.25"/>
  <cols>
    <col min="1" max="26" width="32.42578125" customWidth="1"/>
  </cols>
  <sheetData>
    <row r="1" spans="1:20" ht="15.75" thickBot="1" x14ac:dyDescent="0.3">
      <c r="A1" s="2" t="s">
        <v>3719</v>
      </c>
      <c r="B1" s="2" t="s">
        <v>3976</v>
      </c>
      <c r="C1" s="2" t="s">
        <v>3977</v>
      </c>
      <c r="D1" s="2" t="s">
        <v>4234</v>
      </c>
      <c r="E1" s="2" t="s">
        <v>4235</v>
      </c>
      <c r="F1" s="2" t="s">
        <v>4492</v>
      </c>
      <c r="G1" s="2" t="s">
        <v>5399</v>
      </c>
      <c r="H1" s="2" t="s">
        <v>5528</v>
      </c>
      <c r="I1" s="2" t="s">
        <v>6059</v>
      </c>
      <c r="K1" s="30" t="str">
        <f>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SUBSTITUTE(A1,"'","´"),"[0-9] AC.PIANO","AC.PIANO",-1),"[0-9] PULSATING","PULSATING"),"[0-9] KEYBOARDS","KEYBOARDS"),"[0-9] EL.PIANO","EL.PIANO"),"[0-9] BELL","BELL"),"[0-9] MALLET","MALLET"),"[0-9] ORGAN","ORGAN"),"[0-9] ACCORDION","ACCORDION"),"[0-9] HARMONICA","HARMONICA"),"[0-9] AC.GUITAR","AC.GUITAR"),"[0-9] EL.GUITAR","EL.GUITAR"),"[0-9] DIST.GUITAR","DIST.GUITAR"),"[0-9] BASS","BASS"),"[0-9] STRINGS","STRINGS"),"[0-9] SYNTH BASS","SYNTH BASS"),"[0-9] ORCHESTRA","ORCHESTRA"),"[0-9] WIND","WIND"),"[0-9] FLUTE","FLUTE"),"[0-9] AC.BRASS","AC.BRASS"),"[0-9] SYNTH BRASS","SYNTH BRASS"),"[0-9] SAX","SAX"),"[0-9] SOFT LEAD","SOFT LEAD"),"[0-9] HARD LEAD","HARD LEAD"),"[0-9] HIT&amp;STAB","HIT&amp;STAB"),"[0-9] TECHNO SYNTH","TECHNO SYNTH"),"[0-9] OTHER SYNTH","OTHER SYNTH"),"[0-9] VOX","VOX"),"[0-9] SOFT PAD","SOFT PAD"),"[0-9] BRIGHT PAD","BRIGHT PAD"),"[0-9] PLUCKED","PLUCKED"),"[0-9] ETHNIC","ETHNIC"),"[0-9] FRETTED","FRETTED"),"[0-9] SYNTH FX","SYNTH FX"),"[0-9] BEAT&amp;GROOVE","BEAT&amp;GROOVE"),"[0-9] PERCUSSION","PERCUSSION"),"[0-9] COMBINATION","COMBINATION")</f>
        <v>USER (User Group)</v>
      </c>
      <c r="L1" s="31" t="str">
        <f t="shared" ref="L1:T1" si="0">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SUBSTITUTE(B1,"'","´"),"[0-9] AC.PIANO","AC.PIANO",-1),"[0-9] PULSATING","PULSATING"),"[0-9] KEYBOARDS","KEYBOARDS"),"[0-9] EL.PIANO","EL.PIANO"),"[0-9] BELL","BELL"),"[0-9] MALLET","MALLET"),"[0-9] ORGAN","ORGAN"),"[0-9] ACCORDION","ACCORDION"),"[0-9] HARMONICA","HARMONICA"),"[0-9] AC.GUITAR","AC.GUITAR"),"[0-9] EL.GUITAR","EL.GUITAR"),"[0-9] DIST.GUITAR","DIST.GUITAR"),"[0-9] BASS","BASS"),"[0-9] STRINGS","STRINGS"),"[0-9] SYNTH BASS","SYNTH BASS"),"[0-9] ORCHESTRA","ORCHESTRA"),"[0-9] WIND","WIND"),"[0-9] FLUTE","FLUTE"),"[0-9] AC.BRASS","AC.BRASS"),"[0-9] SYNTH BRASS","SYNTH BRASS"),"[0-9] SAX","SAX"),"[0-9] SOFT LEAD","SOFT LEAD"),"[0-9] HARD LEAD","HARD LEAD"),"[0-9] HIT&amp;STAB","HIT&amp;STAB"),"[0-9] TECHNO SYNTH","TECHNO SYNTH"),"[0-9] OTHER SYNTH","OTHER SYNTH"),"[0-9] VOX","VOX"),"[0-9] SOFT PAD","SOFT PAD"),"[0-9] BRIGHT PAD","BRIGHT PAD"),"[0-9] PLUCKED","PLUCKED"),"[0-9] ETHNIC","ETHNIC"),"[0-9] FRETTED","FRETTED"),"[0-9] SYNTH FX","SYNTH FX"),"[0-9] BEAT&amp;GROOVE","BEAT&amp;GROOVE"),"[0-9] PERCUSSION","PERCUSSION"),"[0-9] COMBINATION","COMBINATION")</f>
        <v>PR-A (Preset A Group)</v>
      </c>
      <c r="M1" s="31" t="str">
        <f t="shared" si="0"/>
        <v>PR-B (Preset B Group)</v>
      </c>
      <c r="N1" s="31" t="str">
        <f t="shared" si="0"/>
        <v>PR-C (Preset C Group)</v>
      </c>
      <c r="O1" s="31" t="str">
        <f t="shared" si="0"/>
        <v>PR-D (Preset D Group)</v>
      </c>
      <c r="P1" s="31" t="str">
        <f t="shared" si="0"/>
        <v>PR-E (Preset E Group)</v>
      </c>
      <c r="Q1" s="31" t="str">
        <f t="shared" si="0"/>
        <v>PR-F (Preset F Group)</v>
      </c>
      <c r="R1" s="31" t="str">
        <f t="shared" si="0"/>
        <v>PR-G (Preset G Group)</v>
      </c>
      <c r="S1" s="32" t="str">
        <f t="shared" si="0"/>
        <v>PR-H (Preset H Group)</v>
      </c>
      <c r="T1" t="str">
        <f t="shared" si="0"/>
        <v/>
      </c>
    </row>
    <row r="2" spans="1:20" x14ac:dyDescent="0.25">
      <c r="A2" t="s">
        <v>5658</v>
      </c>
      <c r="B2" t="s">
        <v>3978</v>
      </c>
      <c r="C2" t="s">
        <v>4106</v>
      </c>
      <c r="D2" t="s">
        <v>4236</v>
      </c>
      <c r="E2" t="s">
        <v>4364</v>
      </c>
      <c r="F2" t="s">
        <v>4502</v>
      </c>
      <c r="G2" t="s">
        <v>4494</v>
      </c>
      <c r="H2" t="s">
        <v>6060</v>
      </c>
      <c r="I2" t="s">
        <v>6188</v>
      </c>
      <c r="K2" t="str">
        <f>CLEAN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SUBSTITUTE(A2,"'","´"),"[0-9] AC.PIANO","AC.PIANO",-1),"[0-9] PULSATING","PULSATING"),"[0-9] KEYBOARDS","KEYBOARDS"),"[0-9] EL.PIANO","EL.PIANO"),"[0-9] BELL","BELL"),"[0-9] MALLET","MALLET"),"[0-9] ORGAN","ORGAN"),"[0-9] ACCORDION","ACCORDION"),"[0-9] HARMONICA","HARMONICA"),"[0-9] AC.GUITAR","AC.GUITAR"),"[0-9] EL.GUITAR","EL.GUITAR"),"[0-9] DIST.GUITAR","DIST.GUITAR"),"[0-9] BASS","BASS"),"[0-9] STRINGS","STRINGS"),"[0-9] SYNTH BASS","SYNTH BASS"),"[0-9] ORCHESTRA","ORCHESTRA"),"[0-9] WIND","WIND"),"[0-9] FLUTE","FLUTE"),"[0-9] AC.BRASS","AC.BRASS"),"[0-9] SYNTH BRASS","SYNTH BRASS"),"[0-9] SAX","SAX"),"[0-9] SOFT LEAD","SOFT LEAD"),"[0-9] HARD LEAD","HARD LEAD"),"[0-9] HIT&amp;STAB","HIT&amp;STAB"),"[0-9] TECHNO SYNTH","TECHNO SYNTH"),"[0-9] OTHER SYNTH","OTHER SYNTH"),"[0-9] VOX","VOX"),"[0-9] SOFT PAD","SOFT PAD"),"[0-9] BRIGHT PAD","BRIGHT PAD"),"[0-9] PLUCKED","PLUCKED"),"[0-9] ETHNIC","ETHNIC"),"[0-9] FRETTED","FRETTED"),"[0-9] SYNTH FX","SYNTH FX"),"[0-9] BEAT&amp;GROOVE","BEAT&amp;GROOVE"),"[0-9] PERCUSSION","PERCUSSION"),"[0-9] COMBINATION","COMBINATION"))</f>
        <v>001 UltimatGrand AC.PIANO</v>
      </c>
      <c r="L2" t="str">
        <f t="shared" ref="L2:L65" si="1">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SUBSTITUTE(B2,"'","´"),"[0-9] AC.PIANO","AC.PIANO",-1),"[0-9] PULSATING","PULSATING"),"[0-9] KEYBOARDS","KEYBOARDS"),"[0-9] EL.PIANO","EL.PIANO"),"[0-9] BELL","BELL"),"[0-9] MALLET","MALLET"),"[0-9] ORGAN","ORGAN"),"[0-9] ACCORDION","ACCORDION"),"[0-9] HARMONICA","HARMONICA"),"[0-9] AC.GUITAR","AC.GUITAR"),"[0-9] EL.GUITAR","EL.GUITAR"),"[0-9] DIST.GUITAR","DIST.GUITAR"),"[0-9] BASS","BASS"),"[0-9] STRINGS","STRINGS"),"[0-9] SYNTH BASS","SYNTH BASS"),"[0-9] ORCHESTRA","ORCHESTRA"),"[0-9] WIND","WIND"),"[0-9] FLUTE","FLUTE"),"[0-9] AC.BRASS","AC.BRASS"),"[0-9] SYNTH BRASS","SYNTH BRASS"),"[0-9] SAX","SAX"),"[0-9] SOFT LEAD","SOFT LEAD"),"[0-9] HARD LEAD","HARD LEAD"),"[0-9] HIT&amp;STAB","HIT&amp;STAB"),"[0-9] TECHNO SYNTH","TECHNO SYNTH"),"[0-9] OTHER SYNTH","OTHER SYNTH"),"[0-9] VOX","VOX"),"[0-9] SOFT PAD","SOFT PAD"),"[0-9] BRIGHT PAD","BRIGHT PAD"),"[0-9] PLUCKED","PLUCKED"),"[0-9] ETHNIC","ETHNIC"),"[0-9] FRETTED","FRETTED"),"[0-9] SYNTH FX","SYNTH FX"),"[0-9] BEAT&amp;GROOVE","BEAT&amp;GROOVE"),"[0-9] PERCUSSION","PERCUSSION"),"[0-9] COMBINATION","COMBINATION")</f>
        <v>001 So true... AC.PIANO</v>
      </c>
      <c r="M2" t="str">
        <f t="shared" ref="M2:M65" si="2">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SUBSTITUTE(C2,"'","´"),"[0-9] AC.PIANO","AC.PIANO",-1),"[0-9] PULSATING","PULSATING"),"[0-9] KEYBOARDS","KEYBOARDS"),"[0-9] EL.PIANO","EL.PIANO"),"[0-9] BELL","BELL"),"[0-9] MALLET","MALLET"),"[0-9] ORGAN","ORGAN"),"[0-9] ACCORDION","ACCORDION"),"[0-9] HARMONICA","HARMONICA"),"[0-9] AC.GUITAR","AC.GUITAR"),"[0-9] EL.GUITAR","EL.GUITAR"),"[0-9] DIST.GUITAR","DIST.GUITAR"),"[0-9] BASS","BASS"),"[0-9] STRINGS","STRINGS"),"[0-9] SYNTH BASS","SYNTH BASS"),"[0-9] ORCHESTRA","ORCHESTRA"),"[0-9] WIND","WIND"),"[0-9] FLUTE","FLUTE"),"[0-9] AC.BRASS","AC.BRASS"),"[0-9] SYNTH BRASS","SYNTH BRASS"),"[0-9] SAX","SAX"),"[0-9] SOFT LEAD","SOFT LEAD"),"[0-9] HARD LEAD","HARD LEAD"),"[0-9] HIT&amp;STAB","HIT&amp;STAB"),"[0-9] TECHNO SYNTH","TECHNO SYNTH"),"[0-9] OTHER SYNTH","OTHER SYNTH"),"[0-9] VOX","VOX"),"[0-9] SOFT PAD","SOFT PAD"),"[0-9] BRIGHT PAD","BRIGHT PAD"),"[0-9] PLUCKED","PLUCKED"),"[0-9] ETHNIC","ETHNIC"),"[0-9] FRETTED","FRETTED"),"[0-9] SYNTH FX","SYNTH FX"),"[0-9] BEAT&amp;GROOVE","BEAT&amp;GROOVE"),"[0-9] PERCUSSION","PERCUSSION"),"[0-9] COMBINATION","COMBINATION")</f>
        <v>001 GK Dubguitar EL.GUITAR</v>
      </c>
      <c r="N2" t="str">
        <f t="shared" ref="N2:N65" si="3">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SUBSTITUTE(D2,"'","´"),"[0-9] AC.PIANO","AC.PIANO",-1),"[0-9] PULSATING","PULSATING"),"[0-9] KEYBOARDS","KEYBOARDS"),"[0-9] EL.PIANO","EL.PIANO"),"[0-9] BELL","BELL"),"[0-9] MALLET","MALLET"),"[0-9] ORGAN","ORGAN"),"[0-9] ACCORDION","ACCORDION"),"[0-9] HARMONICA","HARMONICA"),"[0-9] AC.GUITAR","AC.GUITAR"),"[0-9] EL.GUITAR","EL.GUITAR"),"[0-9] DIST.GUITAR","DIST.GUITAR"),"[0-9] BASS","BASS"),"[0-9] STRINGS","STRINGS"),"[0-9] SYNTH BASS","SYNTH BASS"),"[0-9] ORCHESTRA","ORCHESTRA"),"[0-9] WIND","WIND"),"[0-9] FLUTE","FLUTE"),"[0-9] AC.BRASS","AC.BRASS"),"[0-9] SYNTH BRASS","SYNTH BRASS"),"[0-9] SAX","SAX"),"[0-9] SOFT LEAD","SOFT LEAD"),"[0-9] HARD LEAD","HARD LEAD"),"[0-9] HIT&amp;STAB","HIT&amp;STAB"),"[0-9] TECHNO SYNTH","TECHNO SYNTH"),"[0-9] OTHER SYNTH","OTHER SYNTH"),"[0-9] VOX","VOX"),"[0-9] SOFT PAD","SOFT PAD"),"[0-9] BRIGHT PAD","BRIGHT PAD"),"[0-9] PLUCKED","PLUCKED"),"[0-9] ETHNIC","ETHNIC"),"[0-9] FRETTED","FRETTED"),"[0-9] SYNTH FX","SYNTH FX"),"[0-9] BEAT&amp;GROOVE","BEAT&amp;GROOVE"),"[0-9] PERCUSSION","PERCUSSION"),"[0-9] COMBINATION","COMBINATION")</f>
        <v>001 FS Flute FLUTE</v>
      </c>
      <c r="O2" t="str">
        <f t="shared" ref="O2:O65" si="4">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SUBSTITUTE(E2,"'","´"),"[0-9] AC.PIANO","AC.PIANO",-1),"[0-9] PULSATING","PULSATING"),"[0-9] KEYBOARDS","KEYBOARDS"),"[0-9] EL.PIANO","EL.PIANO"),"[0-9] BELL","BELL"),"[0-9] MALLET","MALLET"),"[0-9] ORGAN","ORGAN"),"[0-9] ACCORDION","ACCORDION"),"[0-9] HARMONICA","HARMONICA"),"[0-9] AC.GUITAR","AC.GUITAR"),"[0-9] EL.GUITAR","EL.GUITAR"),"[0-9] DIST.GUITAR","DIST.GUITAR"),"[0-9] BASS","BASS"),"[0-9] STRINGS","STRINGS"),"[0-9] SYNTH BASS","SYNTH BASS"),"[0-9] ORCHESTRA","ORCHESTRA"),"[0-9] WIND","WIND"),"[0-9] FLUTE","FLUTE"),"[0-9] AC.BRASS","AC.BRASS"),"[0-9] SYNTH BRASS","SYNTH BRASS"),"[0-9] SAX","SAX"),"[0-9] SOFT LEAD","SOFT LEAD"),"[0-9] HARD LEAD","HARD LEAD"),"[0-9] HIT&amp;STAB","HIT&amp;STAB"),"[0-9] TECHNO SYNTH","TECHNO SYNTH"),"[0-9] OTHER SYNTH","OTHER SYNTH"),"[0-9] VOX","VOX"),"[0-9] SOFT PAD","SOFT PAD"),"[0-9] BRIGHT PAD","BRIGHT PAD"),"[0-9] PLUCKED","PLUCKED"),"[0-9] ETHNIC","ETHNIC"),"[0-9] FRETTED","FRETTED"),"[0-9] SYNTH FX","SYNTH FX"),"[0-9] BEAT&amp;GROOVE","BEAT&amp;GROOVE"),"[0-9] PERCUSSION","PERCUSSION"),"[0-9] COMBINATION","COMBINATION")</f>
        <v>001 HPF Sweep TECHNO SYNTH</v>
      </c>
      <c r="P2" t="str">
        <f t="shared" ref="P2:P65" si="5">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SUBSTITUTE(F2,"'","´"),"[0-9] AC.PIANO","AC.PIANO",-1),"[0-9] PULSATING","PULSATING"),"[0-9] KEYBOARDS","KEYBOARDS"),"[0-9] EL.PIANO","EL.PIANO"),"[0-9] BELL","BELL"),"[0-9] MALLET","MALLET"),"[0-9] ORGAN","ORGAN"),"[0-9] ACCORDION","ACCORDION"),"[0-9] HARMONICA","HARMONICA"),"[0-9] AC.GUITAR","AC.GUITAR"),"[0-9] EL.GUITAR","EL.GUITAR"),"[0-9] DIST.GUITAR","DIST.GUITAR"),"[0-9] BASS","BASS"),"[0-9] STRINGS","STRINGS"),"[0-9] SYNTH BASS","SYNTH BASS"),"[0-9] ORCHESTRA","ORCHESTRA"),"[0-9] WIND","WIND"),"[0-9] FLUTE","FLUTE"),"[0-9] AC.BRASS","AC.BRASS"),"[0-9] SYNTH BRASS","SYNTH BRASS"),"[0-9] SAX","SAX"),"[0-9] SOFT LEAD","SOFT LEAD"),"[0-9] HARD LEAD","HARD LEAD"),"[0-9] HIT&amp;STAB","HIT&amp;STAB"),"[0-9] TECHNO SYNTH","TECHNO SYNTH"),"[0-9] OTHER SYNTH","OTHER SYNTH"),"[0-9] VOX","VOX"),"[0-9] SOFT PAD","SOFT PAD"),"[0-9] BRIGHT PAD","BRIGHT PAD"),"[0-9] PLUCKED","PLUCKED"),"[0-9] ETHNIC","ETHNIC"),"[0-9] FRETTED","FRETTED"),"[0-9] SYNTH FX","SYNTH FX"),"[0-9] BEAT&amp;GROOVE","BEAT&amp;GROOVE"),"[0-9] PERCUSSION","PERCUSSION"),"[0-9] COMBINATION","COMBINATION")</f>
        <v>001 Digital Aahs SOFT PAD</v>
      </c>
      <c r="Q2" t="str">
        <f t="shared" ref="Q2:Q65" si="6">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SUBSTITUTE(G2,"'","´"),"[0-9] AC.PIANO","AC.PIANO",-1),"[0-9] PULSATING","PULSATING"),"[0-9] KEYBOARDS","KEYBOARDS"),"[0-9] EL.PIANO","EL.PIANO"),"[0-9] BELL","BELL"),"[0-9] MALLET","MALLET"),"[0-9] ORGAN","ORGAN"),"[0-9] ACCORDION","ACCORDION"),"[0-9] HARMONICA","HARMONICA"),"[0-9] AC.GUITAR","AC.GUITAR"),"[0-9] EL.GUITAR","EL.GUITAR"),"[0-9] DIST.GUITAR","DIST.GUITAR"),"[0-9] BASS","BASS"),"[0-9] STRINGS","STRINGS"),"[0-9] SYNTH BASS","SYNTH BASS"),"[0-9] ORCHESTRA","ORCHESTRA"),"[0-9] WIND","WIND"),"[0-9] FLUTE","FLUTE"),"[0-9] AC.BRASS","AC.BRASS"),"[0-9] SYNTH BRASS","SYNTH BRASS"),"[0-9] SAX","SAX"),"[0-9] SOFT LEAD","SOFT LEAD"),"[0-9] HARD LEAD","HARD LEAD"),"[0-9] HIT&amp;STAB","HIT&amp;STAB"),"[0-9] TECHNO SYNTH","TECHNO SYNTH"),"[0-9] OTHER SYNTH","OTHER SYNTH"),"[0-9] VOX","VOX"),"[0-9] SOFT PAD","SOFT PAD"),"[0-9] BRIGHT PAD","BRIGHT PAD"),"[0-9] PLUCKED","PLUCKED"),"[0-9] ETHNIC","ETHNIC"),"[0-9] FRETTED","FRETTED"),"[0-9] SYNTH FX","SYNTH FX"),"[0-9] BEAT&amp;GROOVE","BEAT&amp;GROOVE"),"[0-9] PERCUSSION","PERCUSSION"),"[0-9] COMBINATION","COMBINATION")</f>
        <v>001 ConcertGrand AC.PIANO</v>
      </c>
      <c r="R2" t="str">
        <f t="shared" ref="R2:R65" si="7">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SUBSTITUTE(H2,"'","´"),"[0-9] AC.PIANO","AC.PIANO",-1),"[0-9] PULSATING","PULSATING"),"[0-9] KEYBOARDS","KEYBOARDS"),"[0-9] EL.PIANO","EL.PIANO"),"[0-9] BELL","BELL"),"[0-9] MALLET","MALLET"),"[0-9] ORGAN","ORGAN"),"[0-9] ACCORDION","ACCORDION"),"[0-9] HARMONICA","HARMONICA"),"[0-9] AC.GUITAR","AC.GUITAR"),"[0-9] EL.GUITAR","EL.GUITAR"),"[0-9] DIST.GUITAR","DIST.GUITAR"),"[0-9] BASS","BASS"),"[0-9] STRINGS","STRINGS"),"[0-9] SYNTH BASS","SYNTH BASS"),"[0-9] ORCHESTRA","ORCHESTRA"),"[0-9] WIND","WIND"),"[0-9] FLUTE","FLUTE"),"[0-9] AC.BRASS","AC.BRASS"),"[0-9] SYNTH BRASS","SYNTH BRASS"),"[0-9] SAX","SAX"),"[0-9] SOFT LEAD","SOFT LEAD"),"[0-9] HARD LEAD","HARD LEAD"),"[0-9] HIT&amp;STAB","HIT&amp;STAB"),"[0-9] TECHNO SYNTH","TECHNO SYNTH"),"[0-9] OTHER SYNTH","OTHER SYNTH"),"[0-9] VOX","VOX"),"[0-9] SOFT PAD","SOFT PAD"),"[0-9] BRIGHT PAD","BRIGHT PAD"),"[0-9] PLUCKED","PLUCKED"),"[0-9] ETHNIC","ETHNIC"),"[0-9] FRETTED","FRETTED"),"[0-9] SYNTH FX","SYNTH FX"),"[0-9] BEAT&amp;GROOVE","BEAT&amp;GROOVE"),"[0-9] PERCUSSION","PERCUSSION"),"[0-9] COMBINATION","COMBINATION")</f>
        <v>001 Da Chronic SYNTH BASS</v>
      </c>
      <c r="S2" t="str">
        <f t="shared" ref="S2:S65" si="8">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SUBSTITUTE(I2,"'","´"),"[0-9] AC.PIANO","AC.PIANO",-1),"[0-9] PULSATING","PULSATING"),"[0-9] KEYBOARDS","KEYBOARDS"),"[0-9] EL.PIANO","EL.PIANO"),"[0-9] BELL","BELL"),"[0-9] MALLET","MALLET"),"[0-9] ORGAN","ORGAN"),"[0-9] ACCORDION","ACCORDION"),"[0-9] HARMONICA","HARMONICA"),"[0-9] AC.GUITAR","AC.GUITAR"),"[0-9] EL.GUITAR","EL.GUITAR"),"[0-9] DIST.GUITAR","DIST.GUITAR"),"[0-9] BASS","BASS"),"[0-9] STRINGS","STRINGS"),"[0-9] SYNTH BASS","SYNTH BASS"),"[0-9] ORCHESTRA","ORCHESTRA"),"[0-9] WIND","WIND"),"[0-9] FLUTE","FLUTE"),"[0-9] AC.BRASS","AC.BRASS"),"[0-9] SYNTH BRASS","SYNTH BRASS"),"[0-9] SAX","SAX"),"[0-9] SOFT LEAD","SOFT LEAD"),"[0-9] HARD LEAD","HARD LEAD"),"[0-9] HIT&amp;STAB","HIT&amp;STAB"),"[0-9] TECHNO SYNTH","TECHNO SYNTH"),"[0-9] OTHER SYNTH","OTHER SYNTH"),"[0-9] VOX","VOX"),"[0-9] SOFT PAD","SOFT PAD"),"[0-9] BRIGHT PAD","BRIGHT PAD"),"[0-9] PLUCKED","PLUCKED"),"[0-9] ETHNIC","ETHNIC"),"[0-9] FRETTED","FRETTED"),"[0-9] SYNTH FX","SYNTH FX"),"[0-9] BEAT&amp;GROOVE","BEAT&amp;GROOVE"),"[0-9] PERCUSSION","PERCUSSION"),"[0-9] COMBINATION","COMBINATION")</f>
        <v>001 Minor Thirds PULSATING</v>
      </c>
    </row>
    <row r="3" spans="1:20" x14ac:dyDescent="0.25">
      <c r="A3" t="s">
        <v>5659</v>
      </c>
      <c r="B3" t="s">
        <v>3979</v>
      </c>
      <c r="C3" t="s">
        <v>4107</v>
      </c>
      <c r="D3" t="s">
        <v>4237</v>
      </c>
      <c r="E3" t="s">
        <v>4365</v>
      </c>
      <c r="F3" t="s">
        <v>4503</v>
      </c>
      <c r="G3" t="s">
        <v>4495</v>
      </c>
      <c r="H3" t="s">
        <v>6061</v>
      </c>
      <c r="I3" t="s">
        <v>6189</v>
      </c>
      <c r="K3" t="str">
        <f t="shared" ref="K3:K66" si="9">CLEAN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SUBSTITUTE(A3,"'","´"),"[0-9] AC.PIANO","AC.PIANO",-1),"[0-9] PULSATING","PULSATING"),"[0-9] KEYBOARDS","KEYBOARDS"),"[0-9] EL.PIANO","EL.PIANO"),"[0-9] BELL","BELL"),"[0-9] MALLET","MALLET"),"[0-9] ORGAN","ORGAN"),"[0-9] ACCORDION","ACCORDION"),"[0-9] HARMONICA","HARMONICA"),"[0-9] AC.GUITAR","AC.GUITAR"),"[0-9] EL.GUITAR","EL.GUITAR"),"[0-9] DIST.GUITAR","DIST.GUITAR"),"[0-9] BASS","BASS"),"[0-9] STRINGS","STRINGS"),"[0-9] SYNTH BASS","SYNTH BASS"),"[0-9] ORCHESTRA","ORCHESTRA"),"[0-9] WIND","WIND"),"[0-9] FLUTE","FLUTE"),"[0-9] AC.BRASS","AC.BRASS"),"[0-9] SYNTH BRASS","SYNTH BRASS"),"[0-9] SAX","SAX"),"[0-9] SOFT LEAD","SOFT LEAD"),"[0-9] HARD LEAD","HARD LEAD"),"[0-9] HIT&amp;STAB","HIT&amp;STAB"),"[0-9] TECHNO SYNTH","TECHNO SYNTH"),"[0-9] OTHER SYNTH","OTHER SYNTH"),"[0-9] VOX","VOX"),"[0-9] SOFT PAD","SOFT PAD"),"[0-9] BRIGHT PAD","BRIGHT PAD"),"[0-9] PLUCKED","PLUCKED"),"[0-9] ETHNIC","ETHNIC"),"[0-9] FRETTED","FRETTED"),"[0-9] SYNTH FX","SYNTH FX"),"[0-9] BEAT&amp;GROOVE","BEAT&amp;GROOVE"),"[0-9] PERCUSSION","PERCUSSION"),"[0-9] COMBINATION","COMBINATION"))</f>
        <v>002 Strobot PULSATING</v>
      </c>
      <c r="L3" t="str">
        <f t="shared" si="1"/>
        <v>002 ConcertPiano AC.PIANO</v>
      </c>
      <c r="M3" t="str">
        <f t="shared" si="2"/>
        <v>002 &amp; Scratchee EL.GUITAR</v>
      </c>
      <c r="N3" t="str">
        <f t="shared" si="3"/>
        <v>002 Atk Flute FLUTE</v>
      </c>
      <c r="O3" t="str">
        <f t="shared" si="4"/>
        <v>002 Moon Synth TECHNO SYNTH</v>
      </c>
      <c r="P3" t="str">
        <f t="shared" si="5"/>
        <v>002 FreezinNight SOFT PAD</v>
      </c>
      <c r="Q3" t="str">
        <f t="shared" si="6"/>
        <v>002 Hall Concert AC.PIANO</v>
      </c>
      <c r="R3" t="str">
        <f t="shared" si="7"/>
        <v>002 Virtual RnBs SYNTH BASS</v>
      </c>
      <c r="S3" t="str">
        <f t="shared" si="8"/>
        <v>002 Strobe X PULSATING</v>
      </c>
    </row>
    <row r="4" spans="1:20" x14ac:dyDescent="0.25">
      <c r="A4" t="s">
        <v>5660</v>
      </c>
      <c r="B4" t="s">
        <v>3980</v>
      </c>
      <c r="C4" t="s">
        <v>4108</v>
      </c>
      <c r="D4" t="s">
        <v>4238</v>
      </c>
      <c r="E4" t="s">
        <v>4366</v>
      </c>
      <c r="F4" t="s">
        <v>4504</v>
      </c>
      <c r="G4" t="s">
        <v>4496</v>
      </c>
      <c r="H4" t="s">
        <v>6062</v>
      </c>
      <c r="I4" t="s">
        <v>6190</v>
      </c>
      <c r="K4" t="str">
        <f t="shared" si="9"/>
        <v>003 Full Strings STRINGS</v>
      </c>
      <c r="L4" t="str">
        <f t="shared" si="1"/>
        <v>003 Warm Piano AC.PIANO</v>
      </c>
      <c r="M4" t="str">
        <f t="shared" si="2"/>
        <v>003 Touch Drive DIST.GUITAR</v>
      </c>
      <c r="N4" t="str">
        <f t="shared" si="3"/>
        <v>003 Piccolo FLUTE</v>
      </c>
      <c r="O4" t="str">
        <f t="shared" si="4"/>
        <v>003 DelyResoSaws TECHNO SYNTH</v>
      </c>
      <c r="P4" t="str">
        <f t="shared" si="5"/>
        <v>003 FS MovinPad SOFT PAD</v>
      </c>
      <c r="Q4" t="str">
        <f t="shared" si="6"/>
        <v>003 Bright Tune AC.PIANO</v>
      </c>
      <c r="R4" t="str">
        <f t="shared" si="7"/>
        <v>003 Not a Bass SYNTH BASS</v>
      </c>
      <c r="S4" t="str">
        <f t="shared" si="8"/>
        <v>003 Orbiting PULSATING</v>
      </c>
    </row>
    <row r="5" spans="1:20" x14ac:dyDescent="0.25">
      <c r="A5" t="s">
        <v>5661</v>
      </c>
      <c r="B5" t="s">
        <v>3981</v>
      </c>
      <c r="C5" t="s">
        <v>4109</v>
      </c>
      <c r="D5" t="s">
        <v>4239</v>
      </c>
      <c r="E5" t="s">
        <v>4367</v>
      </c>
      <c r="F5" t="s">
        <v>4505</v>
      </c>
      <c r="G5" t="s">
        <v>4497</v>
      </c>
      <c r="H5" t="s">
        <v>6063</v>
      </c>
      <c r="I5" t="s">
        <v>6191</v>
      </c>
      <c r="K5" t="str">
        <f t="shared" si="9"/>
        <v>004 The VorteX SYNTH FX</v>
      </c>
      <c r="L5" t="str">
        <f t="shared" si="1"/>
        <v>004 Warm Pad Pno AC.PIANO</v>
      </c>
      <c r="M5" t="str">
        <f t="shared" si="2"/>
        <v>004 FS Chunk DIST.GUITAR</v>
      </c>
      <c r="N5" t="str">
        <f t="shared" si="3"/>
        <v>004 Andes Mood FLUTE</v>
      </c>
      <c r="O5" t="str">
        <f t="shared" si="4"/>
        <v>004 R-Trance TECHNO SYNTH</v>
      </c>
      <c r="P5" t="str">
        <f t="shared" si="5"/>
        <v>004 Seq-Pad 1 SOFT PAD</v>
      </c>
      <c r="Q5" t="str">
        <f t="shared" si="6"/>
        <v>004 Mellow Tune AC.PIANO</v>
      </c>
      <c r="R5" t="str">
        <f t="shared" si="7"/>
        <v>004 Nu RnB Saw 1 SYNTH BASS</v>
      </c>
      <c r="S5" t="str">
        <f t="shared" si="8"/>
        <v>004 FX World PULSATING</v>
      </c>
    </row>
    <row r="6" spans="1:20" x14ac:dyDescent="0.25">
      <c r="A6" t="s">
        <v>5662</v>
      </c>
      <c r="B6" t="s">
        <v>3982</v>
      </c>
      <c r="C6" t="s">
        <v>4110</v>
      </c>
      <c r="D6" t="s">
        <v>4240</v>
      </c>
      <c r="E6" t="s">
        <v>5931</v>
      </c>
      <c r="F6" t="s">
        <v>4506</v>
      </c>
      <c r="G6" t="s">
        <v>4498</v>
      </c>
      <c r="H6" t="s">
        <v>6064</v>
      </c>
      <c r="I6" t="s">
        <v>6192</v>
      </c>
      <c r="K6" t="str">
        <f t="shared" si="9"/>
        <v>005 Purple Organ ORGAN</v>
      </c>
      <c r="L6" t="str">
        <f t="shared" si="1"/>
        <v>005 Warm Str Pno AC.PIANO</v>
      </c>
      <c r="M6" t="str">
        <f t="shared" si="2"/>
        <v>005 Trem-o-Vibe DIST.GUITAR</v>
      </c>
      <c r="N6" t="str">
        <f t="shared" si="3"/>
        <v>005 Pan Pipes FLUTE</v>
      </c>
      <c r="O6" t="str">
        <f t="shared" si="4"/>
        <v>005 Alfa Retro TECHNO SYNTH</v>
      </c>
      <c r="P6" t="str">
        <f t="shared" si="5"/>
        <v>005 Digi-Swell BRIGHT PAD</v>
      </c>
      <c r="Q6" t="str">
        <f t="shared" si="6"/>
        <v>005 Back E-Grand EL.PIANO</v>
      </c>
      <c r="R6" t="str">
        <f t="shared" si="7"/>
        <v>005 Nu RnB Saw 2 SYNTH BASS</v>
      </c>
      <c r="S6" t="str">
        <f t="shared" si="8"/>
        <v>005 Mr. Fourier PULSATING</v>
      </c>
    </row>
    <row r="7" spans="1:20" x14ac:dyDescent="0.25">
      <c r="A7" t="s">
        <v>5663</v>
      </c>
      <c r="B7" t="s">
        <v>3983</v>
      </c>
      <c r="C7" t="s">
        <v>4111</v>
      </c>
      <c r="D7" t="s">
        <v>4241</v>
      </c>
      <c r="E7" t="s">
        <v>4369</v>
      </c>
      <c r="F7" t="s">
        <v>4507</v>
      </c>
      <c r="G7" t="s">
        <v>5936</v>
      </c>
      <c r="H7" t="s">
        <v>6065</v>
      </c>
      <c r="I7" t="s">
        <v>6193</v>
      </c>
      <c r="K7" t="str">
        <f t="shared" si="9"/>
        <v>006 X Brs Sect 1 AC.BRASS</v>
      </c>
      <c r="L7" t="str">
        <f t="shared" si="1"/>
        <v>006 BealeSt Walk AC.PIANO</v>
      </c>
      <c r="M7" t="str">
        <f t="shared" si="2"/>
        <v>006 Nice Dist Gt DIST.GUITAR</v>
      </c>
      <c r="N7" t="str">
        <f t="shared" si="3"/>
        <v>006 Solo Tp AC.BRASS</v>
      </c>
      <c r="O7" t="str">
        <f t="shared" si="4"/>
        <v>006 Nu Hoover TECHNO SYNTH</v>
      </c>
      <c r="P7" t="str">
        <f t="shared" si="5"/>
        <v>006 Stringship BRIGHT PAD</v>
      </c>
      <c r="Q7" t="str">
        <f t="shared" si="6"/>
        <v>006 EP mkI EL.PIANO</v>
      </c>
      <c r="R7" t="str">
        <f t="shared" si="7"/>
        <v>006 Buzzy Bs SYNTH BASS</v>
      </c>
      <c r="S7" t="str">
        <f t="shared" si="8"/>
        <v>006 Nu Trance X PULSATING</v>
      </c>
    </row>
    <row r="8" spans="1:20" x14ac:dyDescent="0.25">
      <c r="A8" t="s">
        <v>5664</v>
      </c>
      <c r="B8" t="s">
        <v>3984</v>
      </c>
      <c r="C8" t="s">
        <v>4112</v>
      </c>
      <c r="D8" t="s">
        <v>4242</v>
      </c>
      <c r="E8" t="s">
        <v>4370</v>
      </c>
      <c r="F8" t="s">
        <v>4508</v>
      </c>
      <c r="G8" t="s">
        <v>5937</v>
      </c>
      <c r="H8" t="s">
        <v>6066</v>
      </c>
      <c r="I8" t="s">
        <v>6194</v>
      </c>
      <c r="K8" t="str">
        <f t="shared" si="9"/>
        <v>007 FlamencoGt X AC.GUITAR</v>
      </c>
      <c r="L8" t="str">
        <f t="shared" si="1"/>
        <v>007 Rapsody AC.PIANO</v>
      </c>
      <c r="M8" t="str">
        <f t="shared" si="2"/>
        <v>007 LP Dist DIST.GUITAR</v>
      </c>
      <c r="N8" t="str">
        <f t="shared" si="3"/>
        <v>007 Horn Chops AC.BRASS</v>
      </c>
      <c r="O8" t="str">
        <f t="shared" si="4"/>
        <v>007 Hoovercraft TECHNO SYNTH</v>
      </c>
      <c r="P8" t="str">
        <f t="shared" si="5"/>
        <v>007 SaturnHolida BRIGHT PAD</v>
      </c>
      <c r="Q8" t="str">
        <f t="shared" si="6"/>
        <v>007 Stage EP EL.PIANO</v>
      </c>
      <c r="R8" t="str">
        <f t="shared" si="7"/>
        <v>007 SBF Saw Bs SYNTH BASS</v>
      </c>
      <c r="S8" t="str">
        <f t="shared" si="8"/>
        <v>007 eXisDance PULSATING</v>
      </c>
    </row>
    <row r="9" spans="1:20" x14ac:dyDescent="0.25">
      <c r="A9" t="s">
        <v>5665</v>
      </c>
      <c r="B9" t="s">
        <v>3985</v>
      </c>
      <c r="C9" t="s">
        <v>5926</v>
      </c>
      <c r="D9" t="s">
        <v>4243</v>
      </c>
      <c r="E9" t="s">
        <v>4371</v>
      </c>
      <c r="F9" t="s">
        <v>4509</v>
      </c>
      <c r="G9" t="s">
        <v>5938</v>
      </c>
      <c r="H9" t="s">
        <v>6067</v>
      </c>
      <c r="I9" t="s">
        <v>6195</v>
      </c>
      <c r="K9" t="str">
        <f t="shared" si="9"/>
        <v>008 * EuroPhrSeq BEAT&amp;GROOVE</v>
      </c>
      <c r="L9" t="str">
        <f t="shared" si="1"/>
        <v>008 JD-800 Piano AC.PIANO</v>
      </c>
      <c r="M9" t="str">
        <f t="shared" si="2"/>
        <v>008 Hurting Gtr DIST.GUITAR</v>
      </c>
      <c r="N9" t="str">
        <f t="shared" si="3"/>
        <v>008 Flugel Horn AC.BRASS</v>
      </c>
      <c r="O9" t="str">
        <f t="shared" si="4"/>
        <v>008 Braatz... TECHNO SYNTH</v>
      </c>
      <c r="P9" t="str">
        <f t="shared" si="5"/>
        <v>008 India Garden BRIGHT PAD</v>
      </c>
      <c r="Q9" t="str">
        <f t="shared" si="6"/>
        <v>008 MKS20EnsemEP EL.PIANO</v>
      </c>
      <c r="R9" t="str">
        <f t="shared" si="7"/>
        <v>008 Party Bass SYNTH BASS</v>
      </c>
      <c r="S9" t="str">
        <f t="shared" si="8"/>
        <v>008 Are U ready? PULSATING</v>
      </c>
    </row>
    <row r="10" spans="1:20" x14ac:dyDescent="0.25">
      <c r="A10" t="s">
        <v>5666</v>
      </c>
      <c r="B10" t="s">
        <v>3986</v>
      </c>
      <c r="C10" t="s">
        <v>4114</v>
      </c>
      <c r="D10" t="s">
        <v>4244</v>
      </c>
      <c r="E10" t="s">
        <v>4372</v>
      </c>
      <c r="F10" t="s">
        <v>4510</v>
      </c>
      <c r="G10" t="s">
        <v>5939</v>
      </c>
      <c r="H10" t="s">
        <v>6068</v>
      </c>
      <c r="I10" t="s">
        <v>6196</v>
      </c>
      <c r="K10" t="str">
        <f t="shared" si="9"/>
        <v>009 SquareSphere PULSATING</v>
      </c>
      <c r="L10" t="str">
        <f t="shared" si="1"/>
        <v>009 SA Dance Pno AC.PIANO</v>
      </c>
      <c r="M10" t="str">
        <f t="shared" si="2"/>
        <v>009 Searing COSM DIST.GUITAR</v>
      </c>
      <c r="N10" t="str">
        <f t="shared" si="3"/>
        <v>009 Spit Flugel AC.BRASS</v>
      </c>
      <c r="O10" t="str">
        <f t="shared" si="4"/>
        <v>009 AllinOneRiff TECHNO SYNTH</v>
      </c>
      <c r="P10" t="str">
        <f t="shared" si="5"/>
        <v>009 OB Rezo Pad BRIGHT PAD</v>
      </c>
      <c r="Q10" t="str">
        <f t="shared" si="6"/>
        <v>009 UltimatGrand AC.PIANO</v>
      </c>
      <c r="R10" t="str">
        <f t="shared" si="7"/>
        <v>009 Tornrubber SYNTH BASS</v>
      </c>
      <c r="S10" t="str">
        <f t="shared" si="8"/>
        <v>009 Minty Fresh PULSATING</v>
      </c>
    </row>
    <row r="11" spans="1:20" x14ac:dyDescent="0.25">
      <c r="A11" t="s">
        <v>5667</v>
      </c>
      <c r="B11" t="s">
        <v>3987</v>
      </c>
      <c r="C11" t="s">
        <v>4115</v>
      </c>
      <c r="D11" t="s">
        <v>4245</v>
      </c>
      <c r="E11" t="s">
        <v>4373</v>
      </c>
      <c r="F11" t="s">
        <v>4511</v>
      </c>
      <c r="G11" t="s">
        <v>5940</v>
      </c>
      <c r="H11" t="s">
        <v>6069</v>
      </c>
      <c r="I11" t="s">
        <v>6197</v>
      </c>
      <c r="K11" t="str">
        <f t="shared" si="9"/>
        <v>010 HimalayaThaw BELL</v>
      </c>
      <c r="L11" t="str">
        <f t="shared" si="1"/>
        <v>010 FS E-Grand AC.PIANO</v>
      </c>
      <c r="M11" t="str">
        <f t="shared" si="2"/>
        <v>010 FS Loud Gtr DIST.GUITAR</v>
      </c>
      <c r="N11" t="str">
        <f t="shared" si="3"/>
        <v>010 Mute Tp /Mod AC.BRASS</v>
      </c>
      <c r="O11" t="str">
        <f t="shared" si="4"/>
        <v>010 YZ Again TECHNO SYNTH</v>
      </c>
      <c r="P11" t="str">
        <f t="shared" si="5"/>
        <v>010 Sonic Surfer BRIGHT PAD</v>
      </c>
      <c r="Q11" t="str">
        <f t="shared" si="6"/>
        <v>010 X Pure Grand AC.PIANO</v>
      </c>
      <c r="R11" t="str">
        <f t="shared" si="7"/>
        <v>010 Drop Bass SYNTH BASS</v>
      </c>
      <c r="S11" t="str">
        <f t="shared" si="8"/>
        <v>010 Spectrums PULSATING</v>
      </c>
    </row>
    <row r="12" spans="1:20" x14ac:dyDescent="0.25">
      <c r="A12" t="s">
        <v>5668</v>
      </c>
      <c r="B12" t="s">
        <v>3988</v>
      </c>
      <c r="C12" t="s">
        <v>4116</v>
      </c>
      <c r="D12" t="s">
        <v>4246</v>
      </c>
      <c r="E12" t="s">
        <v>4374</v>
      </c>
      <c r="F12" t="s">
        <v>5934</v>
      </c>
      <c r="G12" t="s">
        <v>5941</v>
      </c>
      <c r="H12" t="s">
        <v>6070</v>
      </c>
      <c r="I12" t="s">
        <v>6198</v>
      </c>
      <c r="K12" t="str">
        <f t="shared" si="9"/>
        <v>011 Nu RnB Bass SYNTH BASS</v>
      </c>
      <c r="L12" t="str">
        <f t="shared" si="1"/>
        <v>011 FS Blend Pno AC.PIANO</v>
      </c>
      <c r="M12" t="str">
        <f t="shared" si="2"/>
        <v>011 FS Plugged!! DIST.GUITAR</v>
      </c>
      <c r="N12" t="str">
        <f t="shared" si="3"/>
        <v>011 Harmon Mute AC.BRASS</v>
      </c>
      <c r="O12" t="str">
        <f t="shared" si="4"/>
        <v>011 Flazzy Lead TECHNO SYNTH</v>
      </c>
      <c r="P12" t="str">
        <f t="shared" si="5"/>
        <v>011 2 Point 2 BRIGHT PAD</v>
      </c>
      <c r="Q12" t="str">
        <f t="shared" si="6"/>
        <v>011 Studio Grand AC.PIANO</v>
      </c>
      <c r="R12" t="str">
        <f t="shared" si="7"/>
        <v>011 Filament SYNTH BASS</v>
      </c>
      <c r="S12" t="str">
        <f t="shared" si="8"/>
        <v>011 Shape of X PULSATING</v>
      </c>
    </row>
    <row r="13" spans="1:20" x14ac:dyDescent="0.25">
      <c r="A13" t="s">
        <v>5669</v>
      </c>
      <c r="B13" t="s">
        <v>3989</v>
      </c>
      <c r="C13" t="s">
        <v>4117</v>
      </c>
      <c r="D13" t="s">
        <v>4247</v>
      </c>
      <c r="E13" t="s">
        <v>4375</v>
      </c>
      <c r="F13" t="s">
        <v>4513</v>
      </c>
      <c r="G13" t="s">
        <v>5942</v>
      </c>
      <c r="H13" t="s">
        <v>6071</v>
      </c>
      <c r="I13" t="s">
        <v>6199</v>
      </c>
      <c r="K13" t="str">
        <f t="shared" si="9"/>
        <v>012 Killerbeez TECHNO SYNTH</v>
      </c>
      <c r="L13" t="str">
        <f t="shared" si="1"/>
        <v>012 LA Piano AC.PIANO</v>
      </c>
      <c r="M13" t="str">
        <f t="shared" si="2"/>
        <v>012 Punker 1 DIST.GUITAR</v>
      </c>
      <c r="N13" t="str">
        <f t="shared" si="3"/>
        <v>012 Soft Tb AC.BRASS</v>
      </c>
      <c r="O13" t="str">
        <f t="shared" si="4"/>
        <v>012 Coffee Bee TECHNO SYNTH</v>
      </c>
      <c r="P13" t="str">
        <f t="shared" si="5"/>
        <v>012 2.2 Pad BRIGHT PAD</v>
      </c>
      <c r="Q13" t="str">
        <f t="shared" si="6"/>
        <v>012 88ConcertPno AC.PIANO</v>
      </c>
      <c r="R13" t="str">
        <f t="shared" si="7"/>
        <v>012 Dust Bass SYNTH BASS</v>
      </c>
      <c r="S13" t="str">
        <f t="shared" si="8"/>
        <v>012 Auto 5thSaws PULSATING</v>
      </c>
    </row>
    <row r="14" spans="1:20" x14ac:dyDescent="0.25">
      <c r="A14" t="s">
        <v>5670</v>
      </c>
      <c r="B14" t="s">
        <v>5914</v>
      </c>
      <c r="C14" t="s">
        <v>4118</v>
      </c>
      <c r="D14" t="s">
        <v>4248</v>
      </c>
      <c r="E14" t="s">
        <v>4376</v>
      </c>
      <c r="F14" t="s">
        <v>4514</v>
      </c>
      <c r="G14" t="s">
        <v>5943</v>
      </c>
      <c r="H14" t="s">
        <v>6072</v>
      </c>
      <c r="I14" t="s">
        <v>6200</v>
      </c>
      <c r="K14" t="str">
        <f t="shared" si="9"/>
        <v>013 Angel Pipes OTHER SYNTH</v>
      </c>
      <c r="L14" t="str">
        <f t="shared" si="1"/>
        <v>013 FS 70´EP EL.PIANO</v>
      </c>
      <c r="M14" t="str">
        <f t="shared" si="2"/>
        <v>013 FS PowerChd DIST.GUITAR</v>
      </c>
      <c r="N14" t="str">
        <f t="shared" si="3"/>
        <v>013 Solo Tb AC.BRASS</v>
      </c>
      <c r="O14" t="str">
        <f t="shared" si="4"/>
        <v>013 Sweet House TECHNO SYNTH</v>
      </c>
      <c r="P14" t="str">
        <f t="shared" si="5"/>
        <v>013 New Year Day BRIGHT PAD</v>
      </c>
      <c r="Q14" t="str">
        <f t="shared" si="6"/>
        <v>013 DryStudio88 AC.PIANO</v>
      </c>
      <c r="R14" t="str">
        <f t="shared" si="7"/>
        <v>013 Mr. Nasty SYNTH BASS</v>
      </c>
      <c r="S14" t="str">
        <f t="shared" si="8"/>
        <v>013 Strobot PULSATING</v>
      </c>
    </row>
    <row r="15" spans="1:20" x14ac:dyDescent="0.25">
      <c r="A15" t="s">
        <v>5671</v>
      </c>
      <c r="B15" t="s">
        <v>5915</v>
      </c>
      <c r="C15" t="s">
        <v>4119</v>
      </c>
      <c r="D15" t="s">
        <v>4249</v>
      </c>
      <c r="E15" t="s">
        <v>4377</v>
      </c>
      <c r="F15" t="s">
        <v>4515</v>
      </c>
      <c r="G15" t="s">
        <v>5944</v>
      </c>
      <c r="H15" t="s">
        <v>6073</v>
      </c>
      <c r="I15" t="s">
        <v>6201</v>
      </c>
      <c r="K15" t="str">
        <f t="shared" si="9"/>
        <v>014 GTR Heroes DIST.GUITAR</v>
      </c>
      <c r="L15" t="str">
        <f t="shared" si="1"/>
        <v>014 StageEP Trem EL.PIANO</v>
      </c>
      <c r="M15" t="str">
        <f t="shared" si="2"/>
        <v>014 Punker 2 DIST.GUITAR</v>
      </c>
      <c r="N15" t="str">
        <f t="shared" si="3"/>
        <v>014 Solo Bone AC.BRASS</v>
      </c>
      <c r="O15" t="str">
        <f t="shared" si="4"/>
        <v>014 Alien Bubble TECHNO SYNTH</v>
      </c>
      <c r="P15" t="str">
        <f t="shared" si="5"/>
        <v>014 Mod Dare BRIGHT PAD</v>
      </c>
      <c r="Q15" t="str">
        <f t="shared" si="6"/>
        <v>014 First Choice AC.PIANO</v>
      </c>
      <c r="R15" t="str">
        <f t="shared" si="7"/>
        <v>014 Bass Drive SYNTH BASS</v>
      </c>
      <c r="S15" t="str">
        <f t="shared" si="8"/>
        <v>014 Dreamswirl PULSATING</v>
      </c>
    </row>
    <row r="16" spans="1:20" x14ac:dyDescent="0.25">
      <c r="A16" t="s">
        <v>5672</v>
      </c>
      <c r="B16" t="s">
        <v>3992</v>
      </c>
      <c r="C16" t="s">
        <v>4120</v>
      </c>
      <c r="D16" t="s">
        <v>4250</v>
      </c>
      <c r="E16" t="s">
        <v>4378</v>
      </c>
      <c r="F16" t="s">
        <v>4516</v>
      </c>
      <c r="G16" t="s">
        <v>5945</v>
      </c>
      <c r="H16" t="s">
        <v>6074</v>
      </c>
      <c r="I16" t="s">
        <v>6202</v>
      </c>
      <c r="K16" t="str">
        <f t="shared" si="9"/>
        <v>015 Symphonika ORCHESTRA</v>
      </c>
      <c r="L16" t="str">
        <f t="shared" si="1"/>
        <v>015 Back2the60s EL.PIANO</v>
      </c>
      <c r="M16" t="str">
        <f t="shared" si="2"/>
        <v>015 Ulti Ac Bass BASS</v>
      </c>
      <c r="N16" t="str">
        <f t="shared" si="3"/>
        <v>015 Grande Tuba AC.BRASS</v>
      </c>
      <c r="O16" t="str">
        <f t="shared" si="4"/>
        <v>015 LowFreqHit TECHNO SYNTH</v>
      </c>
      <c r="P16" t="str">
        <f t="shared" si="5"/>
        <v>015 Neuro-Drone BRIGHT PAD</v>
      </c>
      <c r="Q16" t="str">
        <f t="shared" si="6"/>
        <v>015 Rokkin’ pF AC.PIANO</v>
      </c>
      <c r="R16" t="str">
        <f t="shared" si="7"/>
        <v>015 Underneath SYNTH BASS</v>
      </c>
      <c r="S16" t="str">
        <f t="shared" si="8"/>
        <v>015 Galaxadin PULSATING</v>
      </c>
    </row>
    <row r="17" spans="1:19" x14ac:dyDescent="0.25">
      <c r="A17" t="s">
        <v>5673</v>
      </c>
      <c r="B17" t="s">
        <v>5916</v>
      </c>
      <c r="C17" t="s">
        <v>4121</v>
      </c>
      <c r="D17" t="s">
        <v>4251</v>
      </c>
      <c r="E17" t="s">
        <v>5932</v>
      </c>
      <c r="F17" t="s">
        <v>4517</v>
      </c>
      <c r="G17" t="s">
        <v>5946</v>
      </c>
      <c r="H17" t="s">
        <v>6075</v>
      </c>
      <c r="I17" t="s">
        <v>6203</v>
      </c>
      <c r="K17" t="str">
        <f t="shared" si="9"/>
        <v>016 Cut Thru Wah EL.GUITAR</v>
      </c>
      <c r="L17" t="str">
        <f t="shared" si="1"/>
        <v>016 Tine EP EL.PIANO</v>
      </c>
      <c r="M17" t="str">
        <f t="shared" si="2"/>
        <v>016 Downright Bs BASS</v>
      </c>
      <c r="N17" t="str">
        <f t="shared" si="3"/>
        <v>016 FS Tuba AC.BRASS</v>
      </c>
      <c r="O17" t="str">
        <f t="shared" si="4"/>
        <v>016 Loonacy TECHNO SYNTH</v>
      </c>
      <c r="P17" t="str">
        <f t="shared" si="5"/>
        <v>016 In The Pass BRIGHT PAD</v>
      </c>
      <c r="Q17" t="str">
        <f t="shared" si="6"/>
        <v>016 Dark Grand AC.PIANO</v>
      </c>
      <c r="R17" t="str">
        <f t="shared" si="7"/>
        <v>016 Dirt &amp; Grime SYNTH BASS</v>
      </c>
      <c r="S17" t="str">
        <f t="shared" si="8"/>
        <v>016 Welcome2X PULSATING</v>
      </c>
    </row>
    <row r="18" spans="1:19" x14ac:dyDescent="0.25">
      <c r="A18" t="s">
        <v>5674</v>
      </c>
      <c r="B18" t="s">
        <v>5917</v>
      </c>
      <c r="C18" t="s">
        <v>4122</v>
      </c>
      <c r="D18" t="s">
        <v>4252</v>
      </c>
      <c r="E18" t="s">
        <v>4380</v>
      </c>
      <c r="F18" t="s">
        <v>4518</v>
      </c>
      <c r="G18" t="s">
        <v>5947</v>
      </c>
      <c r="H18" t="s">
        <v>6076</v>
      </c>
      <c r="I18" t="s">
        <v>6204</v>
      </c>
      <c r="K18" t="str">
        <f t="shared" si="9"/>
        <v>017 Mr. Nasty SYNTH BASS</v>
      </c>
      <c r="L18" t="str">
        <f t="shared" si="1"/>
        <v>017 LEO EP EL.PIANO</v>
      </c>
      <c r="M18" t="str">
        <f t="shared" si="2"/>
        <v>017 Ultimo Bass BASS</v>
      </c>
      <c r="N18" t="str">
        <f t="shared" si="3"/>
        <v>017 StackTp Sect AC.BRASS</v>
      </c>
      <c r="O18" t="str">
        <f t="shared" si="4"/>
        <v>017 Periscope TECHNO SYNTH</v>
      </c>
      <c r="P18" t="str">
        <f t="shared" si="5"/>
        <v>017 Polar Night BRIGHT PAD</v>
      </c>
      <c r="Q18" t="str">
        <f t="shared" si="6"/>
        <v>017 Piano Oz AC.PIANO</v>
      </c>
      <c r="R18" t="str">
        <f t="shared" si="7"/>
        <v>017 Down &amp; Dirty SYNTH BASS</v>
      </c>
      <c r="S18" t="str">
        <f t="shared" si="8"/>
        <v>017 Space &amp; Time PULSATING</v>
      </c>
    </row>
    <row r="19" spans="1:19" x14ac:dyDescent="0.25">
      <c r="A19" t="s">
        <v>5675</v>
      </c>
      <c r="B19" t="s">
        <v>3995</v>
      </c>
      <c r="C19" t="s">
        <v>4123</v>
      </c>
      <c r="D19" t="s">
        <v>4253</v>
      </c>
      <c r="E19" t="s">
        <v>4381</v>
      </c>
      <c r="F19" t="s">
        <v>4519</v>
      </c>
      <c r="G19" t="s">
        <v>5948</v>
      </c>
      <c r="H19" t="s">
        <v>6077</v>
      </c>
      <c r="I19" t="s">
        <v>6205</v>
      </c>
      <c r="K19" t="str">
        <f t="shared" si="9"/>
        <v>018 ParisRomance ACCORDION</v>
      </c>
      <c r="L19" t="str">
        <f t="shared" si="1"/>
        <v>018 LonesomeRoad EL.PIANO</v>
      </c>
      <c r="M19" t="str">
        <f t="shared" si="2"/>
        <v>018 Roomy Bass BASS</v>
      </c>
      <c r="N19" t="str">
        <f t="shared" si="3"/>
        <v>018 Tb Section AC.BRASS</v>
      </c>
      <c r="O19" t="str">
        <f t="shared" si="4"/>
        <v>018 Electrostars TECHNO SYNTH</v>
      </c>
      <c r="P19" t="str">
        <f t="shared" si="5"/>
        <v>018 Electric Pad BRIGHT PAD</v>
      </c>
      <c r="Q19" t="str">
        <f t="shared" si="6"/>
        <v>018 Grand Hall AC.PIANO</v>
      </c>
      <c r="R19" t="str">
        <f t="shared" si="7"/>
        <v>018 SubOscar SYNTH BASS</v>
      </c>
      <c r="S19" t="str">
        <f t="shared" si="8"/>
        <v>018 Cross Talk PULSATING</v>
      </c>
    </row>
    <row r="20" spans="1:19" x14ac:dyDescent="0.25">
      <c r="A20" t="s">
        <v>5676</v>
      </c>
      <c r="B20" t="s">
        <v>5918</v>
      </c>
      <c r="C20" t="s">
        <v>5927</v>
      </c>
      <c r="D20" t="s">
        <v>4254</v>
      </c>
      <c r="E20" t="s">
        <v>4382</v>
      </c>
      <c r="F20" t="s">
        <v>4520</v>
      </c>
      <c r="G20" t="s">
        <v>5949</v>
      </c>
      <c r="H20" t="s">
        <v>6078</v>
      </c>
      <c r="I20" t="s">
        <v>6206</v>
      </c>
      <c r="K20" t="str">
        <f t="shared" si="9"/>
        <v>019 Spr SideBand BRIGHT PAD</v>
      </c>
      <c r="L20" t="str">
        <f t="shared" si="1"/>
        <v>019 Age’n’Tines EL.PIANO</v>
      </c>
      <c r="M20" t="str">
        <f t="shared" si="2"/>
        <v>019 Comp’d JBass BASS</v>
      </c>
      <c r="N20" t="str">
        <f t="shared" si="3"/>
        <v>019 TpTb Sect. AC.BRASS</v>
      </c>
      <c r="O20" t="str">
        <f t="shared" si="4"/>
        <v>019 Going Mad! TECHNO SYNTH</v>
      </c>
      <c r="P20" t="str">
        <f t="shared" si="5"/>
        <v>019 MistOver5ths BRIGHT PAD</v>
      </c>
      <c r="Q20" t="str">
        <f t="shared" si="6"/>
        <v>019 X Piano +Str AC.PIANO</v>
      </c>
      <c r="R20" t="str">
        <f t="shared" si="7"/>
        <v>019 Full Strings STRINGS</v>
      </c>
      <c r="S20" t="str">
        <f t="shared" si="8"/>
        <v>019 Lava Flows PULSATING</v>
      </c>
    </row>
    <row r="21" spans="1:19" x14ac:dyDescent="0.25">
      <c r="A21" t="s">
        <v>5677</v>
      </c>
      <c r="B21" t="s">
        <v>3997</v>
      </c>
      <c r="C21" t="s">
        <v>4125</v>
      </c>
      <c r="D21" t="s">
        <v>4255</v>
      </c>
      <c r="E21" t="s">
        <v>4383</v>
      </c>
      <c r="F21" t="s">
        <v>4521</v>
      </c>
      <c r="G21" t="s">
        <v>5950</v>
      </c>
      <c r="H21" t="s">
        <v>6079</v>
      </c>
      <c r="I21" t="s">
        <v>6207</v>
      </c>
      <c r="K21" t="str">
        <f t="shared" si="9"/>
        <v>020 Tre EP EL.PIANO</v>
      </c>
      <c r="L21" t="str">
        <f t="shared" si="1"/>
        <v>020 Brill TremEP EL.PIANO</v>
      </c>
      <c r="M21" t="str">
        <f t="shared" si="2"/>
        <v>020 FingerMaster BASS</v>
      </c>
      <c r="N21" t="str">
        <f t="shared" si="3"/>
        <v>020 FS Brass AC.BRASS</v>
      </c>
      <c r="O21" t="str">
        <f t="shared" si="4"/>
        <v>020 LoFiSequence TECHNO SYNTH</v>
      </c>
      <c r="P21" t="str">
        <f t="shared" si="5"/>
        <v>020 Voyager BRIGHT PAD</v>
      </c>
      <c r="Q21" t="str">
        <f t="shared" si="6"/>
        <v>020 Arie Piano AC.PIANO</v>
      </c>
      <c r="R21" t="str">
        <f t="shared" si="7"/>
        <v>020 X StrSection STRINGS</v>
      </c>
      <c r="S21" t="str">
        <f t="shared" si="8"/>
        <v>020 Steppin Faze PULSATING</v>
      </c>
    </row>
    <row r="22" spans="1:19" x14ac:dyDescent="0.25">
      <c r="A22" t="s">
        <v>5678</v>
      </c>
      <c r="B22" t="s">
        <v>5919</v>
      </c>
      <c r="C22" t="s">
        <v>4126</v>
      </c>
      <c r="D22" t="s">
        <v>4256</v>
      </c>
      <c r="E22" t="s">
        <v>4384</v>
      </c>
      <c r="F22" t="s">
        <v>4522</v>
      </c>
      <c r="G22" t="s">
        <v>5951</v>
      </c>
      <c r="H22" t="s">
        <v>6080</v>
      </c>
      <c r="I22" t="s">
        <v>6208</v>
      </c>
      <c r="K22" t="str">
        <f t="shared" si="9"/>
        <v>021 Epic Lead HARD LEAD</v>
      </c>
      <c r="L22" t="str">
        <f t="shared" si="1"/>
        <v>021 Crystal EP EL.PIANO</v>
      </c>
      <c r="M22" t="str">
        <f t="shared" si="2"/>
        <v>021 CompressBass BASS</v>
      </c>
      <c r="N22" t="str">
        <f t="shared" si="3"/>
        <v>021 DynamicBrass AC.BRASS</v>
      </c>
      <c r="O22" t="str">
        <f t="shared" si="4"/>
        <v>021 DreamInColor TECHNO SYNTH</v>
      </c>
      <c r="P22" t="str">
        <f t="shared" si="5"/>
        <v>021 Cosmic Rays BRIGHT PAD</v>
      </c>
      <c r="Q22" t="str">
        <f t="shared" si="6"/>
        <v>021 Cicada Piano AC.PIANO</v>
      </c>
      <c r="R22" t="str">
        <f t="shared" si="7"/>
        <v>021 Oct Strings STRINGS</v>
      </c>
      <c r="S22" t="str">
        <f t="shared" si="8"/>
        <v>021 Reanimation PULSATING</v>
      </c>
    </row>
    <row r="23" spans="1:19" x14ac:dyDescent="0.25">
      <c r="A23" t="s">
        <v>5679</v>
      </c>
      <c r="B23" t="s">
        <v>3999</v>
      </c>
      <c r="C23" t="s">
        <v>4127</v>
      </c>
      <c r="D23" t="s">
        <v>4257</v>
      </c>
      <c r="E23" t="s">
        <v>4385</v>
      </c>
      <c r="F23" t="s">
        <v>4523</v>
      </c>
      <c r="G23" t="s">
        <v>5952</v>
      </c>
      <c r="H23" t="s">
        <v>6081</v>
      </c>
      <c r="I23" t="s">
        <v>6209</v>
      </c>
      <c r="K23" t="str">
        <f t="shared" si="9"/>
        <v>022 Motion Pad SOFT PAD</v>
      </c>
      <c r="L23" t="str">
        <f t="shared" si="1"/>
        <v>022 Celestial EP EL.PIANO</v>
      </c>
      <c r="M23" t="str">
        <f t="shared" si="2"/>
        <v>022 All Round Bs BASS</v>
      </c>
      <c r="N23" t="str">
        <f t="shared" si="3"/>
        <v>022 Tpts &amp; Tmbs AC.BRASS</v>
      </c>
      <c r="O23" t="str">
        <f t="shared" si="4"/>
        <v>022 MelodicDrums TECHNO SYNTH</v>
      </c>
      <c r="P23" t="str">
        <f t="shared" si="5"/>
        <v>022 Gritty Pad BRIGHT PAD</v>
      </c>
      <c r="Q23" t="str">
        <f t="shared" si="6"/>
        <v>022 Clare Voyent AC.PIANO</v>
      </c>
      <c r="R23" t="str">
        <f t="shared" si="7"/>
        <v>022 Sahara Str STRINGS</v>
      </c>
      <c r="S23" t="str">
        <f t="shared" si="8"/>
        <v>022 VoX Chopper PULSATING</v>
      </c>
    </row>
    <row r="24" spans="1:19" x14ac:dyDescent="0.25">
      <c r="A24" t="s">
        <v>5680</v>
      </c>
      <c r="B24" t="s">
        <v>4000</v>
      </c>
      <c r="C24" t="s">
        <v>4128</v>
      </c>
      <c r="D24" t="s">
        <v>4258</v>
      </c>
      <c r="E24" t="s">
        <v>4386</v>
      </c>
      <c r="F24" t="s">
        <v>4524</v>
      </c>
      <c r="G24" t="s">
        <v>5953</v>
      </c>
      <c r="H24" t="s">
        <v>6082</v>
      </c>
      <c r="I24" t="s">
        <v>6210</v>
      </c>
      <c r="K24" t="str">
        <f t="shared" si="9"/>
        <v>023 VKHold4Speed ORGAN</v>
      </c>
      <c r="L24" t="str">
        <f t="shared" si="1"/>
        <v>023 Spirit Tines EL.PIANO</v>
      </c>
      <c r="M24" t="str">
        <f t="shared" si="2"/>
        <v>023 R&amp;B Bs/Slide BASS</v>
      </c>
      <c r="N24" t="str">
        <f t="shared" si="3"/>
        <v>023 Brass &amp; Sax AC.BRASS</v>
      </c>
      <c r="O24" t="str">
        <f t="shared" si="4"/>
        <v>023 Techno Snips TECHNO SYNTH</v>
      </c>
      <c r="P24" t="str">
        <f t="shared" si="5"/>
        <v>023 Distant Sun BRIGHT PAD</v>
      </c>
      <c r="Q24" t="str">
        <f t="shared" si="6"/>
        <v>023 X Piano +Pad AC.PIANO</v>
      </c>
      <c r="R24" t="str">
        <f t="shared" si="7"/>
        <v>023 Random Mood STRINGS</v>
      </c>
      <c r="S24" t="str">
        <f t="shared" si="8"/>
        <v>023 SquareSphere PULSATING</v>
      </c>
    </row>
    <row r="25" spans="1:19" x14ac:dyDescent="0.25">
      <c r="A25" t="s">
        <v>5681</v>
      </c>
      <c r="B25" t="s">
        <v>4001</v>
      </c>
      <c r="C25" t="s">
        <v>4129</v>
      </c>
      <c r="D25" t="s">
        <v>4259</v>
      </c>
      <c r="E25" t="s">
        <v>4387</v>
      </c>
      <c r="F25" t="s">
        <v>4525</v>
      </c>
      <c r="G25" t="s">
        <v>5954</v>
      </c>
      <c r="H25" t="s">
        <v>6083</v>
      </c>
      <c r="I25" t="s">
        <v>6211</v>
      </c>
      <c r="K25" t="str">
        <f t="shared" si="9"/>
        <v>024 Double Track EL.GUITAR</v>
      </c>
      <c r="L25" t="str">
        <f t="shared" si="1"/>
        <v>024 Psycho EP EL.PIANO</v>
      </c>
      <c r="M25" t="str">
        <f t="shared" si="2"/>
        <v>024 Thumb Up! BASS</v>
      </c>
      <c r="N25" t="str">
        <f t="shared" si="3"/>
        <v>024 BrassPartOut AC.BRASS</v>
      </c>
      <c r="O25" t="str">
        <f t="shared" si="4"/>
        <v>024 TB Wah TECHNO SYNTH</v>
      </c>
      <c r="P25" t="str">
        <f t="shared" si="5"/>
        <v>024 Filmscape BRIGHT PAD</v>
      </c>
      <c r="Q25" t="str">
        <f t="shared" si="6"/>
        <v>024 X Piano +Vox AC.PIANO</v>
      </c>
      <c r="R25" t="str">
        <f t="shared" si="7"/>
        <v>024 X Hall Str STRINGS</v>
      </c>
      <c r="S25" t="str">
        <f t="shared" si="8"/>
        <v>024 Auto Sync PULSATING</v>
      </c>
    </row>
    <row r="26" spans="1:19" x14ac:dyDescent="0.25">
      <c r="A26" t="s">
        <v>5682</v>
      </c>
      <c r="B26" t="s">
        <v>4002</v>
      </c>
      <c r="C26" t="s">
        <v>4130</v>
      </c>
      <c r="D26" t="s">
        <v>4260</v>
      </c>
      <c r="E26" t="s">
        <v>4388</v>
      </c>
      <c r="F26" t="s">
        <v>4526</v>
      </c>
      <c r="G26" t="s">
        <v>5955</v>
      </c>
      <c r="H26" t="s">
        <v>6084</v>
      </c>
      <c r="I26" t="s">
        <v>6212</v>
      </c>
      <c r="K26" t="str">
        <f t="shared" si="9"/>
        <v>025 Nylon Gtr VS AC.GUITAR</v>
      </c>
      <c r="L26" t="str">
        <f t="shared" si="1"/>
        <v>025 Mk2 Stg phsr EL.PIANO</v>
      </c>
      <c r="M26" t="str">
        <f t="shared" si="2"/>
        <v>025 Tubby Mute BASS</v>
      </c>
      <c r="N26" t="str">
        <f t="shared" si="3"/>
        <v>025 Simple Tutti AC.BRASS</v>
      </c>
      <c r="O26" t="str">
        <f t="shared" si="4"/>
        <v>025 Waving TB303 TECHNO SYNTH</v>
      </c>
      <c r="P26" t="str">
        <f t="shared" si="5"/>
        <v>025 BillionStars BRIGHT PAD</v>
      </c>
      <c r="Q26" t="str">
        <f t="shared" si="6"/>
        <v>025 FX Piano AC.PIANO</v>
      </c>
      <c r="R26" t="str">
        <f t="shared" si="7"/>
        <v>025 Strings Flow STRINGS</v>
      </c>
      <c r="S26" t="str">
        <f t="shared" si="8"/>
        <v>025 Vocastic PULSATING</v>
      </c>
    </row>
    <row r="27" spans="1:19" x14ac:dyDescent="0.25">
      <c r="A27" t="s">
        <v>5683</v>
      </c>
      <c r="B27" t="s">
        <v>4003</v>
      </c>
      <c r="C27" t="s">
        <v>4131</v>
      </c>
      <c r="D27" t="s">
        <v>4261</v>
      </c>
      <c r="E27" t="s">
        <v>4389</v>
      </c>
      <c r="F27" t="s">
        <v>4527</v>
      </c>
      <c r="G27" t="s">
        <v>5956</v>
      </c>
      <c r="H27" t="s">
        <v>6085</v>
      </c>
      <c r="I27" t="s">
        <v>6213</v>
      </c>
      <c r="K27" t="str">
        <f t="shared" si="9"/>
        <v>026 AirPluck MALLET</v>
      </c>
      <c r="L27" t="str">
        <f t="shared" si="1"/>
        <v>026 SA Stacks EL.PIANO</v>
      </c>
      <c r="M27" t="str">
        <f t="shared" si="2"/>
        <v>026 Chicken Bass BASS</v>
      </c>
      <c r="N27" t="str">
        <f t="shared" si="3"/>
        <v>026 Full sForza AC.BRASS</v>
      </c>
      <c r="O27" t="str">
        <f t="shared" si="4"/>
        <v>026 Digi Seq TECHNO SYNTH</v>
      </c>
      <c r="P27" t="str">
        <f t="shared" si="5"/>
        <v>026 Sand Pad BRIGHT PAD</v>
      </c>
      <c r="Q27" t="str">
        <f t="shared" si="6"/>
        <v>026 AmbientPiano AC.PIANO</v>
      </c>
      <c r="R27" t="str">
        <f t="shared" si="7"/>
        <v>026 Biggie Bows STRINGS</v>
      </c>
      <c r="S27" t="str">
        <f t="shared" si="8"/>
        <v>026 Bending Logo SYNTH FX</v>
      </c>
    </row>
    <row r="28" spans="1:19" x14ac:dyDescent="0.25">
      <c r="A28" t="s">
        <v>5684</v>
      </c>
      <c r="B28" t="s">
        <v>4004</v>
      </c>
      <c r="C28" t="s">
        <v>4132</v>
      </c>
      <c r="D28" t="s">
        <v>4262</v>
      </c>
      <c r="E28" t="s">
        <v>4390</v>
      </c>
      <c r="F28" t="s">
        <v>4528</v>
      </c>
      <c r="G28" t="s">
        <v>5957</v>
      </c>
      <c r="H28" t="s">
        <v>6086</v>
      </c>
      <c r="I28" t="s">
        <v>6214</v>
      </c>
      <c r="K28" t="str">
        <f t="shared" si="9"/>
        <v>027 Nu RnB Saw 1 SYNTH BASS</v>
      </c>
      <c r="L28" t="str">
        <f t="shared" si="1"/>
        <v>027 Backing PhEP EL.PIANO</v>
      </c>
      <c r="M28" t="str">
        <f t="shared" si="2"/>
        <v>027 Snug Bass BASS</v>
      </c>
      <c r="N28" t="str">
        <f t="shared" si="3"/>
        <v>027 F.Horns Sect AC.BRASS</v>
      </c>
      <c r="O28" t="str">
        <f t="shared" si="4"/>
        <v>027 Seq Saw TECHNO SYNTH</v>
      </c>
      <c r="P28" t="str">
        <f t="shared" si="5"/>
        <v>027 Fat Stacks BRIGHT PAD</v>
      </c>
      <c r="Q28" t="str">
        <f t="shared" si="6"/>
        <v>027 Tre EP EL.PIANO</v>
      </c>
      <c r="R28" t="str">
        <f t="shared" si="7"/>
        <v>027 Staccato VS STRINGS</v>
      </c>
      <c r="S28" t="str">
        <f t="shared" si="8"/>
        <v>027 SolarPleXus SYNTH FX</v>
      </c>
    </row>
    <row r="29" spans="1:19" x14ac:dyDescent="0.25">
      <c r="A29" t="s">
        <v>5685</v>
      </c>
      <c r="B29" t="s">
        <v>4005</v>
      </c>
      <c r="C29" t="s">
        <v>4133</v>
      </c>
      <c r="D29" t="s">
        <v>4263</v>
      </c>
      <c r="E29" t="s">
        <v>4391</v>
      </c>
      <c r="F29" t="s">
        <v>4529</v>
      </c>
      <c r="G29" t="s">
        <v>5958</v>
      </c>
      <c r="H29" t="s">
        <v>6087</v>
      </c>
      <c r="I29" t="s">
        <v>6215</v>
      </c>
      <c r="K29" t="str">
        <f t="shared" si="9"/>
        <v>028 X Finger Bs2 BASS</v>
      </c>
      <c r="L29" t="str">
        <f t="shared" si="1"/>
        <v>028 Balladeer EL.PIANO</v>
      </c>
      <c r="M29" t="str">
        <f t="shared" si="2"/>
        <v>028 Return2Base! BASS</v>
      </c>
      <c r="N29" t="str">
        <f t="shared" si="3"/>
        <v>028 Stereo Brass AC.BRASS</v>
      </c>
      <c r="O29" t="str">
        <f t="shared" si="4"/>
        <v>028 Reso Seq Saw TECHNO SYNTH</v>
      </c>
      <c r="P29" t="str">
        <f t="shared" si="5"/>
        <v>028 ReverseSweep BRIGHT PAD</v>
      </c>
      <c r="Q29" t="str">
        <f t="shared" si="6"/>
        <v>028 Stage Phazer EL.PIANO</v>
      </c>
      <c r="R29" t="str">
        <f t="shared" si="7"/>
        <v>028 So Staccato STRINGS</v>
      </c>
      <c r="S29" t="str">
        <f t="shared" si="8"/>
        <v>028 Scare SYNTH FX</v>
      </c>
    </row>
    <row r="30" spans="1:19" x14ac:dyDescent="0.25">
      <c r="A30" t="s">
        <v>5686</v>
      </c>
      <c r="B30" t="s">
        <v>4006</v>
      </c>
      <c r="C30" t="s">
        <v>4134</v>
      </c>
      <c r="D30" t="s">
        <v>4264</v>
      </c>
      <c r="E30" t="s">
        <v>4392</v>
      </c>
      <c r="F30" t="s">
        <v>4530</v>
      </c>
      <c r="G30" t="s">
        <v>5959</v>
      </c>
      <c r="H30" t="s">
        <v>6088</v>
      </c>
      <c r="I30" t="s">
        <v>6216</v>
      </c>
      <c r="K30" t="str">
        <f t="shared" si="9"/>
        <v>029 SolarPleXus SYNTH FX</v>
      </c>
      <c r="L30" t="str">
        <f t="shared" si="1"/>
        <v>029 Remember EL.PIANO</v>
      </c>
      <c r="M30" t="str">
        <f t="shared" si="2"/>
        <v>029 A Big Pick BASS</v>
      </c>
      <c r="N30" t="str">
        <f t="shared" si="3"/>
        <v>029 Brass Fall AC.BRASS</v>
      </c>
      <c r="O30" t="str">
        <f t="shared" si="4"/>
        <v>029 DetuneSeqSaw TECHNO SYNTH</v>
      </c>
      <c r="P30" t="str">
        <f t="shared" si="5"/>
        <v>029 HugeSoundMod BRIGHT PAD</v>
      </c>
      <c r="Q30" t="str">
        <f t="shared" si="6"/>
        <v>029 StageCabinet EL.PIANO</v>
      </c>
      <c r="R30" t="str">
        <f t="shared" si="7"/>
        <v>029 Pizz’Stac VS STRINGS</v>
      </c>
      <c r="S30" t="str">
        <f t="shared" si="8"/>
        <v>029 Chaoism SYNTH FX</v>
      </c>
    </row>
    <row r="31" spans="1:19" x14ac:dyDescent="0.25">
      <c r="A31" t="s">
        <v>5687</v>
      </c>
      <c r="B31" t="s">
        <v>4007</v>
      </c>
      <c r="C31" t="s">
        <v>4135</v>
      </c>
      <c r="D31" t="s">
        <v>4265</v>
      </c>
      <c r="E31" t="s">
        <v>4393</v>
      </c>
      <c r="F31" t="s">
        <v>4531</v>
      </c>
      <c r="G31" t="s">
        <v>5960</v>
      </c>
      <c r="H31" t="s">
        <v>6089</v>
      </c>
      <c r="I31" t="s">
        <v>6217</v>
      </c>
      <c r="K31" t="str">
        <f t="shared" si="9"/>
        <v>030 Arie Piano AC.PIANO</v>
      </c>
      <c r="L31" t="str">
        <f t="shared" si="1"/>
        <v>030 FS Wurly EL.PIANO</v>
      </c>
      <c r="M31" t="str">
        <f t="shared" si="2"/>
        <v>030 Basement BASS</v>
      </c>
      <c r="N31" t="str">
        <f t="shared" si="3"/>
        <v>030 FS Saw Brass SYNTH BRASS</v>
      </c>
      <c r="O31" t="str">
        <f t="shared" si="4"/>
        <v>030 Technotribe TECHNO SYNTH</v>
      </c>
      <c r="P31" t="str">
        <f t="shared" si="5"/>
        <v>030 Metal Swell BRIGHT PAD</v>
      </c>
      <c r="Q31" t="str">
        <f t="shared" si="6"/>
        <v>030 AMP EP EL.PIANO</v>
      </c>
      <c r="R31" t="str">
        <f t="shared" si="7"/>
        <v>030 Mellow Tron STRINGS</v>
      </c>
      <c r="S31" t="str">
        <f t="shared" si="8"/>
        <v>030 Hillside SYNTH FX</v>
      </c>
    </row>
    <row r="32" spans="1:19" x14ac:dyDescent="0.25">
      <c r="A32" t="s">
        <v>5688</v>
      </c>
      <c r="B32" t="s">
        <v>4008</v>
      </c>
      <c r="C32" t="s">
        <v>4136</v>
      </c>
      <c r="D32" t="s">
        <v>4266</v>
      </c>
      <c r="E32" t="s">
        <v>4394</v>
      </c>
      <c r="F32" t="s">
        <v>4532</v>
      </c>
      <c r="G32" t="s">
        <v>5961</v>
      </c>
      <c r="H32" t="s">
        <v>6090</v>
      </c>
      <c r="I32" t="s">
        <v>6218</v>
      </c>
      <c r="K32" t="str">
        <f t="shared" si="9"/>
        <v>031 StellarTreck PULSATING</v>
      </c>
      <c r="L32" t="str">
        <f t="shared" si="1"/>
        <v>031 Wurly Trem EL.PIANO</v>
      </c>
      <c r="M32" t="str">
        <f t="shared" si="2"/>
        <v>031 FS Fretnot 1 BASS</v>
      </c>
      <c r="N32" t="str">
        <f t="shared" si="3"/>
        <v>031 Wide SynBrss SYNTH BRASS</v>
      </c>
      <c r="O32" t="str">
        <f t="shared" si="4"/>
        <v>031 MetalVoxBox TECHNO SYNTH</v>
      </c>
      <c r="P32" t="str">
        <f t="shared" si="5"/>
        <v>031 ShapeURMusic PULSATING</v>
      </c>
      <c r="Q32" t="str">
        <f t="shared" si="6"/>
        <v>031 VelPanWurly EL.PIANO</v>
      </c>
      <c r="R32" t="str">
        <f t="shared" si="7"/>
        <v>031 Moody Tron STRINGS</v>
      </c>
      <c r="S32" t="str">
        <f t="shared" si="8"/>
        <v>031 Alien Voice SYNTH FX</v>
      </c>
    </row>
    <row r="33" spans="1:19" x14ac:dyDescent="0.25">
      <c r="A33" t="s">
        <v>5689</v>
      </c>
      <c r="B33" t="s">
        <v>4009</v>
      </c>
      <c r="C33" t="s">
        <v>4137</v>
      </c>
      <c r="D33" t="s">
        <v>4267</v>
      </c>
      <c r="E33" t="s">
        <v>4395</v>
      </c>
      <c r="F33" t="s">
        <v>4533</v>
      </c>
      <c r="G33" t="s">
        <v>5962</v>
      </c>
      <c r="H33" t="s">
        <v>6091</v>
      </c>
      <c r="I33" t="s">
        <v>6219</v>
      </c>
      <c r="K33" t="str">
        <f t="shared" si="9"/>
        <v>032 Larsen /Aft DIST.GUITAR</v>
      </c>
      <c r="L33" t="str">
        <f t="shared" si="1"/>
        <v>032 Super Wurly EL.PIANO</v>
      </c>
      <c r="M33" t="str">
        <f t="shared" si="2"/>
        <v>032 FS Fretnot 2 BASS</v>
      </c>
      <c r="N33" t="str">
        <f t="shared" si="3"/>
        <v>032 DetuneSawBrs SYNTH BRASS</v>
      </c>
      <c r="O33" t="str">
        <f t="shared" si="4"/>
        <v>032 Teethy Grit TECHNO SYNTH</v>
      </c>
      <c r="P33" t="str">
        <f t="shared" si="5"/>
        <v>032 Synth Force PULSATING</v>
      </c>
      <c r="Q33" t="str">
        <f t="shared" si="6"/>
        <v>032 Mr.AXXE EL.PIANO</v>
      </c>
      <c r="R33" t="str">
        <f t="shared" si="7"/>
        <v>032 Tronic Str STRINGS</v>
      </c>
      <c r="S33" t="str">
        <f t="shared" si="8"/>
        <v>032 What What? SYNTH FX</v>
      </c>
    </row>
    <row r="34" spans="1:19" x14ac:dyDescent="0.25">
      <c r="A34" t="s">
        <v>5690</v>
      </c>
      <c r="B34" t="s">
        <v>4010</v>
      </c>
      <c r="C34" t="s">
        <v>4138</v>
      </c>
      <c r="D34" t="s">
        <v>4268</v>
      </c>
      <c r="E34" t="s">
        <v>4396</v>
      </c>
      <c r="F34" t="s">
        <v>4534</v>
      </c>
      <c r="G34" t="s">
        <v>5963</v>
      </c>
      <c r="H34" t="s">
        <v>6092</v>
      </c>
      <c r="I34" t="s">
        <v>6220</v>
      </c>
      <c r="K34" t="str">
        <f t="shared" si="9"/>
        <v>033 Moody Tron STRINGS</v>
      </c>
      <c r="L34" t="str">
        <f t="shared" si="1"/>
        <v>033 Pulse EPno EL.PIANO</v>
      </c>
      <c r="M34" t="str">
        <f t="shared" si="2"/>
        <v>033 RichFretless BASS</v>
      </c>
      <c r="N34" t="str">
        <f t="shared" si="3"/>
        <v>033 J-Pop Brass SYNTH BRASS</v>
      </c>
      <c r="O34" t="str">
        <f t="shared" si="4"/>
        <v>033 Repertition TECHNO SYNTH</v>
      </c>
      <c r="P34" t="str">
        <f t="shared" si="5"/>
        <v>033 Trance Split PULSATING</v>
      </c>
      <c r="Q34" t="str">
        <f t="shared" si="6"/>
        <v>033 1983 EP EL.PIANO</v>
      </c>
      <c r="R34" t="str">
        <f t="shared" si="7"/>
        <v>033 Machine Str STRINGS</v>
      </c>
      <c r="S34" t="str">
        <f t="shared" si="8"/>
        <v>033 Beyond Here SYNTH FX</v>
      </c>
    </row>
    <row r="35" spans="1:19" x14ac:dyDescent="0.25">
      <c r="A35" t="s">
        <v>5691</v>
      </c>
      <c r="B35" t="s">
        <v>4011</v>
      </c>
      <c r="C35" t="s">
        <v>4139</v>
      </c>
      <c r="D35" t="s">
        <v>4269</v>
      </c>
      <c r="E35" t="s">
        <v>4397</v>
      </c>
      <c r="F35" t="s">
        <v>4535</v>
      </c>
      <c r="G35" t="s">
        <v>5964</v>
      </c>
      <c r="H35" t="s">
        <v>6093</v>
      </c>
      <c r="I35" t="s">
        <v>6221</v>
      </c>
      <c r="K35" t="str">
        <f t="shared" si="9"/>
        <v>034 Magic Wave SYNTH FX</v>
      </c>
      <c r="L35" t="str">
        <f t="shared" si="1"/>
        <v>034 Fonky Fonky EL.PIANO</v>
      </c>
      <c r="M35" t="str">
        <f t="shared" si="2"/>
        <v>034 Got Pop? BASS</v>
      </c>
      <c r="N35" t="str">
        <f t="shared" si="3"/>
        <v>034 Brash! SYNTH BRASS</v>
      </c>
      <c r="O35" t="str">
        <f t="shared" si="4"/>
        <v>034 Jucy Saw OTHER SYNTH</v>
      </c>
      <c r="P35" t="str">
        <f t="shared" si="5"/>
        <v>034 Step Trance PULSATING</v>
      </c>
      <c r="Q35" t="str">
        <f t="shared" si="6"/>
        <v>034 EP Stack EL.PIANO</v>
      </c>
      <c r="R35" t="str">
        <f t="shared" si="7"/>
        <v>034 Symphonika ORCHESTRA</v>
      </c>
      <c r="S35" t="str">
        <f t="shared" si="8"/>
        <v>034 Mod Scanner SYNTH FX</v>
      </c>
    </row>
    <row r="36" spans="1:19" x14ac:dyDescent="0.25">
      <c r="A36" t="s">
        <v>5692</v>
      </c>
      <c r="B36" t="s">
        <v>5920</v>
      </c>
      <c r="C36" t="s">
        <v>4140</v>
      </c>
      <c r="D36" t="s">
        <v>4270</v>
      </c>
      <c r="E36" t="s">
        <v>4398</v>
      </c>
      <c r="F36" t="s">
        <v>4536</v>
      </c>
      <c r="G36" t="s">
        <v>5965</v>
      </c>
      <c r="H36" t="s">
        <v>6094</v>
      </c>
      <c r="I36" t="s">
        <v>6222</v>
      </c>
      <c r="K36" t="str">
        <f t="shared" si="9"/>
        <v>035 DigimaX OTHER SYNTH</v>
      </c>
      <c r="L36" t="str">
        <f t="shared" si="1"/>
        <v>035 FM EP EL.PIANO</v>
      </c>
      <c r="M36" t="str">
        <f t="shared" si="2"/>
        <v>035 JBass v/Thmb BASS</v>
      </c>
      <c r="N36" t="str">
        <f t="shared" si="3"/>
        <v>035 Jump For KY SYNTH BRASS</v>
      </c>
      <c r="O36" t="str">
        <f t="shared" si="4"/>
        <v>035 Cue Tip OTHER SYNTH</v>
      </c>
      <c r="P36" t="str">
        <f t="shared" si="5"/>
        <v>035 Chop Synth PULSATING</v>
      </c>
      <c r="Q36" t="str">
        <f t="shared" si="6"/>
        <v>035 EP Belle EL.PIANO</v>
      </c>
      <c r="R36" t="str">
        <f t="shared" si="7"/>
        <v>035 Pop Orch ORCHESTRA</v>
      </c>
      <c r="S36" t="str">
        <f t="shared" si="8"/>
        <v>035 Gasp SYNTH FX</v>
      </c>
    </row>
    <row r="37" spans="1:19" x14ac:dyDescent="0.25">
      <c r="A37" t="s">
        <v>5693</v>
      </c>
      <c r="B37" t="s">
        <v>4013</v>
      </c>
      <c r="C37" t="s">
        <v>4141</v>
      </c>
      <c r="D37" t="s">
        <v>4271</v>
      </c>
      <c r="E37" t="s">
        <v>4399</v>
      </c>
      <c r="F37" t="s">
        <v>4537</v>
      </c>
      <c r="G37" t="s">
        <v>5966</v>
      </c>
      <c r="H37" t="s">
        <v>6095</v>
      </c>
      <c r="I37" t="s">
        <v>6223</v>
      </c>
      <c r="K37" t="str">
        <f t="shared" si="9"/>
        <v>036 X Perc Organ ORGAN</v>
      </c>
      <c r="L37" t="str">
        <f t="shared" si="1"/>
        <v>036 FM-777 EL.PIANO</v>
      </c>
      <c r="M37" t="str">
        <f t="shared" si="2"/>
        <v>036 FS Slap Bass BASS</v>
      </c>
      <c r="N37" t="str">
        <f t="shared" si="3"/>
        <v>036 Neo SuperBrs SYNTH BRASS</v>
      </c>
      <c r="O37" t="str">
        <f t="shared" si="4"/>
        <v>036 TB-Sequence OTHER SYNTH</v>
      </c>
      <c r="P37" t="str">
        <f t="shared" si="5"/>
        <v>036 Euro Teuro PULSATING</v>
      </c>
      <c r="Q37" t="str">
        <f t="shared" si="6"/>
        <v>036 Chocolate EP EL.PIANO</v>
      </c>
      <c r="R37" t="str">
        <f t="shared" si="7"/>
        <v>036 Contemp’Orch ORCHESTRA</v>
      </c>
      <c r="S37" t="str">
        <f t="shared" si="8"/>
        <v>036 Neverville SYNTH FX</v>
      </c>
    </row>
    <row r="38" spans="1:19" x14ac:dyDescent="0.25">
      <c r="A38" t="s">
        <v>5694</v>
      </c>
      <c r="B38" t="s">
        <v>4014</v>
      </c>
      <c r="C38" t="s">
        <v>4142</v>
      </c>
      <c r="D38" t="s">
        <v>4272</v>
      </c>
      <c r="E38" t="s">
        <v>4400</v>
      </c>
      <c r="F38" t="s">
        <v>4538</v>
      </c>
      <c r="G38" t="s">
        <v>5967</v>
      </c>
      <c r="H38" t="s">
        <v>6096</v>
      </c>
      <c r="I38" t="s">
        <v>6224</v>
      </c>
      <c r="K38" t="str">
        <f t="shared" si="9"/>
        <v>037 Mini Growl SOFT LEAD</v>
      </c>
      <c r="L38" t="str">
        <f t="shared" si="1"/>
        <v>037 FM EPad EL.PIANO</v>
      </c>
      <c r="M38" t="str">
        <f t="shared" si="2"/>
        <v>037 LEO Bass BASS</v>
      </c>
      <c r="N38" t="str">
        <f t="shared" si="3"/>
        <v>037 SoftSynBrass SYNTH BRASS</v>
      </c>
      <c r="O38" t="str">
        <f t="shared" si="4"/>
        <v>037 Europe Xpres OTHER SYNTH</v>
      </c>
      <c r="P38" t="str">
        <f t="shared" si="5"/>
        <v>037 Auto Trance PULSATING</v>
      </c>
      <c r="Q38" t="str">
        <f t="shared" si="6"/>
        <v>037 Abstract EP EL.PIANO</v>
      </c>
      <c r="R38" t="str">
        <f t="shared" si="7"/>
        <v>037 Orange Skin HIT&amp;STAB</v>
      </c>
      <c r="S38" t="str">
        <f t="shared" si="8"/>
        <v>037 Landing Pad SYNTH FX</v>
      </c>
    </row>
    <row r="39" spans="1:19" x14ac:dyDescent="0.25">
      <c r="A39" t="s">
        <v>5695</v>
      </c>
      <c r="B39" t="s">
        <v>4015</v>
      </c>
      <c r="C39" t="s">
        <v>4143</v>
      </c>
      <c r="D39" t="s">
        <v>4273</v>
      </c>
      <c r="E39" t="s">
        <v>4401</v>
      </c>
      <c r="F39" t="s">
        <v>4539</v>
      </c>
      <c r="G39" t="s">
        <v>5968</v>
      </c>
      <c r="H39" t="s">
        <v>6097</v>
      </c>
      <c r="I39" t="s">
        <v>6225</v>
      </c>
      <c r="K39" t="str">
        <f t="shared" si="9"/>
        <v>038 Snappy Clav KEYBOARDS</v>
      </c>
      <c r="L39" t="str">
        <f t="shared" si="1"/>
        <v>038 D6 Clavi KEYBOARDS</v>
      </c>
      <c r="M39" t="str">
        <f t="shared" si="2"/>
        <v>038 Smooth Bass SYNTH BASS</v>
      </c>
      <c r="N39" t="str">
        <f t="shared" si="3"/>
        <v>038 Silky JP SYNTH BRASS</v>
      </c>
      <c r="O39" t="str">
        <f t="shared" si="4"/>
        <v>038 Squeepy OTHER SYNTH</v>
      </c>
      <c r="P39" t="str">
        <f t="shared" si="5"/>
        <v>038 Eureggae PULSATING</v>
      </c>
      <c r="Q39" t="str">
        <f t="shared" si="6"/>
        <v>038 Ringy EP EL.PIANO</v>
      </c>
      <c r="R39" t="str">
        <f t="shared" si="7"/>
        <v>038 Tutti HIT&amp;STAB</v>
      </c>
      <c r="S39" t="str">
        <f t="shared" si="8"/>
        <v>038 Celebrated SYNTH FX</v>
      </c>
    </row>
    <row r="40" spans="1:19" x14ac:dyDescent="0.25">
      <c r="A40" t="s">
        <v>5696</v>
      </c>
      <c r="B40" t="s">
        <v>4016</v>
      </c>
      <c r="C40" t="s">
        <v>4144</v>
      </c>
      <c r="D40" t="s">
        <v>4274</v>
      </c>
      <c r="E40" t="s">
        <v>4402</v>
      </c>
      <c r="F40" t="s">
        <v>4540</v>
      </c>
      <c r="G40" t="s">
        <v>5969</v>
      </c>
      <c r="H40" t="s">
        <v>6098</v>
      </c>
      <c r="I40" t="s">
        <v>6226</v>
      </c>
      <c r="K40" t="str">
        <f t="shared" si="9"/>
        <v>039 Staccato VS STRINGS</v>
      </c>
      <c r="L40" t="str">
        <f t="shared" si="1"/>
        <v>039 Cutter Clavi KEYBOARDS</v>
      </c>
      <c r="M40" t="str">
        <f t="shared" si="2"/>
        <v>039 MC-404 Bass SYNTH BASS</v>
      </c>
      <c r="N40" t="str">
        <f t="shared" si="3"/>
        <v>039 Silk Brs Pad SYNTH BRASS</v>
      </c>
      <c r="O40" t="str">
        <f t="shared" si="4"/>
        <v>039 Atmorave OTHER SYNTH</v>
      </c>
      <c r="P40" t="str">
        <f t="shared" si="5"/>
        <v>039 Sorry4theDLY PULSATING</v>
      </c>
      <c r="Q40" t="str">
        <f t="shared" si="6"/>
        <v>039 Hipchord EL.PIANO</v>
      </c>
      <c r="R40" t="str">
        <f t="shared" si="7"/>
        <v>039 Brass Ditt HIT&amp;STAB</v>
      </c>
      <c r="S40" t="str">
        <f t="shared" si="8"/>
        <v>039 ResoSweep Up SYNTH FX</v>
      </c>
    </row>
    <row r="41" spans="1:19" x14ac:dyDescent="0.25">
      <c r="A41" t="s">
        <v>5697</v>
      </c>
      <c r="B41" t="s">
        <v>4017</v>
      </c>
      <c r="C41" t="s">
        <v>4145</v>
      </c>
      <c r="D41" t="s">
        <v>4275</v>
      </c>
      <c r="E41" t="s">
        <v>4403</v>
      </c>
      <c r="F41" t="s">
        <v>4541</v>
      </c>
      <c r="G41" t="s">
        <v>5970</v>
      </c>
      <c r="H41" t="s">
        <v>6099</v>
      </c>
      <c r="I41" t="s">
        <v>6227</v>
      </c>
      <c r="K41" t="str">
        <f t="shared" si="9"/>
        <v>040 Life-on BRIGHT PAD</v>
      </c>
      <c r="L41" t="str">
        <f t="shared" si="1"/>
        <v>040 FS Clavi KEYBOARDS</v>
      </c>
      <c r="M41" t="str">
        <f t="shared" si="2"/>
        <v>040 SH-101 Bs 1 SYNTH BASS</v>
      </c>
      <c r="N41" t="str">
        <f t="shared" si="3"/>
        <v>040 FatSynBrass SYNTH BRASS</v>
      </c>
      <c r="O41" t="str">
        <f t="shared" si="4"/>
        <v>040 DOC Stack OTHER SYNTH</v>
      </c>
      <c r="P41" t="str">
        <f t="shared" si="5"/>
        <v>040 Beat Pad PULSATING</v>
      </c>
      <c r="Q41" t="str">
        <f t="shared" si="6"/>
        <v>040 Snappy Clav KEYBOARDS</v>
      </c>
      <c r="R41" t="str">
        <f t="shared" si="7"/>
        <v>040 Housechord HIT&amp;STAB</v>
      </c>
      <c r="S41" t="str">
        <f t="shared" si="8"/>
        <v>040 The VorteX SYNTH FX</v>
      </c>
    </row>
    <row r="42" spans="1:19" x14ac:dyDescent="0.25">
      <c r="A42" t="s">
        <v>5698</v>
      </c>
      <c r="B42" t="s">
        <v>4018</v>
      </c>
      <c r="C42" t="s">
        <v>4146</v>
      </c>
      <c r="D42" t="s">
        <v>4276</v>
      </c>
      <c r="E42" t="s">
        <v>4404</v>
      </c>
      <c r="F42" t="s">
        <v>4542</v>
      </c>
      <c r="G42" t="s">
        <v>5971</v>
      </c>
      <c r="H42" t="s">
        <v>6100</v>
      </c>
      <c r="I42" t="s">
        <v>6228</v>
      </c>
      <c r="K42" t="str">
        <f t="shared" si="9"/>
        <v>041 Powerline SYNTH BASS</v>
      </c>
      <c r="L42" t="str">
        <f t="shared" si="1"/>
        <v>041 Funky D KEYBOARDS</v>
      </c>
      <c r="M42" t="str">
        <f t="shared" si="2"/>
        <v>041 FS Syn Bass1 SYNTH BASS</v>
      </c>
      <c r="N42" t="str">
        <f t="shared" si="3"/>
        <v>041 Soprano Sax SAX</v>
      </c>
      <c r="O42" t="str">
        <f t="shared" si="4"/>
        <v>041 Sweep Lead OTHER SYNTH</v>
      </c>
      <c r="P42" t="str">
        <f t="shared" si="5"/>
        <v>041 FS ResoStep PULSATING</v>
      </c>
      <c r="Q42" t="str">
        <f t="shared" si="6"/>
        <v>041 Over-D6 KEYBOARDS</v>
      </c>
      <c r="R42" t="str">
        <f t="shared" si="7"/>
        <v>041 Mod Chord HIT&amp;STAB</v>
      </c>
      <c r="S42" t="str">
        <f t="shared" si="8"/>
        <v>041 Magic Wave SYNTH FX</v>
      </c>
    </row>
    <row r="43" spans="1:19" x14ac:dyDescent="0.25">
      <c r="A43" t="s">
        <v>5699</v>
      </c>
      <c r="B43" t="s">
        <v>4019</v>
      </c>
      <c r="C43" t="s">
        <v>4147</v>
      </c>
      <c r="D43" t="s">
        <v>4277</v>
      </c>
      <c r="E43" t="s">
        <v>4405</v>
      </c>
      <c r="F43" t="s">
        <v>4543</v>
      </c>
      <c r="G43" t="s">
        <v>5972</v>
      </c>
      <c r="H43" t="s">
        <v>6101</v>
      </c>
      <c r="I43" t="s">
        <v>6229</v>
      </c>
      <c r="K43" t="str">
        <f t="shared" si="9"/>
        <v>042 Disto Stab ! HIT&amp;STAB</v>
      </c>
      <c r="L43" t="str">
        <f t="shared" si="1"/>
        <v>042 Phase Clavi KEYBOARDS</v>
      </c>
      <c r="M43" t="str">
        <f t="shared" si="2"/>
        <v>042 Electro Rubb SYNTH BASS</v>
      </c>
      <c r="N43" t="str">
        <f t="shared" si="3"/>
        <v>042 Solo Sop Sax SAX</v>
      </c>
      <c r="O43" t="str">
        <f t="shared" si="4"/>
        <v>042 Digitaless OTHER SYNTH</v>
      </c>
      <c r="P43" t="str">
        <f t="shared" si="5"/>
        <v>042 TMT Seq Pad PULSATING</v>
      </c>
      <c r="Q43" t="str">
        <f t="shared" si="6"/>
        <v>042 CoupleHarpsi KEYBOARDS</v>
      </c>
      <c r="R43" t="str">
        <f t="shared" si="7"/>
        <v>042 Dance Steam HIT&amp;STAB</v>
      </c>
      <c r="S43" t="str">
        <f t="shared" si="8"/>
        <v>042 Shangri-La SYNTH FX</v>
      </c>
    </row>
    <row r="44" spans="1:19" x14ac:dyDescent="0.25">
      <c r="A44" t="s">
        <v>5700</v>
      </c>
      <c r="B44" t="s">
        <v>4020</v>
      </c>
      <c r="C44" t="s">
        <v>4148</v>
      </c>
      <c r="D44" t="s">
        <v>4278</v>
      </c>
      <c r="E44" t="s">
        <v>4406</v>
      </c>
      <c r="F44" t="s">
        <v>4544</v>
      </c>
      <c r="G44" t="s">
        <v>5973</v>
      </c>
      <c r="H44" t="s">
        <v>6102</v>
      </c>
      <c r="I44" t="s">
        <v>6230</v>
      </c>
      <c r="K44" t="str">
        <f t="shared" si="9"/>
        <v>043 Piano Oz AC.PIANO</v>
      </c>
      <c r="L44" t="str">
        <f t="shared" si="1"/>
        <v>043 BPF Clavi Ph KEYBOARDS</v>
      </c>
      <c r="M44" t="str">
        <f t="shared" si="2"/>
        <v>043 R&amp;B Bass 1 SYNTH BASS</v>
      </c>
      <c r="N44" t="str">
        <f t="shared" si="3"/>
        <v>043 Alto mp SAX</v>
      </c>
      <c r="O44" t="str">
        <f t="shared" si="4"/>
        <v>043 Flip Pad OTHER SYNTH</v>
      </c>
      <c r="P44" t="str">
        <f t="shared" si="5"/>
        <v>043 ZipDoggyDoDa PULSATING</v>
      </c>
      <c r="Q44" t="str">
        <f t="shared" si="6"/>
        <v>043 HimalayaThaw BELL</v>
      </c>
      <c r="R44" t="str">
        <f t="shared" si="7"/>
        <v>043 Disto Stab ! HIT&amp;STAB</v>
      </c>
      <c r="S44" t="str">
        <f t="shared" si="8"/>
        <v>043 CerealKiller SYNTH FX</v>
      </c>
    </row>
    <row r="45" spans="1:19" x14ac:dyDescent="0.25">
      <c r="A45" t="s">
        <v>5701</v>
      </c>
      <c r="B45" t="s">
        <v>4021</v>
      </c>
      <c r="C45" t="s">
        <v>4149</v>
      </c>
      <c r="D45" t="s">
        <v>4279</v>
      </c>
      <c r="E45" t="s">
        <v>4407</v>
      </c>
      <c r="F45" t="s">
        <v>4545</v>
      </c>
      <c r="G45" t="s">
        <v>5974</v>
      </c>
      <c r="H45" t="s">
        <v>6103</v>
      </c>
      <c r="I45" t="s">
        <v>6231</v>
      </c>
      <c r="K45" t="str">
        <f t="shared" si="9"/>
        <v>044 Space &amp; Time PULSATING</v>
      </c>
      <c r="L45" t="str">
        <f t="shared" si="1"/>
        <v>044 Pulse Clavi KEYBOARDS</v>
      </c>
      <c r="M45" t="str">
        <f t="shared" si="2"/>
        <v>044 Enorjizor SYNTH BASS</v>
      </c>
      <c r="N45" t="str">
        <f t="shared" si="3"/>
        <v>044 Alto Sax SAX</v>
      </c>
      <c r="O45" t="str">
        <f t="shared" si="4"/>
        <v>044 Short Detune OTHER SYNTH</v>
      </c>
      <c r="P45" t="str">
        <f t="shared" si="5"/>
        <v>044 ForYourBreak PULSATING</v>
      </c>
      <c r="Q45" t="str">
        <f t="shared" si="6"/>
        <v>044 Ballad Bells BELL</v>
      </c>
      <c r="R45" t="str">
        <f t="shared" si="7"/>
        <v>044 Fairy Flute FLUTE</v>
      </c>
      <c r="S45" t="str">
        <f t="shared" si="8"/>
        <v>044 DigimaX OTHER SYNTH</v>
      </c>
    </row>
    <row r="46" spans="1:19" x14ac:dyDescent="0.25">
      <c r="A46" t="s">
        <v>5702</v>
      </c>
      <c r="B46" t="s">
        <v>4022</v>
      </c>
      <c r="C46" t="s">
        <v>4150</v>
      </c>
      <c r="D46" t="s">
        <v>4280</v>
      </c>
      <c r="E46" t="s">
        <v>4408</v>
      </c>
      <c r="F46" t="s">
        <v>4546</v>
      </c>
      <c r="G46" t="s">
        <v>5975</v>
      </c>
      <c r="H46" t="s">
        <v>6104</v>
      </c>
      <c r="I46" t="s">
        <v>6232</v>
      </c>
      <c r="K46" t="str">
        <f t="shared" si="9"/>
        <v>045 Cello STRINGS</v>
      </c>
      <c r="L46" t="str">
        <f t="shared" si="1"/>
        <v>045 Analog Clavi KEYBOARDS</v>
      </c>
      <c r="M46" t="str">
        <f t="shared" si="2"/>
        <v>045 LowFat Bass SYNTH BASS</v>
      </c>
      <c r="N46" t="str">
        <f t="shared" si="3"/>
        <v>045 Solo AltoSax SAX</v>
      </c>
      <c r="O46" t="str">
        <f t="shared" si="4"/>
        <v>045 forSequence OTHER SYNTH</v>
      </c>
      <c r="P46" t="str">
        <f t="shared" si="5"/>
        <v>045 HPF Slicer PULSATING</v>
      </c>
      <c r="Q46" t="str">
        <f t="shared" si="6"/>
        <v>045 Bell Monitor BELL</v>
      </c>
      <c r="R46" t="str">
        <f t="shared" si="7"/>
        <v>045 Chiffed Toot FLUTE</v>
      </c>
      <c r="S46" t="str">
        <f t="shared" si="8"/>
        <v>045 Trancy X OTHER SYNTH</v>
      </c>
    </row>
    <row r="47" spans="1:19" x14ac:dyDescent="0.25">
      <c r="A47" t="s">
        <v>5703</v>
      </c>
      <c r="B47" t="s">
        <v>4023</v>
      </c>
      <c r="C47" t="s">
        <v>4151</v>
      </c>
      <c r="D47" t="s">
        <v>4281</v>
      </c>
      <c r="E47" t="s">
        <v>4409</v>
      </c>
      <c r="F47" t="s">
        <v>4547</v>
      </c>
      <c r="G47" t="s">
        <v>5976</v>
      </c>
      <c r="H47" t="s">
        <v>6105</v>
      </c>
      <c r="I47" t="s">
        <v>6233</v>
      </c>
      <c r="K47" t="str">
        <f t="shared" si="9"/>
        <v>046 CerealKiller SYNTH FX</v>
      </c>
      <c r="L47" t="str">
        <f t="shared" si="1"/>
        <v>046 Reso Clavi KEYBOARDS</v>
      </c>
      <c r="M47" t="str">
        <f t="shared" si="2"/>
        <v>046 Doze Bass SYNTH BASS</v>
      </c>
      <c r="N47" t="str">
        <f t="shared" si="3"/>
        <v>046 AltoLead Sax SAX</v>
      </c>
      <c r="O47" t="str">
        <f t="shared" si="4"/>
        <v>046 Memory Pluck OTHER SYNTH</v>
      </c>
      <c r="P47" t="str">
        <f t="shared" si="5"/>
        <v>046 DarknessSide PULSATING</v>
      </c>
      <c r="Q47" t="str">
        <f t="shared" si="6"/>
        <v>046 SideBandBell BELL</v>
      </c>
      <c r="R47" t="str">
        <f t="shared" si="7"/>
        <v>046 Hop Flute FLUTE</v>
      </c>
      <c r="S47" t="str">
        <f t="shared" si="8"/>
        <v>046 X Sweep Saws OTHER SYNTH</v>
      </c>
    </row>
    <row r="48" spans="1:19" x14ac:dyDescent="0.25">
      <c r="A48" t="s">
        <v>5704</v>
      </c>
      <c r="B48" t="s">
        <v>4024</v>
      </c>
      <c r="C48" t="s">
        <v>4152</v>
      </c>
      <c r="D48" t="s">
        <v>4282</v>
      </c>
      <c r="E48" t="s">
        <v>4410</v>
      </c>
      <c r="F48" t="s">
        <v>4548</v>
      </c>
      <c r="G48" t="s">
        <v>5977</v>
      </c>
      <c r="H48" t="s">
        <v>6106</v>
      </c>
      <c r="I48" t="s">
        <v>6234</v>
      </c>
      <c r="K48" t="str">
        <f t="shared" si="9"/>
        <v>047 EP Belle EL.PIANO</v>
      </c>
      <c r="L48" t="str">
        <f t="shared" si="1"/>
        <v>047 Harpsy Clavi KEYBOARDS</v>
      </c>
      <c r="M48" t="str">
        <f t="shared" si="2"/>
        <v>047 FS Flat Bs SYNTH BASS</v>
      </c>
      <c r="N48" t="str">
        <f t="shared" si="3"/>
        <v>047 Tenor Sax SAX</v>
      </c>
      <c r="O48" t="str">
        <f t="shared" si="4"/>
        <v>047 Metalic Bass OTHER SYNTH</v>
      </c>
      <c r="P48" t="str">
        <f t="shared" si="5"/>
        <v>047 Sliced Choir PULSATING</v>
      </c>
      <c r="Q48" t="str">
        <f t="shared" si="6"/>
        <v>047 SBF Saw Bell BELL</v>
      </c>
      <c r="R48" t="str">
        <f t="shared" si="7"/>
        <v>047 HimalayaPipe FLUTE</v>
      </c>
      <c r="S48" t="str">
        <f t="shared" si="8"/>
        <v>047 X-Trance OTHER SYNTH</v>
      </c>
    </row>
    <row r="49" spans="1:19" x14ac:dyDescent="0.25">
      <c r="A49" t="s">
        <v>5705</v>
      </c>
      <c r="B49" t="s">
        <v>4025</v>
      </c>
      <c r="C49" t="s">
        <v>4153</v>
      </c>
      <c r="D49" t="s">
        <v>4283</v>
      </c>
      <c r="E49" t="s">
        <v>4411</v>
      </c>
      <c r="F49" t="s">
        <v>4549</v>
      </c>
      <c r="G49" t="s">
        <v>5978</v>
      </c>
      <c r="H49" t="s">
        <v>6107</v>
      </c>
      <c r="I49" t="s">
        <v>6235</v>
      </c>
      <c r="K49" t="str">
        <f t="shared" si="9"/>
        <v>048 Trancy X OTHER SYNTH</v>
      </c>
      <c r="L49" t="str">
        <f t="shared" si="1"/>
        <v>048 FS Harpsi KEYBOARDS</v>
      </c>
      <c r="M49" t="str">
        <f t="shared" si="2"/>
        <v>048 Saw&amp;MG Bass SYNTH BASS</v>
      </c>
      <c r="N49" t="str">
        <f t="shared" si="3"/>
        <v>048 Fat TenorSax SAX</v>
      </c>
      <c r="O49" t="str">
        <f t="shared" si="4"/>
        <v>048 Aqua OTHER SYNTH</v>
      </c>
      <c r="P49" t="str">
        <f t="shared" si="5"/>
        <v>048 Digi-Doo PULSATING</v>
      </c>
      <c r="Q49" t="str">
        <f t="shared" si="6"/>
        <v>048 TubyRuesday BELL</v>
      </c>
      <c r="R49" t="str">
        <f t="shared" si="7"/>
        <v>048 X Brs Sect 1 AC.BRASS</v>
      </c>
      <c r="S49" t="str">
        <f t="shared" si="8"/>
        <v>048 JP-8000 Saws OTHER SYNTH</v>
      </c>
    </row>
    <row r="50" spans="1:19" x14ac:dyDescent="0.25">
      <c r="A50" t="s">
        <v>5706</v>
      </c>
      <c r="B50" t="s">
        <v>4026</v>
      </c>
      <c r="C50" t="s">
        <v>4154</v>
      </c>
      <c r="D50" t="s">
        <v>4284</v>
      </c>
      <c r="E50" t="s">
        <v>4412</v>
      </c>
      <c r="F50" t="s">
        <v>4550</v>
      </c>
      <c r="G50" t="s">
        <v>5979</v>
      </c>
      <c r="H50" t="s">
        <v>6108</v>
      </c>
      <c r="I50" t="s">
        <v>6236</v>
      </c>
      <c r="K50" t="str">
        <f t="shared" si="9"/>
        <v>049 HimalayaPipe FLUTE</v>
      </c>
      <c r="L50" t="str">
        <f t="shared" si="1"/>
        <v>049 Amadeus KEYBOARDS</v>
      </c>
      <c r="M50" t="str">
        <f t="shared" si="2"/>
        <v>049 R&amp;B Bass 2 SYNTH BASS</v>
      </c>
      <c r="N50" t="str">
        <f t="shared" si="3"/>
        <v>049 Baritone Sax SAX</v>
      </c>
      <c r="O50" t="str">
        <f t="shared" si="4"/>
        <v>049 Big Planet OTHER SYNTH</v>
      </c>
      <c r="P50" t="str">
        <f t="shared" si="5"/>
        <v>049 PanningFrmnt PULSATING</v>
      </c>
      <c r="Q50" t="str">
        <f t="shared" si="6"/>
        <v>049 Music Box 2 BELL</v>
      </c>
      <c r="R50" t="str">
        <f t="shared" si="7"/>
        <v>049 Pop Stak Brs AC.BRASS</v>
      </c>
      <c r="S50" t="str">
        <f t="shared" si="8"/>
        <v>049 X Super Saws OTHER SYNTH</v>
      </c>
    </row>
    <row r="51" spans="1:19" x14ac:dyDescent="0.25">
      <c r="A51" t="s">
        <v>5707</v>
      </c>
      <c r="B51" t="s">
        <v>4027</v>
      </c>
      <c r="C51" t="s">
        <v>4155</v>
      </c>
      <c r="D51" t="s">
        <v>4285</v>
      </c>
      <c r="E51" t="s">
        <v>4413</v>
      </c>
      <c r="F51" t="s">
        <v>4551</v>
      </c>
      <c r="G51" t="s">
        <v>5980</v>
      </c>
      <c r="H51" t="s">
        <v>6109</v>
      </c>
      <c r="I51" t="s">
        <v>6237</v>
      </c>
      <c r="K51" t="str">
        <f t="shared" si="9"/>
        <v>050 JP8000 Brass SYNTH BRASS</v>
      </c>
      <c r="L51" t="str">
        <f t="shared" si="1"/>
        <v>050 FS Celesta KEYBOARDS</v>
      </c>
      <c r="M51" t="str">
        <f t="shared" si="2"/>
        <v>050 Foundation SYNTH BASS</v>
      </c>
      <c r="N51" t="str">
        <f t="shared" si="3"/>
        <v>050 Sax Sect. 1 SAX</v>
      </c>
      <c r="O51" t="str">
        <f t="shared" si="4"/>
        <v>050 Wet Atax OTHER SYNTH</v>
      </c>
      <c r="P51" t="str">
        <f t="shared" si="5"/>
        <v>050 Dirty Beat PULSATING</v>
      </c>
      <c r="Q51" t="str">
        <f t="shared" si="6"/>
        <v>050 AirPluck MALLET</v>
      </c>
      <c r="R51" t="str">
        <f t="shared" si="7"/>
        <v>050 X Brs Sect 2 AC.BRASS</v>
      </c>
      <c r="S51" t="str">
        <f t="shared" si="8"/>
        <v>050 Exhale OTHER SYNTH</v>
      </c>
    </row>
    <row r="52" spans="1:19" x14ac:dyDescent="0.25">
      <c r="A52" t="s">
        <v>5708</v>
      </c>
      <c r="B52" t="s">
        <v>4028</v>
      </c>
      <c r="C52" t="s">
        <v>4156</v>
      </c>
      <c r="D52" t="s">
        <v>4286</v>
      </c>
      <c r="E52" t="s">
        <v>4414</v>
      </c>
      <c r="F52" t="s">
        <v>4552</v>
      </c>
      <c r="G52" t="s">
        <v>5981</v>
      </c>
      <c r="H52" t="s">
        <v>6110</v>
      </c>
      <c r="I52" t="s">
        <v>6238</v>
      </c>
      <c r="K52" t="str">
        <f t="shared" si="9"/>
        <v>051 WithALtlHelp AC.GUITAR</v>
      </c>
      <c r="L52" t="str">
        <f t="shared" si="1"/>
        <v>051 FS Glocken BELL</v>
      </c>
      <c r="M52" t="str">
        <f t="shared" si="2"/>
        <v>051 R&amp;B Bass 3 SYNTH BASS</v>
      </c>
      <c r="N52" t="str">
        <f t="shared" si="3"/>
        <v>051 Sax Sect. 2 SAX</v>
      </c>
      <c r="O52" t="str">
        <f t="shared" si="4"/>
        <v>051 Houze Clavi OTHER SYNTH</v>
      </c>
      <c r="P52" t="str">
        <f t="shared" si="5"/>
        <v>051 Hellrazor PULSATING</v>
      </c>
      <c r="Q52" t="str">
        <f t="shared" si="6"/>
        <v>051 Airie Vibez MALLET</v>
      </c>
      <c r="R52" t="str">
        <f t="shared" si="7"/>
        <v>051 Pop Brs wAtk AC.BRASS</v>
      </c>
      <c r="S52" t="str">
        <f t="shared" si="8"/>
        <v>051 SBF Voices OTHER SYNTH</v>
      </c>
    </row>
    <row r="53" spans="1:19" x14ac:dyDescent="0.25">
      <c r="A53" t="s">
        <v>5709</v>
      </c>
      <c r="B53" t="s">
        <v>4029</v>
      </c>
      <c r="C53" t="s">
        <v>4157</v>
      </c>
      <c r="D53" t="s">
        <v>4287</v>
      </c>
      <c r="E53" t="s">
        <v>4415</v>
      </c>
      <c r="F53" t="s">
        <v>4553</v>
      </c>
      <c r="G53" t="s">
        <v>5982</v>
      </c>
      <c r="H53" t="s">
        <v>6111</v>
      </c>
      <c r="I53" t="s">
        <v>6239</v>
      </c>
      <c r="K53" t="str">
        <f t="shared" si="9"/>
        <v>052 Strobe X PULSATING</v>
      </c>
      <c r="L53" t="str">
        <f t="shared" si="1"/>
        <v>052 Music Bells BELL</v>
      </c>
      <c r="M53" t="str">
        <f t="shared" si="2"/>
        <v>052 HipHop Bs 1 SYNTH BASS</v>
      </c>
      <c r="N53" t="str">
        <f t="shared" si="3"/>
        <v>052 Horny Sax SAX</v>
      </c>
      <c r="O53" t="str">
        <f t="shared" si="4"/>
        <v>052 SuperSawSlow OTHER SYNTH</v>
      </c>
      <c r="P53" t="str">
        <f t="shared" si="5"/>
        <v>052 Electrons PULSATING</v>
      </c>
      <c r="Q53" t="str">
        <f t="shared" si="6"/>
        <v>052 Ringy Vibes MALLET</v>
      </c>
      <c r="R53" t="str">
        <f t="shared" si="7"/>
        <v>052 Hybrid Brass AC.BRASS</v>
      </c>
      <c r="S53" t="str">
        <f t="shared" si="8"/>
        <v>052 Stadium SBF OTHER SYNTH</v>
      </c>
    </row>
    <row r="54" spans="1:19" x14ac:dyDescent="0.25">
      <c r="A54" t="s">
        <v>5710</v>
      </c>
      <c r="B54" t="s">
        <v>4030</v>
      </c>
      <c r="C54" t="s">
        <v>4158</v>
      </c>
      <c r="D54" t="s">
        <v>4288</v>
      </c>
      <c r="E54" t="s">
        <v>4416</v>
      </c>
      <c r="F54" t="s">
        <v>4554</v>
      </c>
      <c r="G54" t="s">
        <v>5983</v>
      </c>
      <c r="H54" t="s">
        <v>6112</v>
      </c>
      <c r="I54" t="s">
        <v>6240</v>
      </c>
      <c r="K54" t="str">
        <f t="shared" si="9"/>
        <v>053 Trancepire TECHNO SYNTH</v>
      </c>
      <c r="L54" t="str">
        <f t="shared" si="1"/>
        <v>053 FS Musicbox BELL</v>
      </c>
      <c r="M54" t="str">
        <f t="shared" si="2"/>
        <v>053 HipHop Bs 2 SYNTH BASS</v>
      </c>
      <c r="N54" t="str">
        <f t="shared" si="3"/>
        <v>053 R&amp;B TriLead SOFT LEAD</v>
      </c>
      <c r="O54" t="str">
        <f t="shared" si="4"/>
        <v>053 TranceSaws OTHER SYNTH</v>
      </c>
      <c r="P54" t="str">
        <f t="shared" si="5"/>
        <v>053 Protons PULSATING</v>
      </c>
      <c r="Q54" t="str">
        <f t="shared" si="6"/>
        <v>053 50`SteelDrms MALLET</v>
      </c>
      <c r="R54" t="str">
        <f t="shared" si="7"/>
        <v>053 Nu Stab Brs AC.BRASS</v>
      </c>
      <c r="S54" t="str">
        <f t="shared" si="8"/>
        <v>053 Master X OTHER SYNTH</v>
      </c>
    </row>
    <row r="55" spans="1:19" x14ac:dyDescent="0.25">
      <c r="A55" t="s">
        <v>5711</v>
      </c>
      <c r="B55" t="s">
        <v>4031</v>
      </c>
      <c r="C55" t="s">
        <v>4159</v>
      </c>
      <c r="D55" t="s">
        <v>4289</v>
      </c>
      <c r="E55" t="s">
        <v>4417</v>
      </c>
      <c r="F55" t="s">
        <v>5935</v>
      </c>
      <c r="G55" t="s">
        <v>5984</v>
      </c>
      <c r="H55" t="s">
        <v>6113</v>
      </c>
      <c r="I55" t="s">
        <v>6241</v>
      </c>
      <c r="K55" t="str">
        <f t="shared" si="9"/>
        <v>054 TubyRuesday BELL</v>
      </c>
      <c r="L55" t="str">
        <f t="shared" si="1"/>
        <v>054 MuBox Pad BELL</v>
      </c>
      <c r="M55" t="str">
        <f t="shared" si="2"/>
        <v>054 Solid Goa SYNTH BASS</v>
      </c>
      <c r="N55" t="str">
        <f t="shared" si="3"/>
        <v>054 PeakArpSine SOFT LEAD</v>
      </c>
      <c r="O55" t="str">
        <f t="shared" si="4"/>
        <v>054 Trancy Synth OTHER SYNTH</v>
      </c>
      <c r="P55" t="str">
        <f t="shared" si="5"/>
        <v>054 FS Alfa Rave PULSATING</v>
      </c>
      <c r="Q55" t="str">
        <f t="shared" si="6"/>
        <v>054 VKHold4Speed ORGAN</v>
      </c>
      <c r="R55" t="str">
        <f t="shared" si="7"/>
        <v>054 Heavy Brs 1 AC.BRASS</v>
      </c>
      <c r="S55" t="str">
        <f t="shared" si="8"/>
        <v>054 X-panda OTHER SYNTH</v>
      </c>
    </row>
    <row r="56" spans="1:19" x14ac:dyDescent="0.25">
      <c r="A56" t="s">
        <v>5712</v>
      </c>
      <c r="B56" t="s">
        <v>4032</v>
      </c>
      <c r="C56" t="s">
        <v>4160</v>
      </c>
      <c r="D56" t="s">
        <v>4290</v>
      </c>
      <c r="E56" t="s">
        <v>4418</v>
      </c>
      <c r="F56" t="s">
        <v>4556</v>
      </c>
      <c r="G56" t="s">
        <v>5985</v>
      </c>
      <c r="H56" t="s">
        <v>6114</v>
      </c>
      <c r="I56" t="s">
        <v>6242</v>
      </c>
      <c r="K56" t="str">
        <f t="shared" si="9"/>
        <v>055 Exhale OTHER SYNTH</v>
      </c>
      <c r="L56" t="str">
        <f t="shared" si="1"/>
        <v>055 Kalimbells BELL</v>
      </c>
      <c r="M56" t="str">
        <f t="shared" si="2"/>
        <v>055 ResoSyn Bs 1 SYNTH BASS</v>
      </c>
      <c r="N56" t="str">
        <f t="shared" si="3"/>
        <v>055 Theramax SOFT LEAD</v>
      </c>
      <c r="O56" t="str">
        <f t="shared" si="4"/>
        <v>055 Saw Stack OTHER SYNTH</v>
      </c>
      <c r="P56" t="str">
        <f t="shared" si="5"/>
        <v>055 Brisk Vortex PULSATING</v>
      </c>
      <c r="Q56" t="str">
        <f t="shared" si="6"/>
        <v>055 X Perc Organ ORGAN</v>
      </c>
      <c r="R56" t="str">
        <f t="shared" si="7"/>
        <v>055 Heavy Brs 2 AC.BRASS</v>
      </c>
      <c r="S56" t="str">
        <f t="shared" si="8"/>
        <v>055 TDreamTouch OTHER SYNTH</v>
      </c>
    </row>
    <row r="57" spans="1:19" x14ac:dyDescent="0.25">
      <c r="A57" t="s">
        <v>5713</v>
      </c>
      <c r="B57" t="s">
        <v>4033</v>
      </c>
      <c r="C57" t="s">
        <v>4161</v>
      </c>
      <c r="D57" t="s">
        <v>4291</v>
      </c>
      <c r="E57" t="s">
        <v>4419</v>
      </c>
      <c r="F57" t="s">
        <v>4557</v>
      </c>
      <c r="G57" t="s">
        <v>5986</v>
      </c>
      <c r="H57" t="s">
        <v>6115</v>
      </c>
      <c r="I57" t="s">
        <v>6243</v>
      </c>
      <c r="K57" t="str">
        <f t="shared" si="9"/>
        <v>056 Searing COSM DIST.GUITAR</v>
      </c>
      <c r="L57" t="str">
        <f t="shared" si="1"/>
        <v>056 Himalaya Ice BELL</v>
      </c>
      <c r="M57" t="str">
        <f t="shared" si="2"/>
        <v>056 SH-1 Bass SYNTH BASS</v>
      </c>
      <c r="N57" t="str">
        <f t="shared" si="3"/>
        <v>056 FS Sqr Lead SOFT LEAD</v>
      </c>
      <c r="O57" t="str">
        <f t="shared" si="4"/>
        <v>056 Frgile Saws OTHER SYNTH</v>
      </c>
      <c r="P57" t="str">
        <f t="shared" si="5"/>
        <v>056 FS Throbulax PULSATING</v>
      </c>
      <c r="Q57" t="str">
        <f t="shared" si="6"/>
        <v>056 Rocky Organ ORGAN</v>
      </c>
      <c r="R57" t="str">
        <f t="shared" si="7"/>
        <v>056 Wonder Brass AC.BRASS</v>
      </c>
      <c r="S57" t="str">
        <f t="shared" si="8"/>
        <v>056 Smooth Synth OTHER SYNTH</v>
      </c>
    </row>
    <row r="58" spans="1:19" x14ac:dyDescent="0.25">
      <c r="A58" t="s">
        <v>5714</v>
      </c>
      <c r="B58" t="s">
        <v>4034</v>
      </c>
      <c r="C58" t="s">
        <v>4162</v>
      </c>
      <c r="D58" t="s">
        <v>4292</v>
      </c>
      <c r="E58" t="s">
        <v>4420</v>
      </c>
      <c r="F58" t="s">
        <v>4558</v>
      </c>
      <c r="G58" t="s">
        <v>5987</v>
      </c>
      <c r="H58" t="s">
        <v>6116</v>
      </c>
      <c r="I58" t="s">
        <v>6244</v>
      </c>
      <c r="K58" t="str">
        <f t="shared" si="9"/>
        <v>057 Follow SOFT PAD</v>
      </c>
      <c r="L58" t="str">
        <f t="shared" si="1"/>
        <v>057 Dreaming Box BELL</v>
      </c>
      <c r="M58" t="str">
        <f t="shared" si="2"/>
        <v>057 SH-101 Bs 2 SYNTH BASS</v>
      </c>
      <c r="N58" t="str">
        <f t="shared" si="3"/>
        <v>057 Dawn Of Pan SOFT LEAD</v>
      </c>
      <c r="O58" t="str">
        <f t="shared" si="4"/>
        <v>057 Steamed Sawz OTHER SYNTH</v>
      </c>
      <c r="P58" t="str">
        <f t="shared" si="5"/>
        <v>057 FS Lonizer PULSATING</v>
      </c>
      <c r="Q58" t="str">
        <f t="shared" si="6"/>
        <v>057 Purple Organ ORGAN</v>
      </c>
      <c r="R58" t="str">
        <f t="shared" si="7"/>
        <v>057 Pop Brs Sfz AC.BRASS</v>
      </c>
      <c r="S58" t="str">
        <f t="shared" si="8"/>
        <v>057 Stereotype OTHER SYNTH</v>
      </c>
    </row>
    <row r="59" spans="1:19" x14ac:dyDescent="0.25">
      <c r="A59" t="s">
        <v>5715</v>
      </c>
      <c r="B59" t="s">
        <v>4035</v>
      </c>
      <c r="C59" t="s">
        <v>4163</v>
      </c>
      <c r="D59" t="s">
        <v>4293</v>
      </c>
      <c r="E59" t="s">
        <v>4421</v>
      </c>
      <c r="F59" t="s">
        <v>4559</v>
      </c>
      <c r="G59" t="s">
        <v>5988</v>
      </c>
      <c r="H59" t="s">
        <v>6117</v>
      </c>
      <c r="I59" t="s">
        <v>6245</v>
      </c>
      <c r="K59" t="str">
        <f t="shared" si="9"/>
        <v>058 Grand Pipe ORGAN</v>
      </c>
      <c r="L59" t="str">
        <f t="shared" si="1"/>
        <v>058 Step Ice BELL</v>
      </c>
      <c r="M59" t="str">
        <f t="shared" si="2"/>
        <v>058 FS Syn Bass2 SYNTH BASS</v>
      </c>
      <c r="N59" t="str">
        <f t="shared" si="3"/>
        <v>058 Sqr Diamond SOFT LEAD</v>
      </c>
      <c r="O59" t="str">
        <f t="shared" si="4"/>
        <v>058 RAVtune OTHER SYNTH</v>
      </c>
      <c r="P59" t="str">
        <f t="shared" si="5"/>
        <v>058 FS Strobe PULSATING</v>
      </c>
      <c r="Q59" t="str">
        <f t="shared" si="6"/>
        <v>058 Phono Organ ORGAN</v>
      </c>
      <c r="R59" t="str">
        <f t="shared" si="7"/>
        <v>058 Pop Brs Stac AC.BRASS</v>
      </c>
      <c r="S59" t="str">
        <f t="shared" si="8"/>
        <v>058 Saw Keystep OTHER SYNTH</v>
      </c>
    </row>
    <row r="60" spans="1:19" x14ac:dyDescent="0.25">
      <c r="A60" t="s">
        <v>5716</v>
      </c>
      <c r="B60" t="s">
        <v>4036</v>
      </c>
      <c r="C60" t="s">
        <v>4164</v>
      </c>
      <c r="D60" t="s">
        <v>4294</v>
      </c>
      <c r="E60" t="s">
        <v>4422</v>
      </c>
      <c r="F60" t="s">
        <v>4560</v>
      </c>
      <c r="G60" t="s">
        <v>5989</v>
      </c>
      <c r="H60" t="s">
        <v>6118</v>
      </c>
      <c r="I60" t="s">
        <v>6246</v>
      </c>
      <c r="K60" t="str">
        <f t="shared" si="9"/>
        <v>059 Sad ceremony VOX</v>
      </c>
      <c r="L60" t="str">
        <f t="shared" si="1"/>
        <v>059 FS Bell 1 BELL</v>
      </c>
      <c r="M60" t="str">
        <f t="shared" si="2"/>
        <v>059 Poly Bass SYNTH BASS</v>
      </c>
      <c r="N60" t="str">
        <f t="shared" si="3"/>
        <v>059 FS SoftLead SOFT LEAD</v>
      </c>
      <c r="O60" t="str">
        <f t="shared" si="4"/>
        <v>059 Bustranza OTHER SYNTH</v>
      </c>
      <c r="P60" t="str">
        <f t="shared" si="5"/>
        <v>059 VirtualHuman PULSATING</v>
      </c>
      <c r="Q60" t="str">
        <f t="shared" si="6"/>
        <v>059 Mid Pipe Org ORGAN</v>
      </c>
      <c r="R60" t="str">
        <f t="shared" si="7"/>
        <v>059 Brass Fall / AC.BRASS</v>
      </c>
      <c r="S60" t="str">
        <f t="shared" si="8"/>
        <v>059 4mant Cycle OTHER SYNTH</v>
      </c>
    </row>
    <row r="61" spans="1:19" x14ac:dyDescent="0.25">
      <c r="A61" t="s">
        <v>5717</v>
      </c>
      <c r="B61" t="s">
        <v>4037</v>
      </c>
      <c r="C61" t="s">
        <v>4165</v>
      </c>
      <c r="D61" t="s">
        <v>4295</v>
      </c>
      <c r="E61" t="s">
        <v>4423</v>
      </c>
      <c r="F61" t="s">
        <v>4561</v>
      </c>
      <c r="G61" t="s">
        <v>5990</v>
      </c>
      <c r="H61" t="s">
        <v>6119</v>
      </c>
      <c r="I61" t="s">
        <v>6247</v>
      </c>
      <c r="K61" t="str">
        <f t="shared" si="9"/>
        <v>060 BodyElectric HARD LEAD</v>
      </c>
      <c r="L61" t="str">
        <f t="shared" si="1"/>
        <v>060 FS Bell 2 BELL</v>
      </c>
      <c r="M61" t="str">
        <f t="shared" si="2"/>
        <v>060 Punch MG 1 SYNTH BASS</v>
      </c>
      <c r="N61" t="str">
        <f t="shared" si="3"/>
        <v>060 Mid Saw Ld SOFT LEAD</v>
      </c>
      <c r="O61" t="str">
        <f t="shared" si="4"/>
        <v>060 AftTch Ji-n OTHER SYNTH</v>
      </c>
      <c r="P61" t="str">
        <f t="shared" si="5"/>
        <v>060 FS Line PULSATING</v>
      </c>
      <c r="Q61" t="str">
        <f t="shared" si="6"/>
        <v>060 ParisRomance ACCORDION</v>
      </c>
      <c r="R61" t="str">
        <f t="shared" si="7"/>
        <v>060 X-Saw Brass1 SYNTH BRASS</v>
      </c>
      <c r="S61" t="str">
        <f t="shared" si="8"/>
        <v>060 Trance Sweep OTHER SYNTH</v>
      </c>
    </row>
    <row r="62" spans="1:19" x14ac:dyDescent="0.25">
      <c r="A62" t="s">
        <v>5718</v>
      </c>
      <c r="B62" t="s">
        <v>4038</v>
      </c>
      <c r="C62" t="s">
        <v>4166</v>
      </c>
      <c r="D62" t="s">
        <v>4296</v>
      </c>
      <c r="E62" t="s">
        <v>4424</v>
      </c>
      <c r="F62" t="s">
        <v>4562</v>
      </c>
      <c r="G62" t="s">
        <v>5991</v>
      </c>
      <c r="H62" t="s">
        <v>6120</v>
      </c>
      <c r="I62" t="s">
        <v>6248</v>
      </c>
      <c r="K62" t="str">
        <f t="shared" si="9"/>
        <v>061 Doubled Bass BASS</v>
      </c>
      <c r="L62" t="str">
        <f t="shared" si="1"/>
        <v>061 Candy Bell BELL</v>
      </c>
      <c r="M62" t="str">
        <f t="shared" si="2"/>
        <v>061 Gashed Bass SYNTH BASS</v>
      </c>
      <c r="N62" t="str">
        <f t="shared" si="3"/>
        <v>061 FS ResoLead SOFT LEAD</v>
      </c>
      <c r="O62" t="str">
        <f t="shared" si="4"/>
        <v>061 JP OctAttack OTHER SYNTH</v>
      </c>
      <c r="P62" t="str">
        <f t="shared" si="5"/>
        <v>061 StepPitShift PULSATING</v>
      </c>
      <c r="Q62" t="str">
        <f t="shared" si="6"/>
        <v>061 La Seine ACCORDION</v>
      </c>
      <c r="R62" t="str">
        <f t="shared" si="7"/>
        <v>061 JP8000 Brass SYNTH BRASS</v>
      </c>
      <c r="S62" t="str">
        <f t="shared" si="8"/>
        <v>061 Modular OTHER SYNTH</v>
      </c>
    </row>
    <row r="63" spans="1:19" x14ac:dyDescent="0.25">
      <c r="A63" t="s">
        <v>5719</v>
      </c>
      <c r="B63" t="s">
        <v>4039</v>
      </c>
      <c r="C63" t="s">
        <v>4167</v>
      </c>
      <c r="D63" t="s">
        <v>4297</v>
      </c>
      <c r="E63" t="s">
        <v>4425</v>
      </c>
      <c r="F63" t="s">
        <v>4563</v>
      </c>
      <c r="G63" t="s">
        <v>5992</v>
      </c>
      <c r="H63" t="s">
        <v>6121</v>
      </c>
      <c r="I63" t="s">
        <v>6249</v>
      </c>
      <c r="K63" t="str">
        <f t="shared" si="9"/>
        <v>062 Xtrem Sine SOFT LEAD</v>
      </c>
      <c r="L63" t="str">
        <f t="shared" si="1"/>
        <v>062 FS Chime BELL</v>
      </c>
      <c r="M63" t="str">
        <f t="shared" si="2"/>
        <v>062 Q Bass SYNTH BASS</v>
      </c>
      <c r="N63" t="str">
        <f t="shared" si="3"/>
        <v>062 Dig-n-Duke SOFT LEAD</v>
      </c>
      <c r="O63" t="str">
        <f t="shared" si="4"/>
        <v>062 Oct Unison OTHER SYNTH</v>
      </c>
      <c r="P63" t="str">
        <f t="shared" si="5"/>
        <v>062 Sever PULSATING</v>
      </c>
      <c r="Q63" t="str">
        <f t="shared" si="6"/>
        <v>062 VntgAccrdion ACCORDION</v>
      </c>
      <c r="R63" t="str">
        <f t="shared" si="7"/>
        <v>062 X-Saw Brass2 SYNTH BRASS</v>
      </c>
      <c r="S63" t="str">
        <f t="shared" si="8"/>
        <v>062 Triple X OTHER SYNTH</v>
      </c>
    </row>
    <row r="64" spans="1:19" x14ac:dyDescent="0.25">
      <c r="A64" t="s">
        <v>5720</v>
      </c>
      <c r="B64" t="s">
        <v>4040</v>
      </c>
      <c r="C64" t="s">
        <v>4168</v>
      </c>
      <c r="D64" t="s">
        <v>4298</v>
      </c>
      <c r="E64" t="s">
        <v>4426</v>
      </c>
      <c r="F64" t="s">
        <v>4564</v>
      </c>
      <c r="G64" t="s">
        <v>5993</v>
      </c>
      <c r="H64" t="s">
        <v>6122</v>
      </c>
      <c r="I64" t="s">
        <v>6250</v>
      </c>
      <c r="K64" t="str">
        <f t="shared" si="9"/>
        <v>063 Mod Chord HIT&amp;STAB</v>
      </c>
      <c r="L64" t="str">
        <f t="shared" si="1"/>
        <v>063 Bell Ring BELL</v>
      </c>
      <c r="M64" t="str">
        <f t="shared" si="2"/>
        <v>063 FS Rubber Bs SYNTH BASS</v>
      </c>
      <c r="N64" t="str">
        <f t="shared" si="3"/>
        <v>063 Modulated Ld SOFT LEAD</v>
      </c>
      <c r="O64" t="str">
        <f t="shared" si="4"/>
        <v>063 Xtatic OTHER SYNTH</v>
      </c>
      <c r="P64" t="str">
        <f t="shared" si="5"/>
        <v>063 Pad Pulses PULSATING</v>
      </c>
      <c r="Q64" t="str">
        <f t="shared" si="6"/>
        <v>063 Oktoberfest ACCORDION</v>
      </c>
      <c r="R64" t="str">
        <f t="shared" si="7"/>
        <v>063 Bend SynBrs SYNTH BRASS</v>
      </c>
      <c r="S64" t="str">
        <f t="shared" si="8"/>
        <v>063 Angel Pipes OTHER SYNTH</v>
      </c>
    </row>
    <row r="65" spans="1:19" x14ac:dyDescent="0.25">
      <c r="A65" t="s">
        <v>5721</v>
      </c>
      <c r="B65" t="s">
        <v>4041</v>
      </c>
      <c r="C65" t="s">
        <v>4169</v>
      </c>
      <c r="D65" t="s">
        <v>4299</v>
      </c>
      <c r="E65" t="s">
        <v>4427</v>
      </c>
      <c r="F65" t="s">
        <v>4565</v>
      </c>
      <c r="G65" t="s">
        <v>5994</v>
      </c>
      <c r="H65" t="s">
        <v>6123</v>
      </c>
      <c r="I65" t="s">
        <v>6251</v>
      </c>
      <c r="K65" t="str">
        <f t="shared" si="9"/>
        <v>064 Filament SYNTH BASS</v>
      </c>
      <c r="L65" t="str">
        <f t="shared" si="1"/>
        <v>064 Tubular Bell BELL</v>
      </c>
      <c r="M65" t="str">
        <f t="shared" si="2"/>
        <v>064 ResoSyn Bs 2 SYNTH BASS</v>
      </c>
      <c r="N65" t="str">
        <f t="shared" si="3"/>
        <v>064 Waspy Lead SOFT LEAD</v>
      </c>
      <c r="O65" t="str">
        <f t="shared" si="4"/>
        <v>064 Dirty Combo OTHER SYNTH</v>
      </c>
      <c r="P65" t="str">
        <f t="shared" si="5"/>
        <v>064 Dub Tales PULSATING</v>
      </c>
      <c r="Q65" t="str">
        <f t="shared" si="6"/>
        <v>064 NaturalNylon AC.GUITAR</v>
      </c>
      <c r="R65" t="str">
        <f t="shared" si="7"/>
        <v>064 Sax Heavy SAX</v>
      </c>
      <c r="S65" t="str">
        <f t="shared" si="8"/>
        <v>064 Vint Clavier OTHER SYNTH</v>
      </c>
    </row>
    <row r="66" spans="1:19" x14ac:dyDescent="0.25">
      <c r="A66" t="s">
        <v>5722</v>
      </c>
      <c r="B66" t="s">
        <v>4042</v>
      </c>
      <c r="C66" t="s">
        <v>4170</v>
      </c>
      <c r="D66" t="s">
        <v>4300</v>
      </c>
      <c r="E66" t="s">
        <v>5933</v>
      </c>
      <c r="F66" t="s">
        <v>4566</v>
      </c>
      <c r="G66" t="s">
        <v>5995</v>
      </c>
      <c r="H66" t="s">
        <v>6124</v>
      </c>
      <c r="I66" t="s">
        <v>6252</v>
      </c>
      <c r="K66" t="str">
        <f t="shared" si="9"/>
        <v>065 SuperSawSlow OTHER SYNTH</v>
      </c>
      <c r="L66" t="str">
        <f t="shared" ref="L66:L128" si="10">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SUBSTITUTE(B66,"'","´"),"[0-9] AC.PIANO","AC.PIANO",-1),"[0-9] PULSATING","PULSATING"),"[0-9] KEYBOARDS","KEYBOARDS"),"[0-9] EL.PIANO","EL.PIANO"),"[0-9] BELL","BELL"),"[0-9] MALLET","MALLET"),"[0-9] ORGAN","ORGAN"),"[0-9] ACCORDION","ACCORDION"),"[0-9] HARMONICA","HARMONICA"),"[0-9] AC.GUITAR","AC.GUITAR"),"[0-9] EL.GUITAR","EL.GUITAR"),"[0-9] DIST.GUITAR","DIST.GUITAR"),"[0-9] BASS","BASS"),"[0-9] STRINGS","STRINGS"),"[0-9] SYNTH BASS","SYNTH BASS"),"[0-9] ORCHESTRA","ORCHESTRA"),"[0-9] WIND","WIND"),"[0-9] FLUTE","FLUTE"),"[0-9] AC.BRASS","AC.BRASS"),"[0-9] SYNTH BRASS","SYNTH BRASS"),"[0-9] SAX","SAX"),"[0-9] SOFT LEAD","SOFT LEAD"),"[0-9] HARD LEAD","HARD LEAD"),"[0-9] HIT&amp;STAB","HIT&amp;STAB"),"[0-9] TECHNO SYNTH","TECHNO SYNTH"),"[0-9] OTHER SYNTH","OTHER SYNTH"),"[0-9] VOX","VOX"),"[0-9] SOFT PAD","SOFT PAD"),"[0-9] BRIGHT PAD","BRIGHT PAD"),"[0-9] PLUCKED","PLUCKED"),"[0-9] ETHNIC","ETHNIC"),"[0-9] FRETTED","FRETTED"),"[0-9] SYNTH FX","SYNTH FX"),"[0-9] BEAT&amp;GROOVE","BEAT&amp;GROOVE"),"[0-9] PERCUSSION","PERCUSSION"),"[0-9] COMBINATION","COMBINATION")</f>
        <v>065 5th Key BELL</v>
      </c>
      <c r="M66" t="str">
        <f t="shared" ref="M66:M128" si="11">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SUBSTITUTE(C66,"'","´"),"[0-9] AC.PIANO","AC.PIANO",-1),"[0-9] PULSATING","PULSATING"),"[0-9] KEYBOARDS","KEYBOARDS"),"[0-9] EL.PIANO","EL.PIANO"),"[0-9] BELL","BELL"),"[0-9] MALLET","MALLET"),"[0-9] ORGAN","ORGAN"),"[0-9] ACCORDION","ACCORDION"),"[0-9] HARMONICA","HARMONICA"),"[0-9] AC.GUITAR","AC.GUITAR"),"[0-9] EL.GUITAR","EL.GUITAR"),"[0-9] DIST.GUITAR","DIST.GUITAR"),"[0-9] BASS","BASS"),"[0-9] STRINGS","STRINGS"),"[0-9] SYNTH BASS","SYNTH BASS"),"[0-9] ORCHESTRA","ORCHESTRA"),"[0-9] WIND","WIND"),"[0-9] FLUTE","FLUTE"),"[0-9] AC.BRASS","AC.BRASS"),"[0-9] SYNTH BRASS","SYNTH BRASS"),"[0-9] SAX","SAX"),"[0-9] SOFT LEAD","SOFT LEAD"),"[0-9] HARD LEAD","HARD LEAD"),"[0-9] HIT&amp;STAB","HIT&amp;STAB"),"[0-9] TECHNO SYNTH","TECHNO SYNTH"),"[0-9] OTHER SYNTH","OTHER SYNTH"),"[0-9] VOX","VOX"),"[0-9] SOFT PAD","SOFT PAD"),"[0-9] BRIGHT PAD","BRIGHT PAD"),"[0-9] PLUCKED","PLUCKED"),"[0-9] ETHNIC","ETHNIC"),"[0-9] FRETTED","FRETTED"),"[0-9] SYNTH FX","SYNTH FX"),"[0-9] BEAT&amp;GROOVE","BEAT&amp;GROOVE"),"[0-9] PERCUSSION","PERCUSSION"),"[0-9] COMBINATION","COMBINATION")</f>
        <v>065 Super-G DX SYNTH BASS</v>
      </c>
      <c r="N66" t="str">
        <f t="shared" ref="N66:N71" si="12">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SUBSTITUTE(D66,"'","´"),"[0-9] AC.PIANO","AC.PIANO",-1),"[0-9] PULSATING","PULSATING"),"[0-9] KEYBOARDS","KEYBOARDS"),"[0-9] EL.PIANO","EL.PIANO"),"[0-9] BELL","BELL"),"[0-9] MALLET","MALLET"),"[0-9] ORGAN","ORGAN"),"[0-9] ACCORDION","ACCORDION"),"[0-9] HARMONICA","HARMONICA"),"[0-9] AC.GUITAR","AC.GUITAR"),"[0-9] EL.GUITAR","EL.GUITAR"),"[0-9] DIST.GUITAR","DIST.GUITAR"),"[0-9] BASS","BASS"),"[0-9] STRINGS","STRINGS"),"[0-9] SYNTH BASS","SYNTH BASS"),"[0-9] ORCHESTRA","ORCHESTRA"),"[0-9] WIND","WIND"),"[0-9] FLUTE","FLUTE"),"[0-9] AC.BRASS","AC.BRASS"),"[0-9] SYNTH BRASS","SYNTH BRASS"),"[0-9] SAX","SAX"),"[0-9] SOFT LEAD","SOFT LEAD"),"[0-9] HARD LEAD","HARD LEAD"),"[0-9] HIT&amp;STAB","HIT&amp;STAB"),"[0-9] TECHNO SYNTH","TECHNO SYNTH"),"[0-9] OTHER SYNTH","OTHER SYNTH"),"[0-9] VOX","VOX"),"[0-9] SOFT PAD","SOFT PAD"),"[0-9] BRIGHT PAD","BRIGHT PAD"),"[0-9] PLUCKED","PLUCKED"),"[0-9] ETHNIC","ETHNIC"),"[0-9] FRETTED","FRETTED"),"[0-9] SYNTH FX","SYNTH FX"),"[0-9] BEAT&amp;GROOVE","BEAT&amp;GROOVE"),"[0-9] PERCUSSION","PERCUSSION"),"[0-9] COMBINATION","COMBINATION")</f>
        <v>065 Mew Lead SOFT LEAD</v>
      </c>
      <c r="O66" t="str">
        <f t="shared" ref="O66:O71" si="13">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SUBSTITUTE(E66,"'","´"),"[0-9] AC.PIANO","AC.PIANO",-1),"[0-9] PULSATING","PULSATING"),"[0-9] KEYBOARDS","KEYBOARDS"),"[0-9] EL.PIANO","EL.PIANO"),"[0-9] BELL","BELL"),"[0-9] MALLET","MALLET"),"[0-9] ORGAN","ORGAN"),"[0-9] ACCORDION","ACCORDION"),"[0-9] HARMONICA","HARMONICA"),"[0-9] AC.GUITAR","AC.GUITAR"),"[0-9] EL.GUITAR","EL.GUITAR"),"[0-9] DIST.GUITAR","DIST.GUITAR"),"[0-9] BASS","BASS"),"[0-9] STRINGS","STRINGS"),"[0-9] SYNTH BASS","SYNTH BASS"),"[0-9] ORCHESTRA","ORCHESTRA"),"[0-9] WIND","WIND"),"[0-9] FLUTE","FLUTE"),"[0-9] AC.BRASS","AC.BRASS"),"[0-9] SYNTH BRASS","SYNTH BRASS"),"[0-9] SAX","SAX"),"[0-9] SOFT LEAD","SOFT LEAD"),"[0-9] HARD LEAD","HARD LEAD"),"[0-9] HIT&amp;STAB","HIT&amp;STAB"),"[0-9] TECHNO SYNTH","TECHNO SYNTH"),"[0-9] OTHER SYNTH","OTHER SYNTH"),"[0-9] VOX","VOX"),"[0-9] SOFT PAD","SOFT PAD"),"[0-9] BRIGHT PAD","BRIGHT PAD"),"[0-9] PLUCKED","PLUCKED"),"[0-9] ETHNIC","ETHNIC"),"[0-9] FRETTED","FRETTED"),"[0-9] SYNTH FX","SYNTH FX"),"[0-9] BEAT&amp;GROOVE","BEAT&amp;GROOVE"),"[0-9] PERCUSSION","PERCUSSION"),"[0-9] COMBINATION","COMBINATION")</f>
        <v>065 FM’s Attack OTHER SYNTH</v>
      </c>
      <c r="P66" t="str">
        <f t="shared" ref="P66:P71" si="14">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SUBSTITUTE(F66,"'","´"),"[0-9] AC.PIANO","AC.PIANO",-1),"[0-9] PULSATING","PULSATING"),"[0-9] KEYBOARDS","KEYBOARDS"),"[0-9] EL.PIANO","EL.PIANO"),"[0-9] BELL","BELL"),"[0-9] MALLET","MALLET"),"[0-9] ORGAN","ORGAN"),"[0-9] ACCORDION","ACCORDION"),"[0-9] HARMONICA","HARMONICA"),"[0-9] AC.GUITAR","AC.GUITAR"),"[0-9] EL.GUITAR","EL.GUITAR"),"[0-9] DIST.GUITAR","DIST.GUITAR"),"[0-9] BASS","BASS"),"[0-9] STRINGS","STRINGS"),"[0-9] SYNTH BASS","SYNTH BASS"),"[0-9] ORCHESTRA","ORCHESTRA"),"[0-9] WIND","WIND"),"[0-9] FLUTE","FLUTE"),"[0-9] AC.BRASS","AC.BRASS"),"[0-9] SYNTH BRASS","SYNTH BRASS"),"[0-9] SAX","SAX"),"[0-9] SOFT LEAD","SOFT LEAD"),"[0-9] HARD LEAD","HARD LEAD"),"[0-9] HIT&amp;STAB","HIT&amp;STAB"),"[0-9] TECHNO SYNTH","TECHNO SYNTH"),"[0-9] OTHER SYNTH","OTHER SYNTH"),"[0-9] VOX","VOX"),"[0-9] SOFT PAD","SOFT PAD"),"[0-9] BRIGHT PAD","BRIGHT PAD"),"[0-9] PLUCKED","PLUCKED"),"[0-9] ETHNIC","ETHNIC"),"[0-9] FRETTED","FRETTED"),"[0-9] SYNTH FX","SYNTH FX"),"[0-9] BEAT&amp;GROOVE","BEAT&amp;GROOVE"),"[0-9] PERCUSSION","PERCUSSION"),"[0-9] COMBINATION","COMBINATION")</f>
        <v>065 Seq-Pad 2 PULSATING</v>
      </c>
      <c r="Q66" t="str">
        <f t="shared" ref="Q66:Q71" si="15">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SUBSTITUTE(G66,"'","´"),"[0-9] AC.PIANO","AC.PIANO",-1),"[0-9] PULSATING","PULSATING"),"[0-9] KEYBOARDS","KEYBOARDS"),"[0-9] EL.PIANO","EL.PIANO"),"[0-9] BELL","BELL"),"[0-9] MALLET","MALLET"),"[0-9] ORGAN","ORGAN"),"[0-9] ACCORDION","ACCORDION"),"[0-9] HARMONICA","HARMONICA"),"[0-9] AC.GUITAR","AC.GUITAR"),"[0-9] EL.GUITAR","EL.GUITAR"),"[0-9] DIST.GUITAR","DIST.GUITAR"),"[0-9] BASS","BASS"),"[0-9] STRINGS","STRINGS"),"[0-9] SYNTH BASS","SYNTH BASS"),"[0-9] ORCHESTRA","ORCHESTRA"),"[0-9] WIND","WIND"),"[0-9] FLUTE","FLUTE"),"[0-9] AC.BRASS","AC.BRASS"),"[0-9] SYNTH BRASS","SYNTH BRASS"),"[0-9] SAX","SAX"),"[0-9] SOFT LEAD","SOFT LEAD"),"[0-9] HARD LEAD","HARD LEAD"),"[0-9] HIT&amp;STAB","HIT&amp;STAB"),"[0-9] TECHNO SYNTH","TECHNO SYNTH"),"[0-9] OTHER SYNTH","OTHER SYNTH"),"[0-9] VOX","VOX"),"[0-9] SOFT PAD","SOFT PAD"),"[0-9] BRIGHT PAD","BRIGHT PAD"),"[0-9] PLUCKED","PLUCKED"),"[0-9] ETHNIC","ETHNIC"),"[0-9] FRETTED","FRETTED"),"[0-9] SYNTH FX","SYNTH FX"),"[0-9] BEAT&amp;GROOVE","BEAT&amp;GROOVE"),"[0-9] PERCUSSION","PERCUSSION"),"[0-9] COMBINATION","COMBINATION")</f>
        <v>065 Nylon Gtr VS AC.GUITAR</v>
      </c>
      <c r="R66" t="str">
        <f t="shared" ref="R66:R71" si="16">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SUBSTITUTE(H66,"'","´"),"[0-9] AC.PIANO","AC.PIANO",-1),"[0-9] PULSATING","PULSATING"),"[0-9] KEYBOARDS","KEYBOARDS"),"[0-9] EL.PIANO","EL.PIANO"),"[0-9] BELL","BELL"),"[0-9] MALLET","MALLET"),"[0-9] ORGAN","ORGAN"),"[0-9] ACCORDION","ACCORDION"),"[0-9] HARMONICA","HARMONICA"),"[0-9] AC.GUITAR","AC.GUITAR"),"[0-9] EL.GUITAR","EL.GUITAR"),"[0-9] DIST.GUITAR","DIST.GUITAR"),"[0-9] BASS","BASS"),"[0-9] STRINGS","STRINGS"),"[0-9] SYNTH BASS","SYNTH BASS"),"[0-9] ORCHESTRA","ORCHESTRA"),"[0-9] WIND","WIND"),"[0-9] FLUTE","FLUTE"),"[0-9] AC.BRASS","AC.BRASS"),"[0-9] SYNTH BRASS","SYNTH BRASS"),"[0-9] SAX","SAX"),"[0-9] SOFT LEAD","SOFT LEAD"),"[0-9] HARD LEAD","HARD LEAD"),"[0-9] HIT&amp;STAB","HIT&amp;STAB"),"[0-9] TECHNO SYNTH","TECHNO SYNTH"),"[0-9] OTHER SYNTH","OTHER SYNTH"),"[0-9] VOX","VOX"),"[0-9] SOFT PAD","SOFT PAD"),"[0-9] BRIGHT PAD","BRIGHT PAD"),"[0-9] PLUCKED","PLUCKED"),"[0-9] ETHNIC","ETHNIC"),"[0-9] FRETTED","FRETTED"),"[0-9] SYNTH FX","SYNTH FX"),"[0-9] BEAT&amp;GROOVE","BEAT&amp;GROOVE"),"[0-9] PERCUSSION","PERCUSSION"),"[0-9] COMBINATION","COMBINATION")</f>
        <v>065 FXM Alto Sax SAX</v>
      </c>
      <c r="S66" t="str">
        <f t="shared" ref="S66:S71" si="17">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SUBSTITUTE(I66,"'","´"),"[0-9] AC.PIANO","AC.PIANO",-1),"[0-9] PULSATING","PULSATING"),"[0-9] KEYBOARDS","KEYBOARDS"),"[0-9] EL.PIANO","EL.PIANO"),"[0-9] BELL","BELL"),"[0-9] MALLET","MALLET"),"[0-9] ORGAN","ORGAN"),"[0-9] ACCORDION","ACCORDION"),"[0-9] HARMONICA","HARMONICA"),"[0-9] AC.GUITAR","AC.GUITAR"),"[0-9] EL.GUITAR","EL.GUITAR"),"[0-9] DIST.GUITAR","DIST.GUITAR"),"[0-9] BASS","BASS"),"[0-9] STRINGS","STRINGS"),"[0-9] SYNTH BASS","SYNTH BASS"),"[0-9] ORCHESTRA","ORCHESTRA"),"[0-9] WIND","WIND"),"[0-9] FLUTE","FLUTE"),"[0-9] AC.BRASS","AC.BRASS"),"[0-9] SYNTH BRASS","SYNTH BRASS"),"[0-9] SAX","SAX"),"[0-9] SOFT LEAD","SOFT LEAD"),"[0-9] HARD LEAD","HARD LEAD"),"[0-9] HIT&amp;STAB","HIT&amp;STAB"),"[0-9] TECHNO SYNTH","TECHNO SYNTH"),"[0-9] OTHER SYNTH","OTHER SYNTH"),"[0-9] VOX","VOX"),"[0-9] SOFT PAD","SOFT PAD"),"[0-9] BRIGHT PAD","BRIGHT PAD"),"[0-9] PLUCKED","PLUCKED"),"[0-9] ETHNIC","ETHNIC"),"[0-9] FRETTED","FRETTED"),"[0-9] SYNTH FX","SYNTH FX"),"[0-9] BEAT&amp;GROOVE","BEAT&amp;GROOVE"),"[0-9] PERCUSSION","PERCUSSION"),"[0-9] COMBINATION","COMBINATION")</f>
        <v>065 Wired Synth OTHER SYNTH</v>
      </c>
    </row>
    <row r="67" spans="1:19" x14ac:dyDescent="0.25">
      <c r="A67" t="s">
        <v>5723</v>
      </c>
      <c r="B67" t="s">
        <v>4043</v>
      </c>
      <c r="C67" t="s">
        <v>4171</v>
      </c>
      <c r="D67" t="s">
        <v>5929</v>
      </c>
      <c r="E67" t="s">
        <v>4429</v>
      </c>
      <c r="F67" t="s">
        <v>4567</v>
      </c>
      <c r="G67" t="s">
        <v>5996</v>
      </c>
      <c r="H67" t="s">
        <v>6125</v>
      </c>
      <c r="I67" t="s">
        <v>6253</v>
      </c>
      <c r="K67" t="str">
        <f t="shared" ref="K67:K130" si="18">CLEAN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SUBSTITUTE(A67,"'","´"),"[0-9] AC.PIANO","AC.PIANO",-1),"[0-9] PULSATING","PULSATING"),"[0-9] KEYBOARDS","KEYBOARDS"),"[0-9] EL.PIANO","EL.PIANO"),"[0-9] BELL","BELL"),"[0-9] MALLET","MALLET"),"[0-9] ORGAN","ORGAN"),"[0-9] ACCORDION","ACCORDION"),"[0-9] HARMONICA","HARMONICA"),"[0-9] AC.GUITAR","AC.GUITAR"),"[0-9] EL.GUITAR","EL.GUITAR"),"[0-9] DIST.GUITAR","DIST.GUITAR"),"[0-9] BASS","BASS"),"[0-9] STRINGS","STRINGS"),"[0-9] SYNTH BASS","SYNTH BASS"),"[0-9] ORCHESTRA","ORCHESTRA"),"[0-9] WIND","WIND"),"[0-9] FLUTE","FLUTE"),"[0-9] AC.BRASS","AC.BRASS"),"[0-9] SYNTH BRASS","SYNTH BRASS"),"[0-9] SAX","SAX"),"[0-9] SOFT LEAD","SOFT LEAD"),"[0-9] HARD LEAD","HARD LEAD"),"[0-9] HIT&amp;STAB","HIT&amp;STAB"),"[0-9] TECHNO SYNTH","TECHNO SYNTH"),"[0-9] OTHER SYNTH","OTHER SYNTH"),"[0-9] VOX","VOX"),"[0-9] SOFT PAD","SOFT PAD"),"[0-9] BRIGHT PAD","BRIGHT PAD"),"[0-9] PLUCKED","PLUCKED"),"[0-9] ETHNIC","ETHNIC"),"[0-9] FRETTED","FRETTED"),"[0-9] SYNTH FX","SYNTH FX"),"[0-9] BEAT&amp;GROOVE","BEAT&amp;GROOVE"),"[0-9] PERCUSSION","PERCUSSION"),"[0-9] COMBINATION","COMBINATION"))</f>
        <v>066 FS Wurly EL.PIANO</v>
      </c>
      <c r="L67" t="str">
        <f t="shared" si="10"/>
        <v>066 Vibrations MALLET</v>
      </c>
      <c r="M67" t="str">
        <f t="shared" si="11"/>
        <v>066 Punch MG 2 SYNTH BASS</v>
      </c>
      <c r="N67" t="str">
        <f t="shared" si="12"/>
        <v>066 Violin Lead SOFT LEAD</v>
      </c>
      <c r="O67" t="str">
        <f t="shared" si="13"/>
        <v>066 Impression OTHER SYNTH</v>
      </c>
      <c r="P67" t="str">
        <f t="shared" si="14"/>
        <v>066 Nice Kalimba PLUCKED</v>
      </c>
      <c r="Q67" t="str">
        <f t="shared" si="15"/>
        <v>066 Double Nylon AC.GUITAR</v>
      </c>
      <c r="R67" t="str">
        <f t="shared" si="16"/>
        <v>066 Simply Nasty HARD LEAD</v>
      </c>
      <c r="S67" t="str">
        <f t="shared" si="17"/>
        <v>066 Nu Romance OTHER SYNTH</v>
      </c>
    </row>
    <row r="68" spans="1:19" x14ac:dyDescent="0.25">
      <c r="A68" t="s">
        <v>5724</v>
      </c>
      <c r="B68" t="s">
        <v>4044</v>
      </c>
      <c r="C68" t="s">
        <v>5928</v>
      </c>
      <c r="D68" t="s">
        <v>4302</v>
      </c>
      <c r="E68" t="s">
        <v>4430</v>
      </c>
      <c r="F68" t="s">
        <v>4568</v>
      </c>
      <c r="G68" t="s">
        <v>5997</v>
      </c>
      <c r="H68" t="s">
        <v>6126</v>
      </c>
      <c r="I68" t="s">
        <v>6254</v>
      </c>
      <c r="K68" t="str">
        <f t="shared" si="18"/>
        <v>067 Mash Pad BRIGHT PAD</v>
      </c>
      <c r="L68" t="str">
        <f t="shared" si="10"/>
        <v>067 FS Vibe MALLET</v>
      </c>
      <c r="M68" t="str">
        <f t="shared" si="11"/>
        <v>067 Kickin’ Bass SYNTH BASS</v>
      </c>
      <c r="N68" t="str">
        <f t="shared" si="12"/>
        <v>067 Oscillo Lead SOFT LEAD</v>
      </c>
      <c r="O68" t="str">
        <f t="shared" si="13"/>
        <v>067 Digi-vox Syn OTHER SYNTH</v>
      </c>
      <c r="P68" t="str">
        <f t="shared" si="14"/>
        <v>067 Quiet River PLUCKED</v>
      </c>
      <c r="Q68" t="str">
        <f t="shared" si="15"/>
        <v>067 Mellow Nylon AC.GUITAR</v>
      </c>
      <c r="R68" t="str">
        <f t="shared" si="16"/>
        <v>067 Deep Wine HARD LEAD</v>
      </c>
      <c r="S68" t="str">
        <f t="shared" si="17"/>
        <v>067 Survivoz BRIGHT PAD</v>
      </c>
    </row>
    <row r="69" spans="1:19" x14ac:dyDescent="0.25">
      <c r="A69" t="s">
        <v>5725</v>
      </c>
      <c r="B69" t="s">
        <v>4045</v>
      </c>
      <c r="C69" t="s">
        <v>4173</v>
      </c>
      <c r="D69" t="s">
        <v>4303</v>
      </c>
      <c r="E69" t="s">
        <v>4431</v>
      </c>
      <c r="F69" t="s">
        <v>4569</v>
      </c>
      <c r="G69" t="s">
        <v>5998</v>
      </c>
      <c r="H69" t="s">
        <v>6127</v>
      </c>
      <c r="I69" t="s">
        <v>6255</v>
      </c>
      <c r="K69" t="str">
        <f t="shared" si="18"/>
        <v>068 Vocastic PULSATING</v>
      </c>
      <c r="L69" t="str">
        <f t="shared" si="10"/>
        <v>068 FS Marimba MALLET</v>
      </c>
      <c r="M69" t="str">
        <f t="shared" si="11"/>
        <v>068 OilDrum Bass SYNTH BASS</v>
      </c>
      <c r="N69" t="str">
        <f t="shared" si="12"/>
        <v>068 JP Saw Lead SOFT LEAD</v>
      </c>
      <c r="O69" t="str">
        <f t="shared" si="13"/>
        <v>068 Fairy Factor OTHER SYNTH</v>
      </c>
      <c r="P69" t="str">
        <f t="shared" si="14"/>
        <v>068 Teky Drop PLUCKED</v>
      </c>
      <c r="Q69" t="str">
        <f t="shared" si="15"/>
        <v>068 FlamencoGt X AC.GUITAR</v>
      </c>
      <c r="R69" t="str">
        <f t="shared" si="16"/>
        <v>068 Bon Voyage HARD LEAD</v>
      </c>
      <c r="S69" t="str">
        <f t="shared" si="17"/>
        <v>068 Ring Worldz BRIGHT PAD</v>
      </c>
    </row>
    <row r="70" spans="1:19" x14ac:dyDescent="0.25">
      <c r="A70" t="s">
        <v>5726</v>
      </c>
      <c r="B70" t="s">
        <v>4046</v>
      </c>
      <c r="C70" t="s">
        <v>4174</v>
      </c>
      <c r="D70" t="s">
        <v>4304</v>
      </c>
      <c r="E70" t="s">
        <v>4432</v>
      </c>
      <c r="F70" t="s">
        <v>4570</v>
      </c>
      <c r="G70" t="s">
        <v>5999</v>
      </c>
      <c r="H70" t="s">
        <v>6128</v>
      </c>
      <c r="I70" t="s">
        <v>6256</v>
      </c>
      <c r="K70" t="str">
        <f t="shared" si="18"/>
        <v>069 Bon Voyage HARD LEAD</v>
      </c>
      <c r="L70" t="str">
        <f t="shared" si="10"/>
        <v>069 FS Xylo MALLET</v>
      </c>
      <c r="M70" t="str">
        <f t="shared" si="11"/>
        <v>069 Glide-iator SYNTH BASS</v>
      </c>
      <c r="N70" t="str">
        <f t="shared" si="12"/>
        <v>069 MG Sqr Lead SOFT LEAD</v>
      </c>
      <c r="O70" t="str">
        <f t="shared" si="13"/>
        <v>069 Tempest OTHER SYNTH</v>
      </c>
      <c r="P70" t="str">
        <f t="shared" si="14"/>
        <v>069 Pat is away PLUCKED</v>
      </c>
      <c r="Q70" t="str">
        <f t="shared" si="15"/>
        <v>069 El Toro Gtr AC.GUITAR</v>
      </c>
      <c r="R70" t="str">
        <f t="shared" si="16"/>
        <v>069 Xpress Lead HARD LEAD</v>
      </c>
      <c r="S70" t="str">
        <f t="shared" si="17"/>
        <v>069 Mashed!? :0) BRIGHT PAD</v>
      </c>
    </row>
    <row r="71" spans="1:19" x14ac:dyDescent="0.25">
      <c r="A71" t="s">
        <v>5727</v>
      </c>
      <c r="B71" t="s">
        <v>4047</v>
      </c>
      <c r="C71" t="s">
        <v>4175</v>
      </c>
      <c r="D71" t="s">
        <v>4305</v>
      </c>
      <c r="E71" t="s">
        <v>4433</v>
      </c>
      <c r="F71" t="s">
        <v>4571</v>
      </c>
      <c r="G71" t="s">
        <v>6000</v>
      </c>
      <c r="H71" t="s">
        <v>6129</v>
      </c>
      <c r="I71" t="s">
        <v>6257</v>
      </c>
      <c r="K71" t="str">
        <f t="shared" si="18"/>
        <v>070 Visionary BRIGHT PAD</v>
      </c>
      <c r="L71" t="str">
        <f t="shared" si="10"/>
        <v>070 Ethno Keys MALLET</v>
      </c>
      <c r="M71" t="str">
        <f t="shared" si="11"/>
        <v>070 MG+SubOsc Bs SYNTH BASS</v>
      </c>
      <c r="N71" t="str">
        <f t="shared" si="12"/>
        <v>070 Tristar SOFT LEAD</v>
      </c>
      <c r="O71" t="str">
        <f t="shared" si="13"/>
        <v>070 X-Racer OTHER SYNTH</v>
      </c>
      <c r="P71" t="str">
        <f t="shared" si="14"/>
        <v>070 FS Sitar 1 PLUCKED</v>
      </c>
      <c r="Q71" t="str">
        <f t="shared" si="15"/>
        <v>070 Dyna Nylon AC.GUITAR</v>
      </c>
      <c r="R71" t="str">
        <f t="shared" si="16"/>
        <v>070 BodyElectric HARD LEAD</v>
      </c>
      <c r="S71" t="str">
        <f t="shared" si="17"/>
        <v>070 Saturn Siren BRIGHT PAD</v>
      </c>
    </row>
    <row r="72" spans="1:19" x14ac:dyDescent="0.25">
      <c r="A72" t="s">
        <v>5728</v>
      </c>
      <c r="B72" t="s">
        <v>4048</v>
      </c>
      <c r="C72" t="s">
        <v>4176</v>
      </c>
      <c r="D72" t="s">
        <v>4306</v>
      </c>
      <c r="E72" t="s">
        <v>4434</v>
      </c>
      <c r="F72" t="s">
        <v>4572</v>
      </c>
      <c r="G72" t="s">
        <v>6001</v>
      </c>
      <c r="H72" t="s">
        <v>6130</v>
      </c>
      <c r="I72" t="s">
        <v>6258</v>
      </c>
      <c r="K72" t="str">
        <f t="shared" si="18"/>
        <v>071 So true... AC.PIANO</v>
      </c>
      <c r="L72" t="str">
        <f t="shared" si="10"/>
        <v>071 Synergy MLT MALLET</v>
      </c>
      <c r="M72" t="str">
        <f t="shared" si="11"/>
        <v>071 FS Unison Bs SYNTH BASS</v>
      </c>
      <c r="N72" t="str">
        <f t="shared" ref="N72:N129" si="19">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SUBSTITUTE(D72,"'","´"),"[0-9] AC.PIANO","AC.PIANO",-1),"[0-9] PULSATING","PULSATING"),"[0-9] KEYBOARDS","KEYBOARDS"),"[0-9] EL.PIANO","EL.PIANO"),"[0-9] BELL","BELL"),"[0-9] MALLET","MALLET"),"[0-9] ORGAN","ORGAN"),"[0-9] ACCORDION","ACCORDION"),"[0-9] HARMONICA","HARMONICA"),"[0-9] AC.GUITAR","AC.GUITAR"),"[0-9] EL.GUITAR","EL.GUITAR"),"[0-9] DIST.GUITAR","DIST.GUITAR"),"[0-9] BASS","BASS"),"[0-9] STRINGS","STRINGS"),"[0-9] SYNTH BASS","SYNTH BASS"),"[0-9] ORCHESTRA","ORCHESTRA"),"[0-9] WIND","WIND"),"[0-9] FLUTE","FLUTE"),"[0-9] AC.BRASS","AC.BRASS"),"[0-9] SYNTH BRASS","SYNTH BRASS"),"[0-9] SAX","SAX"),"[0-9] SOFT LEAD","SOFT LEAD"),"[0-9] HARD LEAD","HARD LEAD"),"[0-9] HIT&amp;STAB","HIT&amp;STAB"),"[0-9] TECHNO SYNTH","TECHNO SYNTH"),"[0-9] OTHER SYNTH","OTHER SYNTH"),"[0-9] VOX","VOX"),"[0-9] SOFT PAD","SOFT PAD"),"[0-9] BRIGHT PAD","BRIGHT PAD"),"[0-9] PLUCKED","PLUCKED"),"[0-9] ETHNIC","ETHNIC"),"[0-9] FRETTED","FRETTED"),"[0-9] SYNTH FX","SYNTH FX"),"[0-9] BEAT&amp;GROOVE","BEAT&amp;GROOVE"),"[0-9] PERCUSSION","PERCUSSION"),"[0-9] COMBINATION","COMBINATION")</f>
        <v>071 Mod Lead SOFT LEAD</v>
      </c>
      <c r="O72" t="str">
        <f t="shared" ref="O72:O129" si="20">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SUBSTITUTE(E72,"'","´"),"[0-9] AC.PIANO","AC.PIANO",-1),"[0-9] PULSATING","PULSATING"),"[0-9] KEYBOARDS","KEYBOARDS"),"[0-9] EL.PIANO","EL.PIANO"),"[0-9] BELL","BELL"),"[0-9] MALLET","MALLET"),"[0-9] ORGAN","ORGAN"),"[0-9] ACCORDION","ACCORDION"),"[0-9] HARMONICA","HARMONICA"),"[0-9] AC.GUITAR","AC.GUITAR"),"[0-9] EL.GUITAR","EL.GUITAR"),"[0-9] DIST.GUITAR","DIST.GUITAR"),"[0-9] BASS","BASS"),"[0-9] STRINGS","STRINGS"),"[0-9] SYNTH BASS","SYNTH BASS"),"[0-9] ORCHESTRA","ORCHESTRA"),"[0-9] WIND","WIND"),"[0-9] FLUTE","FLUTE"),"[0-9] AC.BRASS","AC.BRASS"),"[0-9] SYNTH BRASS","SYNTH BRASS"),"[0-9] SAX","SAX"),"[0-9] SOFT LEAD","SOFT LEAD"),"[0-9] HARD LEAD","HARD LEAD"),"[0-9] HIT&amp;STAB","HIT&amp;STAB"),"[0-9] TECHNO SYNTH","TECHNO SYNTH"),"[0-9] OTHER SYNTH","OTHER SYNTH"),"[0-9] VOX","VOX"),"[0-9] SOFT PAD","SOFT PAD"),"[0-9] BRIGHT PAD","BRIGHT PAD"),"[0-9] PLUCKED","PLUCKED"),"[0-9] ETHNIC","ETHNIC"),"[0-9] FRETTED","FRETTED"),"[0-9] SYNTH FX","SYNTH FX"),"[0-9] BEAT&amp;GROOVE","BEAT&amp;GROOVE"),"[0-9] PERCUSSION","PERCUSSION"),"[0-9] COMBINATION","COMBINATION")</f>
        <v>071 TB Booster OTHER SYNTH</v>
      </c>
      <c r="P72" t="str">
        <f t="shared" ref="P72:P129" si="21">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SUBSTITUTE(F72,"'","´"),"[0-9] AC.PIANO","AC.PIANO",-1),"[0-9] PULSATING","PULSATING"),"[0-9] KEYBOARDS","KEYBOARDS"),"[0-9] EL.PIANO","EL.PIANO"),"[0-9] BELL","BELL"),"[0-9] MALLET","MALLET"),"[0-9] ORGAN","ORGAN"),"[0-9] ACCORDION","ACCORDION"),"[0-9] HARMONICA","HARMONICA"),"[0-9] AC.GUITAR","AC.GUITAR"),"[0-9] EL.GUITAR","EL.GUITAR"),"[0-9] DIST.GUITAR","DIST.GUITAR"),"[0-9] BASS","BASS"),"[0-9] STRINGS","STRINGS"),"[0-9] SYNTH BASS","SYNTH BASS"),"[0-9] ORCHESTRA","ORCHESTRA"),"[0-9] WIND","WIND"),"[0-9] FLUTE","FLUTE"),"[0-9] AC.BRASS","AC.BRASS"),"[0-9] SYNTH BRASS","SYNTH BRASS"),"[0-9] SAX","SAX"),"[0-9] SOFT LEAD","SOFT LEAD"),"[0-9] HARD LEAD","HARD LEAD"),"[0-9] HIT&amp;STAB","HIT&amp;STAB"),"[0-9] TECHNO SYNTH","TECHNO SYNTH"),"[0-9] OTHER SYNTH","OTHER SYNTH"),"[0-9] VOX","VOX"),"[0-9] SOFT PAD","SOFT PAD"),"[0-9] BRIGHT PAD","BRIGHT PAD"),"[0-9] PLUCKED","PLUCKED"),"[0-9] ETHNIC","ETHNIC"),"[0-9] FRETTED","FRETTED"),"[0-9] SYNTH FX","SYNTH FX"),"[0-9] BEAT&amp;GROOVE","BEAT&amp;GROOVE"),"[0-9] PERCUSSION","PERCUSSION"),"[0-9] COMBINATION","COMBINATION")</f>
        <v>071 FS Sitar 2 PLUCKED</v>
      </c>
      <c r="Q72" t="str">
        <f t="shared" ref="Q72:Q129" si="22">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SUBSTITUTE(G72,"'","´"),"[0-9] AC.PIANO","AC.PIANO",-1),"[0-9] PULSATING","PULSATING"),"[0-9] KEYBOARDS","KEYBOARDS"),"[0-9] EL.PIANO","EL.PIANO"),"[0-9] BELL","BELL"),"[0-9] MALLET","MALLET"),"[0-9] ORGAN","ORGAN"),"[0-9] ACCORDION","ACCORDION"),"[0-9] HARMONICA","HARMONICA"),"[0-9] AC.GUITAR","AC.GUITAR"),"[0-9] EL.GUITAR","EL.GUITAR"),"[0-9] DIST.GUITAR","DIST.GUITAR"),"[0-9] BASS","BASS"),"[0-9] STRINGS","STRINGS"),"[0-9] SYNTH BASS","SYNTH BASS"),"[0-9] ORCHESTRA","ORCHESTRA"),"[0-9] WIND","WIND"),"[0-9] FLUTE","FLUTE"),"[0-9] AC.BRASS","AC.BRASS"),"[0-9] SYNTH BRASS","SYNTH BRASS"),"[0-9] SAX","SAX"),"[0-9] SOFT LEAD","SOFT LEAD"),"[0-9] HARD LEAD","HARD LEAD"),"[0-9] HIT&amp;STAB","HIT&amp;STAB"),"[0-9] TECHNO SYNTH","TECHNO SYNTH"),"[0-9] OTHER SYNTH","OTHER SYNTH"),"[0-9] VOX","VOX"),"[0-9] SOFT PAD","SOFT PAD"),"[0-9] BRIGHT PAD","BRIGHT PAD"),"[0-9] PLUCKED","PLUCKED"),"[0-9] ETHNIC","ETHNIC"),"[0-9] FRETTED","FRETTED"),"[0-9] SYNTH FX","SYNTH FX"),"[0-9] BEAT&amp;GROOVE","BEAT&amp;GROOVE"),"[0-9] PERCUSSION","PERCUSSION"),"[0-9] COMBINATION","COMBINATION")</f>
        <v>071 NylonGt /HO AC.GUITAR</v>
      </c>
      <c r="R72" t="str">
        <f t="shared" ref="R72:R129" si="23">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SUBSTITUTE(H72,"'","´"),"[0-9] AC.PIANO","AC.PIANO",-1),"[0-9] PULSATING","PULSATING"),"[0-9] KEYBOARDS","KEYBOARDS"),"[0-9] EL.PIANO","EL.PIANO"),"[0-9] BELL","BELL"),"[0-9] MALLET","MALLET"),"[0-9] ORGAN","ORGAN"),"[0-9] ACCORDION","ACCORDION"),"[0-9] HARMONICA","HARMONICA"),"[0-9] AC.GUITAR","AC.GUITAR"),"[0-9] EL.GUITAR","EL.GUITAR"),"[0-9] DIST.GUITAR","DIST.GUITAR"),"[0-9] BASS","BASS"),"[0-9] STRINGS","STRINGS"),"[0-9] SYNTH BASS","SYNTH BASS"),"[0-9] ORCHESTRA","ORCHESTRA"),"[0-9] WIND","WIND"),"[0-9] FLUTE","FLUTE"),"[0-9] AC.BRASS","AC.BRASS"),"[0-9] SYNTH BRASS","SYNTH BRASS"),"[0-9] SAX","SAX"),"[0-9] SOFT LEAD","SOFT LEAD"),"[0-9] HARD LEAD","HARD LEAD"),"[0-9] HIT&amp;STAB","HIT&amp;STAB"),"[0-9] TECHNO SYNTH","TECHNO SYNTH"),"[0-9] OTHER SYNTH","OTHER SYNTH"),"[0-9] VOX","VOX"),"[0-9] SOFT PAD","SOFT PAD"),"[0-9] BRIGHT PAD","BRIGHT PAD"),"[0-9] PLUCKED","PLUCKED"),"[0-9] ETHNIC","ETHNIC"),"[0-9] FRETTED","FRETTED"),"[0-9] SYNTH FX","SYNTH FX"),"[0-9] BEAT&amp;GROOVE","BEAT&amp;GROOVE"),"[0-9] PERCUSSION","PERCUSSION"),"[0-9] COMBINATION","COMBINATION")</f>
        <v>071 Classic Lead HARD LEAD</v>
      </c>
      <c r="S72" t="str">
        <f t="shared" ref="S72:S129" si="24">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SUBSTITUTE(I72,"'","´"),"[0-9] AC.PIANO","AC.PIANO",-1),"[0-9] PULSATING","PULSATING"),"[0-9] KEYBOARDS","KEYBOARDS"),"[0-9] EL.PIANO","EL.PIANO"),"[0-9] BELL","BELL"),"[0-9] MALLET","MALLET"),"[0-9] ORGAN","ORGAN"),"[0-9] ACCORDION","ACCORDION"),"[0-9] HARMONICA","HARMONICA"),"[0-9] AC.GUITAR","AC.GUITAR"),"[0-9] EL.GUITAR","EL.GUITAR"),"[0-9] DIST.GUITAR","DIST.GUITAR"),"[0-9] BASS","BASS"),"[0-9] STRINGS","STRINGS"),"[0-9] SYNTH BASS","SYNTH BASS"),"[0-9] ORCHESTRA","ORCHESTRA"),"[0-9] WIND","WIND"),"[0-9] FLUTE","FLUTE"),"[0-9] AC.BRASS","AC.BRASS"),"[0-9] SYNTH BRASS","SYNTH BRASS"),"[0-9] SAX","SAX"),"[0-9] SOFT LEAD","SOFT LEAD"),"[0-9] HARD LEAD","HARD LEAD"),"[0-9] HIT&amp;STAB","HIT&amp;STAB"),"[0-9] TECHNO SYNTH","TECHNO SYNTH"),"[0-9] OTHER SYNTH","OTHER SYNTH"),"[0-9] VOX","VOX"),"[0-9] SOFT PAD","SOFT PAD"),"[0-9] BRIGHT PAD","BRIGHT PAD"),"[0-9] PLUCKED","PLUCKED"),"[0-9] ETHNIC","ETHNIC"),"[0-9] FRETTED","FRETTED"),"[0-9] SYNTH FX","SYNTH FX"),"[0-9] BEAT&amp;GROOVE","BEAT&amp;GROOVE"),"[0-9] PERCUSSION","PERCUSSION"),"[0-9] COMBINATION","COMBINATION")</f>
        <v>071 Side Band X BRIGHT PAD</v>
      </c>
    </row>
    <row r="73" spans="1:19" x14ac:dyDescent="0.25">
      <c r="A73" t="s">
        <v>5729</v>
      </c>
      <c r="B73" t="s">
        <v>4049</v>
      </c>
      <c r="C73" t="s">
        <v>4177</v>
      </c>
      <c r="D73" t="s">
        <v>4307</v>
      </c>
      <c r="E73" t="s">
        <v>4435</v>
      </c>
      <c r="F73" t="s">
        <v>4573</v>
      </c>
      <c r="G73" t="s">
        <v>6002</v>
      </c>
      <c r="H73" t="s">
        <v>6131</v>
      </c>
      <c r="I73" t="s">
        <v>6259</v>
      </c>
      <c r="K73" t="str">
        <f t="shared" si="18"/>
        <v>072 Are U ready? PULSATING</v>
      </c>
      <c r="L73" t="str">
        <f t="shared" si="10"/>
        <v>072 Steel Drums MALLET</v>
      </c>
      <c r="M73" t="str">
        <f t="shared" si="11"/>
        <v>072 TexturedBusy SYNTH BASS</v>
      </c>
      <c r="N73" t="str">
        <f t="shared" si="19"/>
        <v>072 Digital Ld 1 SOFT LEAD</v>
      </c>
      <c r="O73" t="str">
        <f t="shared" si="20"/>
        <v>072 Syn-Orch/Mod OTHER SYNTH</v>
      </c>
      <c r="P73" t="str">
        <f t="shared" si="21"/>
        <v>072 Sitar on C PLUCKED</v>
      </c>
      <c r="Q73" t="str">
        <f t="shared" si="22"/>
        <v>072 Nylon 4way AC.GUITAR</v>
      </c>
      <c r="R73" t="str">
        <f t="shared" si="23"/>
        <v>072 Optik’Synth HARD LEAD</v>
      </c>
      <c r="S73" t="str">
        <f t="shared" si="24"/>
        <v>072 Mashy Scene BRIGHT PAD</v>
      </c>
    </row>
    <row r="74" spans="1:19" x14ac:dyDescent="0.25">
      <c r="A74" t="s">
        <v>5730</v>
      </c>
      <c r="B74" t="s">
        <v>4050</v>
      </c>
      <c r="C74" t="s">
        <v>4178</v>
      </c>
      <c r="D74" t="s">
        <v>4308</v>
      </c>
      <c r="E74" t="s">
        <v>4436</v>
      </c>
      <c r="F74" t="s">
        <v>4574</v>
      </c>
      <c r="G74" t="s">
        <v>6003</v>
      </c>
      <c r="H74" t="s">
        <v>6132</v>
      </c>
      <c r="I74" t="s">
        <v>6260</v>
      </c>
      <c r="K74" t="str">
        <f t="shared" si="18"/>
        <v>073 Mellow Tron STRINGS</v>
      </c>
      <c r="L74" t="str">
        <f t="shared" si="10"/>
        <v>073 Xylosizer MALLET</v>
      </c>
      <c r="M74" t="str">
        <f t="shared" si="11"/>
        <v>073 Detune Bass SYNTH BASS</v>
      </c>
      <c r="N74" t="str">
        <f t="shared" si="19"/>
        <v>073 Chubby Lead SOFT LEAD</v>
      </c>
      <c r="O74" t="str">
        <f t="shared" si="20"/>
        <v>073 Pressyn OTHER SYNTH</v>
      </c>
      <c r="P74" t="str">
        <f t="shared" si="21"/>
        <v>073 Sitar Baby PLUCKED</v>
      </c>
      <c r="Q74" t="str">
        <f t="shared" si="22"/>
        <v>073 Nyl-Intro AC.GUITAR</v>
      </c>
      <c r="R74" t="str">
        <f t="shared" si="23"/>
        <v>073 Feat Lead HARD LEAD</v>
      </c>
      <c r="S74" t="str">
        <f t="shared" si="24"/>
        <v>073 Spr SideBand BRIGHT PAD</v>
      </c>
    </row>
    <row r="75" spans="1:19" x14ac:dyDescent="0.25">
      <c r="A75" t="s">
        <v>5731</v>
      </c>
      <c r="B75" t="s">
        <v>4051</v>
      </c>
      <c r="C75" t="s">
        <v>4179</v>
      </c>
      <c r="D75" t="s">
        <v>4309</v>
      </c>
      <c r="E75" t="s">
        <v>4437</v>
      </c>
      <c r="F75" t="s">
        <v>4575</v>
      </c>
      <c r="G75" t="s">
        <v>6004</v>
      </c>
      <c r="H75" t="s">
        <v>6133</v>
      </c>
      <c r="I75" t="s">
        <v>6261</v>
      </c>
      <c r="K75" t="str">
        <f t="shared" si="18"/>
        <v>074 Shangri-La SYNTH FX</v>
      </c>
      <c r="L75" t="str">
        <f t="shared" si="10"/>
        <v>074 Toy Box MALLET</v>
      </c>
      <c r="M75" t="str">
        <f t="shared" si="11"/>
        <v>074 Lo Bass SYNTH BASS</v>
      </c>
      <c r="N75" t="str">
        <f t="shared" si="19"/>
        <v>074 Sneaky Leady SOFT LEAD</v>
      </c>
      <c r="O75" t="str">
        <f t="shared" si="20"/>
        <v>074 High Five OTHER SYNTH</v>
      </c>
      <c r="P75" t="str">
        <f t="shared" si="21"/>
        <v>074 EasternDlite PLUCKED</v>
      </c>
      <c r="Q75" t="str">
        <f t="shared" si="22"/>
        <v>074 Nylon Dreams AC.GUITAR</v>
      </c>
      <c r="R75" t="str">
        <f t="shared" si="23"/>
        <v>074 X Sync Mod HARD LEAD</v>
      </c>
      <c r="S75" t="str">
        <f t="shared" si="24"/>
        <v>074 Digitvox BRIGHT PAD</v>
      </c>
    </row>
    <row r="76" spans="1:19" x14ac:dyDescent="0.25">
      <c r="A76" t="s">
        <v>5732</v>
      </c>
      <c r="B76" t="s">
        <v>4052</v>
      </c>
      <c r="C76" t="s">
        <v>4180</v>
      </c>
      <c r="D76" t="s">
        <v>4310</v>
      </c>
      <c r="E76" t="s">
        <v>4438</v>
      </c>
      <c r="F76" t="s">
        <v>4576</v>
      </c>
      <c r="G76" t="s">
        <v>6005</v>
      </c>
      <c r="H76" t="s">
        <v>6134</v>
      </c>
      <c r="I76" t="s">
        <v>6262</v>
      </c>
      <c r="K76" t="str">
        <f t="shared" si="18"/>
        <v>075 BluesHrp V/S HARMONICA</v>
      </c>
      <c r="L76" t="str">
        <f t="shared" si="10"/>
        <v>075 FullDraw Org ORGAN</v>
      </c>
      <c r="M76" t="str">
        <f t="shared" si="11"/>
        <v>075 SQ Pan SYNTH BASS</v>
      </c>
      <c r="N76" t="str">
        <f t="shared" si="19"/>
        <v>075 SoloNzPeaker SOFT LEAD</v>
      </c>
      <c r="O76" t="str">
        <f t="shared" si="20"/>
        <v>075 4DaCommonMan OTHER SYNTH</v>
      </c>
      <c r="P76" t="str">
        <f t="shared" si="21"/>
        <v>075 Elec Sitar PLUCKED</v>
      </c>
      <c r="Q76" t="str">
        <f t="shared" si="22"/>
        <v>075 With Love AC.GUITAR</v>
      </c>
      <c r="R76" t="str">
        <f t="shared" si="23"/>
        <v>075 SBF Lead HARD LEAD</v>
      </c>
      <c r="S76" t="str">
        <f t="shared" si="24"/>
        <v>075 Oral eXam BRIGHT PAD</v>
      </c>
    </row>
    <row r="77" spans="1:19" x14ac:dyDescent="0.25">
      <c r="A77" t="s">
        <v>5733</v>
      </c>
      <c r="B77" t="s">
        <v>4053</v>
      </c>
      <c r="C77" t="s">
        <v>4181</v>
      </c>
      <c r="D77" t="s">
        <v>4311</v>
      </c>
      <c r="E77" t="s">
        <v>4439</v>
      </c>
      <c r="F77" t="s">
        <v>4577</v>
      </c>
      <c r="G77" t="s">
        <v>6006</v>
      </c>
      <c r="H77" t="s">
        <v>6135</v>
      </c>
      <c r="I77" t="s">
        <v>6263</v>
      </c>
      <c r="K77" t="str">
        <f t="shared" si="18"/>
        <v>076 EuronalSynth SOFT LEAD</v>
      </c>
      <c r="L77" t="str">
        <f t="shared" si="10"/>
        <v>076 StakDraw Org ORGAN</v>
      </c>
      <c r="M77" t="str">
        <f t="shared" si="11"/>
        <v>076 FS GarageBs1 SYNTH BASS</v>
      </c>
      <c r="N77" t="str">
        <f t="shared" si="19"/>
        <v>076 Clone Zone SOFT LEAD</v>
      </c>
      <c r="O77" t="str">
        <f t="shared" si="20"/>
        <v>076 Orgaenia OTHER SYNTH</v>
      </c>
      <c r="P77" t="str">
        <f t="shared" si="21"/>
        <v>076 Neo Sitar PLUCKED</v>
      </c>
      <c r="Q77" t="str">
        <f t="shared" si="22"/>
        <v>076 Amore Story AC.GUITAR</v>
      </c>
      <c r="R77" t="str">
        <f t="shared" si="23"/>
        <v>076 Hard Sync HARD LEAD</v>
      </c>
      <c r="S77" t="str">
        <f t="shared" si="24"/>
        <v>076 Timeline BRIGHT PAD</v>
      </c>
    </row>
    <row r="78" spans="1:19" x14ac:dyDescent="0.25">
      <c r="A78" t="s">
        <v>5734</v>
      </c>
      <c r="B78" t="s">
        <v>4054</v>
      </c>
      <c r="C78" t="s">
        <v>4182</v>
      </c>
      <c r="D78" t="s">
        <v>4312</v>
      </c>
      <c r="E78" t="s">
        <v>4440</v>
      </c>
      <c r="F78" t="s">
        <v>4578</v>
      </c>
      <c r="G78" t="s">
        <v>6007</v>
      </c>
      <c r="H78" t="s">
        <v>6136</v>
      </c>
      <c r="I78" t="s">
        <v>6264</v>
      </c>
      <c r="K78" t="str">
        <f t="shared" si="18"/>
        <v>077 Alto Sax SAX</v>
      </c>
      <c r="L78" t="str">
        <f t="shared" si="10"/>
        <v>077 FullStop Org ORGAN</v>
      </c>
      <c r="M78" t="str">
        <f t="shared" si="11"/>
        <v>077 FS GarageBs2 SYNTH BASS</v>
      </c>
      <c r="N78" t="str">
        <f t="shared" si="19"/>
        <v>077 Legato Tkno SOFT LEAD</v>
      </c>
      <c r="O78" t="str">
        <f t="shared" si="20"/>
        <v>077 Sleeper OTHER SYNTH</v>
      </c>
      <c r="P78" t="str">
        <f t="shared" si="21"/>
        <v>077 Bosporus PLUCKED</v>
      </c>
      <c r="Q78" t="str">
        <f t="shared" si="22"/>
        <v>077 Interlude AC.GUITAR</v>
      </c>
      <c r="R78" t="str">
        <f t="shared" si="23"/>
        <v>077 Rezo Sync HARD LEAD</v>
      </c>
      <c r="S78" t="str">
        <f t="shared" si="24"/>
        <v>077 Whisper Pad BRIGHT PAD</v>
      </c>
    </row>
    <row r="79" spans="1:19" x14ac:dyDescent="0.25">
      <c r="A79" t="s">
        <v>5735</v>
      </c>
      <c r="B79" t="s">
        <v>4055</v>
      </c>
      <c r="C79" t="s">
        <v>4183</v>
      </c>
      <c r="D79" t="s">
        <v>4313</v>
      </c>
      <c r="E79" t="s">
        <v>4441</v>
      </c>
      <c r="F79" t="s">
        <v>4579</v>
      </c>
      <c r="G79" t="s">
        <v>6008</v>
      </c>
      <c r="H79" t="s">
        <v>6137</v>
      </c>
      <c r="I79" t="s">
        <v>6265</v>
      </c>
      <c r="K79" t="str">
        <f t="shared" si="18"/>
        <v>078 SBF Nozer TECHNO SYNTH</v>
      </c>
      <c r="L79" t="str">
        <f t="shared" si="10"/>
        <v>078 FS Perc Org ORGAN</v>
      </c>
      <c r="M79" t="str">
        <f t="shared" si="11"/>
        <v>078 Sub Sonic SYNTH BASS</v>
      </c>
      <c r="N79" t="str">
        <f t="shared" si="19"/>
        <v>078 DC Triangle HARD LEAD</v>
      </c>
      <c r="O79" t="str">
        <f t="shared" si="20"/>
        <v>078 Sugar Synth OTHER SYNTH</v>
      </c>
      <c r="P79" t="str">
        <f t="shared" si="21"/>
        <v>078 Santur Stack PLUCKED</v>
      </c>
      <c r="Q79" t="str">
        <f t="shared" si="22"/>
        <v>078 Sweet Tears AC.GUITAR</v>
      </c>
      <c r="R79" t="str">
        <f t="shared" si="23"/>
        <v>078 Wire Sync HARD LEAD</v>
      </c>
      <c r="S79" t="str">
        <f t="shared" si="24"/>
        <v>078 Orchipad BRIGHT PAD</v>
      </c>
    </row>
    <row r="80" spans="1:19" x14ac:dyDescent="0.25">
      <c r="A80" t="s">
        <v>5736</v>
      </c>
      <c r="B80" t="s">
        <v>4056</v>
      </c>
      <c r="C80" t="s">
        <v>4184</v>
      </c>
      <c r="D80" t="s">
        <v>4314</v>
      </c>
      <c r="E80" t="s">
        <v>4442</v>
      </c>
      <c r="F80" t="s">
        <v>4580</v>
      </c>
      <c r="G80" t="s">
        <v>6009</v>
      </c>
      <c r="H80" t="s">
        <v>6138</v>
      </c>
      <c r="I80" t="s">
        <v>6266</v>
      </c>
      <c r="K80" t="str">
        <f t="shared" si="18"/>
        <v>079 Nu Romance OTHER SYNTH</v>
      </c>
      <c r="L80" t="str">
        <f t="shared" si="10"/>
        <v>079 Euro Organ ORGAN</v>
      </c>
      <c r="M80" t="str">
        <f t="shared" si="11"/>
        <v>079 FS Jungle Bs SYNTH BASS</v>
      </c>
      <c r="N80" t="str">
        <f t="shared" si="19"/>
        <v>079 Sqr-Seqence HARD LEAD</v>
      </c>
      <c r="O80" t="str">
        <f t="shared" si="20"/>
        <v>079 Ice Palace OTHER SYNTH</v>
      </c>
      <c r="P80" t="str">
        <f t="shared" si="21"/>
        <v>079 Aerial Harp PLUCKED</v>
      </c>
      <c r="Q80" t="str">
        <f t="shared" si="22"/>
        <v>079 WithALtlHelp AC.GUITAR</v>
      </c>
      <c r="R80" t="str">
        <f t="shared" si="23"/>
        <v>079 Distro FXM HARD LEAD</v>
      </c>
      <c r="S80" t="str">
        <f t="shared" si="24"/>
        <v>079 Visionary BRIGHT PAD</v>
      </c>
    </row>
    <row r="81" spans="1:19" x14ac:dyDescent="0.25">
      <c r="A81" t="s">
        <v>5737</v>
      </c>
      <c r="B81" t="s">
        <v>4057</v>
      </c>
      <c r="C81" t="s">
        <v>4185</v>
      </c>
      <c r="D81" t="s">
        <v>4315</v>
      </c>
      <c r="E81" t="s">
        <v>4443</v>
      </c>
      <c r="F81" t="s">
        <v>4581</v>
      </c>
      <c r="G81" t="s">
        <v>6010</v>
      </c>
      <c r="H81" t="s">
        <v>6139</v>
      </c>
      <c r="I81" t="s">
        <v>6267</v>
      </c>
      <c r="K81" t="str">
        <f t="shared" si="18"/>
        <v>080 Ring Worldz BRIGHT PAD</v>
      </c>
      <c r="L81" t="str">
        <f t="shared" si="10"/>
        <v>080 Perky Organ ORGAN</v>
      </c>
      <c r="M81" t="str">
        <f t="shared" si="11"/>
        <v>080 R&amp;B Bass 4 SYNTH BASS</v>
      </c>
      <c r="N81" t="str">
        <f t="shared" si="19"/>
        <v>080 Griggley HARD LEAD</v>
      </c>
      <c r="O81" t="str">
        <f t="shared" si="20"/>
        <v>080 Story Harp OTHER SYNTH</v>
      </c>
      <c r="P81" t="str">
        <f t="shared" si="21"/>
        <v>080 Harpiness PLUCKED</v>
      </c>
      <c r="Q81" t="str">
        <f t="shared" si="22"/>
        <v>080 Double Track EL.GUITAR</v>
      </c>
      <c r="R81" t="str">
        <f t="shared" si="23"/>
        <v>080 Epic Lead HARD LEAD</v>
      </c>
      <c r="S81" t="str">
        <f t="shared" si="24"/>
        <v>080 Rave Stringy BRIGHT PAD</v>
      </c>
    </row>
    <row r="82" spans="1:19" x14ac:dyDescent="0.25">
      <c r="A82" t="s">
        <v>5738</v>
      </c>
      <c r="B82" t="s">
        <v>4058</v>
      </c>
      <c r="C82" t="s">
        <v>4186</v>
      </c>
      <c r="D82" t="s">
        <v>4316</v>
      </c>
      <c r="E82" t="s">
        <v>4444</v>
      </c>
      <c r="F82" t="s">
        <v>4582</v>
      </c>
      <c r="G82" t="s">
        <v>6011</v>
      </c>
      <c r="H82" t="s">
        <v>6140</v>
      </c>
      <c r="I82" t="s">
        <v>6268</v>
      </c>
      <c r="K82" t="str">
        <f t="shared" si="18"/>
        <v>081 Rezo Sync HARD LEAD</v>
      </c>
      <c r="L82" t="str">
        <f t="shared" si="10"/>
        <v>081 LoFi PercOrg ORGAN</v>
      </c>
      <c r="M82" t="str">
        <f t="shared" si="11"/>
        <v>081 Beepin Bass SYNTH BASS</v>
      </c>
      <c r="N82" t="str">
        <f t="shared" si="19"/>
        <v>081 Pure Square HARD LEAD</v>
      </c>
      <c r="O82" t="str">
        <f t="shared" si="20"/>
        <v>081 LostParadise OTHER SYNTH</v>
      </c>
      <c r="P82" t="str">
        <f t="shared" si="21"/>
        <v>081 TroubadorEns PLUCKED</v>
      </c>
      <c r="Q82" t="str">
        <f t="shared" si="22"/>
        <v>081 Mystic Gtr EL.GUITAR</v>
      </c>
      <c r="R82" t="str">
        <f t="shared" si="23"/>
        <v>081 Crumble Syn HARD LEAD</v>
      </c>
      <c r="S82" t="str">
        <f t="shared" si="24"/>
        <v>081 InfinitePhsr BRIGHT PAD</v>
      </c>
    </row>
    <row r="83" spans="1:19" x14ac:dyDescent="0.25">
      <c r="A83" t="s">
        <v>5739</v>
      </c>
      <c r="B83" t="s">
        <v>4059</v>
      </c>
      <c r="C83" t="s">
        <v>4187</v>
      </c>
      <c r="D83" t="s">
        <v>4317</v>
      </c>
      <c r="E83" t="s">
        <v>4445</v>
      </c>
      <c r="F83" t="s">
        <v>4583</v>
      </c>
      <c r="G83" t="s">
        <v>6012</v>
      </c>
      <c r="H83" t="s">
        <v>6141</v>
      </c>
      <c r="I83" t="s">
        <v>6269</v>
      </c>
      <c r="K83" t="str">
        <f t="shared" si="18"/>
        <v>082 Over-D6 KEYBOARDS</v>
      </c>
      <c r="L83" t="str">
        <f t="shared" si="10"/>
        <v>082 Rochno Org ORGAN</v>
      </c>
      <c r="M83" t="str">
        <f t="shared" si="11"/>
        <v>082 MC-TB Bass SYNTH BASS</v>
      </c>
      <c r="N83" t="str">
        <f t="shared" si="19"/>
        <v>082 Legato Saw HARD LEAD</v>
      </c>
      <c r="O83" t="str">
        <f t="shared" si="20"/>
        <v>082 Magnetic 5th OTHER SYNTH</v>
      </c>
      <c r="P83" t="str">
        <f t="shared" si="21"/>
        <v>082 Jamisen PLUCKED</v>
      </c>
      <c r="Q83" t="str">
        <f t="shared" si="22"/>
        <v>082 Cut Thru Wah EL.GUITAR</v>
      </c>
      <c r="R83" t="str">
        <f t="shared" si="23"/>
        <v>082 SlippingSaws HARD LEAD</v>
      </c>
      <c r="S83" t="str">
        <f t="shared" si="24"/>
        <v>082 Jupiter 2004 BRIGHT PAD</v>
      </c>
    </row>
    <row r="84" spans="1:19" x14ac:dyDescent="0.25">
      <c r="A84" t="s">
        <v>5740</v>
      </c>
      <c r="B84" t="s">
        <v>4060</v>
      </c>
      <c r="C84" t="s">
        <v>4188</v>
      </c>
      <c r="D84" t="s">
        <v>4318</v>
      </c>
      <c r="E84" t="s">
        <v>4446</v>
      </c>
      <c r="F84" t="s">
        <v>4584</v>
      </c>
      <c r="G84" t="s">
        <v>6013</v>
      </c>
      <c r="H84" t="s">
        <v>6142</v>
      </c>
      <c r="I84" t="s">
        <v>6270</v>
      </c>
      <c r="K84" t="str">
        <f t="shared" si="18"/>
        <v>083 Orange Skin HIT&amp;STAB</v>
      </c>
      <c r="L84" t="str">
        <f t="shared" si="10"/>
        <v>083 R&amp;B Organ 1 ORGAN</v>
      </c>
      <c r="M84" t="str">
        <f t="shared" si="11"/>
        <v>083 Acdg Bass SYNTH BASS</v>
      </c>
      <c r="N84" t="str">
        <f t="shared" si="19"/>
        <v>083 Lone Prophat HARD LEAD</v>
      </c>
      <c r="O84" t="str">
        <f t="shared" si="20"/>
        <v>083 Jazz Doos VOX</v>
      </c>
      <c r="P84" t="str">
        <f t="shared" si="21"/>
        <v>083 Koto PLUCKED</v>
      </c>
      <c r="Q84" t="str">
        <f t="shared" si="22"/>
        <v>083 GuitaratiuG EL.GUITAR</v>
      </c>
      <c r="R84" t="str">
        <f t="shared" si="23"/>
        <v>083 Bag Lead HARD LEAD</v>
      </c>
      <c r="S84" t="str">
        <f t="shared" si="24"/>
        <v>083 Light Phaser BRIGHT PAD</v>
      </c>
    </row>
    <row r="85" spans="1:19" x14ac:dyDescent="0.25">
      <c r="A85" t="s">
        <v>5741</v>
      </c>
      <c r="B85" t="s">
        <v>4061</v>
      </c>
      <c r="C85" t="s">
        <v>4189</v>
      </c>
      <c r="D85" t="s">
        <v>4319</v>
      </c>
      <c r="E85" t="s">
        <v>4447</v>
      </c>
      <c r="F85" t="s">
        <v>4585</v>
      </c>
      <c r="G85" t="s">
        <v>6014</v>
      </c>
      <c r="H85" t="s">
        <v>6143</v>
      </c>
      <c r="I85" t="s">
        <v>6271</v>
      </c>
      <c r="K85" t="str">
        <f t="shared" si="18"/>
        <v>084 Atk Flute FLUTE</v>
      </c>
      <c r="L85" t="str">
        <f t="shared" si="10"/>
        <v>084 R&amp;B Organ 2 ORGAN</v>
      </c>
      <c r="M85" t="str">
        <f t="shared" si="11"/>
        <v>084 Loco Voco SYNTH BASS</v>
      </c>
      <c r="N85" t="str">
        <f t="shared" si="19"/>
        <v>084 Porta SoloLd HARD LEAD</v>
      </c>
      <c r="O85" t="str">
        <f t="shared" si="20"/>
        <v>084 Beat Vox VOX</v>
      </c>
      <c r="P85" t="str">
        <f t="shared" si="21"/>
        <v>084 Monsoon PLUCKED</v>
      </c>
      <c r="Q85" t="str">
        <f t="shared" si="22"/>
        <v>084 WahGt Riff EL.GUITAR</v>
      </c>
      <c r="R85" t="str">
        <f t="shared" si="23"/>
        <v>084 Dirty Saw HARD LEAD</v>
      </c>
      <c r="S85" t="str">
        <f t="shared" si="24"/>
        <v>084 Life-on BRIGHT PAD</v>
      </c>
    </row>
    <row r="86" spans="1:19" x14ac:dyDescent="0.25">
      <c r="A86" t="s">
        <v>5742</v>
      </c>
      <c r="B86" t="s">
        <v>4062</v>
      </c>
      <c r="C86" t="s">
        <v>4190</v>
      </c>
      <c r="D86" t="s">
        <v>4320</v>
      </c>
      <c r="E86" t="s">
        <v>4448</v>
      </c>
      <c r="F86" t="s">
        <v>4586</v>
      </c>
      <c r="G86" t="s">
        <v>6015</v>
      </c>
      <c r="H86" t="s">
        <v>6144</v>
      </c>
      <c r="I86" t="s">
        <v>6272</v>
      </c>
      <c r="K86" t="str">
        <f t="shared" si="18"/>
        <v>085 * FiestaBeat BEAT&amp;GROOVE</v>
      </c>
      <c r="L86" t="str">
        <f t="shared" si="10"/>
        <v>085 Zepix Organ ORGAN</v>
      </c>
      <c r="M86" t="str">
        <f t="shared" si="11"/>
        <v>085 TBasic SYNTH BASS</v>
      </c>
      <c r="N86" t="str">
        <f t="shared" si="19"/>
        <v>085 FS Saw Ld 1 HARD LEAD</v>
      </c>
      <c r="O86" t="str">
        <f t="shared" si="20"/>
        <v>085 Scat Beats VOX</v>
      </c>
      <c r="P86" t="str">
        <f t="shared" si="21"/>
        <v>085 Bend Koto PLUCKED</v>
      </c>
      <c r="Q86" t="str">
        <f t="shared" si="22"/>
        <v>085 Larsen /Aft DIST.GUITAR</v>
      </c>
      <c r="R86" t="str">
        <f t="shared" si="23"/>
        <v>085 Wezcoast HARD LEAD</v>
      </c>
      <c r="S86" t="str">
        <f t="shared" si="24"/>
        <v>085 Polar Morn BRIGHT PAD</v>
      </c>
    </row>
    <row r="87" spans="1:19" x14ac:dyDescent="0.25">
      <c r="A87" t="s">
        <v>5743</v>
      </c>
      <c r="B87" t="s">
        <v>4063</v>
      </c>
      <c r="C87" t="s">
        <v>4191</v>
      </c>
      <c r="D87" t="s">
        <v>4321</v>
      </c>
      <c r="E87" t="s">
        <v>4449</v>
      </c>
      <c r="F87" t="s">
        <v>4587</v>
      </c>
      <c r="G87" t="s">
        <v>6016</v>
      </c>
      <c r="H87" t="s">
        <v>6145</v>
      </c>
      <c r="I87" t="s">
        <v>6273</v>
      </c>
      <c r="K87" t="str">
        <f t="shared" si="18"/>
        <v>086 Lounge Kit COMBINATION</v>
      </c>
      <c r="L87" t="str">
        <f t="shared" si="10"/>
        <v>086 Peep Durple ORGAN</v>
      </c>
      <c r="M87" t="str">
        <f t="shared" si="11"/>
        <v>086 Unplug it! SYNTH BASS</v>
      </c>
      <c r="N87" t="str">
        <f t="shared" si="19"/>
        <v>086 FS Saw Ld 2 HARD LEAD</v>
      </c>
      <c r="O87" t="str">
        <f t="shared" si="20"/>
        <v>086 Choir Aahs 1 VOX</v>
      </c>
      <c r="P87" t="str">
        <f t="shared" si="21"/>
        <v>086 LongDistance ETHNIC</v>
      </c>
      <c r="Q87" t="str">
        <f t="shared" si="22"/>
        <v>086 Darmstrat X DIST.GUITAR</v>
      </c>
      <c r="R87" t="str">
        <f t="shared" si="23"/>
        <v>086 X-Saw Lead HARD LEAD</v>
      </c>
      <c r="S87" t="str">
        <f t="shared" si="24"/>
        <v>086 Saturn Rings BRIGHT PAD</v>
      </c>
    </row>
    <row r="88" spans="1:19" x14ac:dyDescent="0.25">
      <c r="A88" t="s">
        <v>5744</v>
      </c>
      <c r="B88" t="s">
        <v>4064</v>
      </c>
      <c r="C88" t="s">
        <v>4192</v>
      </c>
      <c r="D88" t="s">
        <v>4322</v>
      </c>
      <c r="E88" t="s">
        <v>4450</v>
      </c>
      <c r="F88" t="s">
        <v>4588</v>
      </c>
      <c r="G88" t="s">
        <v>6017</v>
      </c>
      <c r="H88" t="s">
        <v>6146</v>
      </c>
      <c r="I88" t="s">
        <v>6274</v>
      </c>
      <c r="K88" t="str">
        <f t="shared" si="18"/>
        <v>087 Galaxadin PULSATING</v>
      </c>
      <c r="L88" t="str">
        <f t="shared" si="10"/>
        <v>087 FS Dist Bee ORGAN</v>
      </c>
      <c r="M88" t="str">
        <f t="shared" si="11"/>
        <v>087 V.Form Bass SYNTH BASS</v>
      </c>
      <c r="N88" t="str">
        <f t="shared" si="19"/>
        <v>087 Wind Syn Ld HARD LEAD</v>
      </c>
      <c r="O88" t="str">
        <f t="shared" si="20"/>
        <v>087 Choir Aahs 2 VOX</v>
      </c>
      <c r="P88" t="str">
        <f t="shared" si="21"/>
        <v>087 Ambi Shaku ETHNIC</v>
      </c>
      <c r="Q88" t="str">
        <f t="shared" si="22"/>
        <v>087 Rockin’ Dly DIST.GUITAR</v>
      </c>
      <c r="R88" t="str">
        <f t="shared" si="23"/>
        <v>087 ActualAnalog HARD LEAD</v>
      </c>
      <c r="S88" t="str">
        <f t="shared" si="24"/>
        <v>087 Ooh La La BRIGHT PAD</v>
      </c>
    </row>
    <row r="89" spans="1:19" x14ac:dyDescent="0.25">
      <c r="A89" t="s">
        <v>5745</v>
      </c>
      <c r="B89" t="s">
        <v>5921</v>
      </c>
      <c r="C89" t="s">
        <v>4193</v>
      </c>
      <c r="D89" t="s">
        <v>4323</v>
      </c>
      <c r="E89" t="s">
        <v>4451</v>
      </c>
      <c r="F89" t="s">
        <v>4589</v>
      </c>
      <c r="G89" t="s">
        <v>6018</v>
      </c>
      <c r="H89" t="s">
        <v>6147</v>
      </c>
      <c r="I89" t="s">
        <v>6275</v>
      </c>
      <c r="K89" t="str">
        <f t="shared" si="18"/>
        <v>088 Tornrubber SYNTH BASS</v>
      </c>
      <c r="L89" t="str">
        <f t="shared" si="10"/>
        <v>088 60’s Org 1 ORGAN</v>
      </c>
      <c r="M89" t="str">
        <f t="shared" si="11"/>
        <v>088 S&amp;H Bass SYNTH BASS</v>
      </c>
      <c r="N89" t="str">
        <f t="shared" si="19"/>
        <v>088 Dual Profs HARD LEAD</v>
      </c>
      <c r="O89" t="str">
        <f t="shared" si="20"/>
        <v>088 ChoirOoh/Aft VOX</v>
      </c>
      <c r="P89" t="str">
        <f t="shared" si="21"/>
        <v>088 FS PipeDream ETHNIC</v>
      </c>
      <c r="Q89" t="str">
        <f t="shared" si="22"/>
        <v>088 DistGt Mt DIST.GUITAR</v>
      </c>
      <c r="R89" t="str">
        <f t="shared" si="23"/>
        <v>088 SBF Reso HARD LEAD</v>
      </c>
      <c r="S89" t="str">
        <f t="shared" si="24"/>
        <v>088 Flying X BRIGHT PAD</v>
      </c>
    </row>
    <row r="90" spans="1:19" x14ac:dyDescent="0.25">
      <c r="A90" t="s">
        <v>5746</v>
      </c>
      <c r="B90" t="s">
        <v>5922</v>
      </c>
      <c r="C90" t="s">
        <v>4194</v>
      </c>
      <c r="D90" t="s">
        <v>4324</v>
      </c>
      <c r="E90" t="s">
        <v>4452</v>
      </c>
      <c r="F90" t="s">
        <v>4590</v>
      </c>
      <c r="G90" t="s">
        <v>6019</v>
      </c>
      <c r="H90" t="s">
        <v>6148</v>
      </c>
      <c r="I90" t="s">
        <v>6276</v>
      </c>
      <c r="K90" t="str">
        <f t="shared" si="18"/>
        <v>089 Comp Stl Gtr AC.GUITAR</v>
      </c>
      <c r="L90" t="str">
        <f t="shared" si="10"/>
        <v>089 60’s Org 2 ORGAN</v>
      </c>
      <c r="M90" t="str">
        <f t="shared" si="11"/>
        <v>089 Destroyed Bs SYNTH BASS</v>
      </c>
      <c r="N90" t="str">
        <f t="shared" si="19"/>
        <v>089 Gwyo Press HARD LEAD</v>
      </c>
      <c r="O90" t="str">
        <f t="shared" si="20"/>
        <v>089 Angels Choir VOX</v>
      </c>
      <c r="P90" t="str">
        <f t="shared" si="21"/>
        <v>089 FS Lochscape ETHNIC</v>
      </c>
      <c r="Q90" t="str">
        <f t="shared" si="22"/>
        <v>089 GTR Heroes DIST.GUITAR</v>
      </c>
      <c r="R90" t="str">
        <f t="shared" si="23"/>
        <v>089 SliCed Lead SOFT LEAD</v>
      </c>
      <c r="S90" t="str">
        <f t="shared" si="24"/>
        <v>089 Motion Pad SOFT PAD</v>
      </c>
    </row>
    <row r="91" spans="1:19" x14ac:dyDescent="0.25">
      <c r="A91" t="s">
        <v>5747</v>
      </c>
      <c r="B91" t="s">
        <v>4067</v>
      </c>
      <c r="C91" t="s">
        <v>4195</v>
      </c>
      <c r="D91" t="s">
        <v>5930</v>
      </c>
      <c r="E91" t="s">
        <v>4453</v>
      </c>
      <c r="F91" t="s">
        <v>4591</v>
      </c>
      <c r="G91" t="s">
        <v>6020</v>
      </c>
      <c r="H91" t="s">
        <v>6149</v>
      </c>
      <c r="I91" t="s">
        <v>6277</v>
      </c>
      <c r="K91" t="str">
        <f t="shared" si="18"/>
        <v>090 Pop Brs Stac AC.BRASS</v>
      </c>
      <c r="L91" t="str">
        <f t="shared" si="10"/>
        <v>090 FS SoapOpera ORGAN</v>
      </c>
      <c r="M91" t="str">
        <f t="shared" si="11"/>
        <v>090 FS Acid Bs SYNTH BASS</v>
      </c>
      <c r="N91" t="str">
        <f t="shared" si="19"/>
        <v>090 Q DualSaws HARD LEAD</v>
      </c>
      <c r="O91" t="str">
        <f t="shared" si="20"/>
        <v>090 Angelique VOX</v>
      </c>
      <c r="P91" t="str">
        <f t="shared" si="21"/>
        <v>090 FS Far East ETHNIC</v>
      </c>
      <c r="Q91" t="str">
        <f t="shared" si="22"/>
        <v>090 X Mute Bass BASS</v>
      </c>
      <c r="R91" t="str">
        <f t="shared" si="23"/>
        <v>090 Synthi Fizz SOFT LEAD</v>
      </c>
      <c r="S91" t="str">
        <f t="shared" si="24"/>
        <v>090 Mash Pad BRIGHT PAD</v>
      </c>
    </row>
    <row r="92" spans="1:19" x14ac:dyDescent="0.25">
      <c r="A92" t="s">
        <v>5748</v>
      </c>
      <c r="B92" t="s">
        <v>4068</v>
      </c>
      <c r="C92" t="s">
        <v>4196</v>
      </c>
      <c r="D92" t="s">
        <v>4326</v>
      </c>
      <c r="E92" t="s">
        <v>4454</v>
      </c>
      <c r="F92" t="s">
        <v>4592</v>
      </c>
      <c r="G92" t="s">
        <v>6021</v>
      </c>
      <c r="H92" t="s">
        <v>6150</v>
      </c>
      <c r="I92" t="s">
        <v>6278</v>
      </c>
      <c r="K92" t="str">
        <f t="shared" si="18"/>
        <v>091 Sweet House TECHNO SYNTH</v>
      </c>
      <c r="L92" t="str">
        <f t="shared" si="10"/>
        <v>091 Chapel Organ ORGAN</v>
      </c>
      <c r="M92" t="str">
        <f t="shared" si="11"/>
        <v>091 Lo-Fi TB SYNTH BASS</v>
      </c>
      <c r="N92" t="str">
        <f t="shared" si="19"/>
        <v>091 Mogulator Ld HARD LEAD</v>
      </c>
      <c r="O92" t="str">
        <f t="shared" si="20"/>
        <v>091 Gospel Oohs VOX</v>
      </c>
      <c r="P92" t="str">
        <f t="shared" si="21"/>
        <v>091 Banjo FRETTED</v>
      </c>
      <c r="Q92" t="str">
        <f t="shared" si="22"/>
        <v>091 Nu Finger Bs BASS</v>
      </c>
      <c r="R92" t="str">
        <f t="shared" si="23"/>
        <v>091 Mini Growl SOFT LEAD</v>
      </c>
      <c r="S92" t="str">
        <f t="shared" si="24"/>
        <v>091 Xtragalactic SOFT PAD</v>
      </c>
    </row>
    <row r="93" spans="1:19" x14ac:dyDescent="0.25">
      <c r="A93" t="s">
        <v>5749</v>
      </c>
      <c r="B93" t="s">
        <v>4069</v>
      </c>
      <c r="C93" t="s">
        <v>4197</v>
      </c>
      <c r="D93" t="s">
        <v>4327</v>
      </c>
      <c r="E93" t="s">
        <v>4455</v>
      </c>
      <c r="F93" t="s">
        <v>4593</v>
      </c>
      <c r="G93" t="s">
        <v>6022</v>
      </c>
      <c r="H93" t="s">
        <v>6151</v>
      </c>
      <c r="I93" t="s">
        <v>6279</v>
      </c>
      <c r="K93" t="str">
        <f t="shared" si="18"/>
        <v>092 Celebrated SYNTH FX</v>
      </c>
      <c r="L93" t="str">
        <f t="shared" si="10"/>
        <v>092 Grand Pipe ORGAN</v>
      </c>
      <c r="M93" t="str">
        <f t="shared" si="11"/>
        <v>092 Violin STRINGS</v>
      </c>
      <c r="N93" t="str">
        <f t="shared" si="19"/>
        <v>092 DirtyVoltage HARD LEAD</v>
      </c>
      <c r="O93" t="str">
        <f t="shared" si="20"/>
        <v>092 Uhmmm VOX</v>
      </c>
      <c r="P93" t="str">
        <f t="shared" si="21"/>
        <v>092 Breath Slice SYNTH FX</v>
      </c>
      <c r="Q93" t="str">
        <f t="shared" si="22"/>
        <v>092 Soulfinger BASS</v>
      </c>
      <c r="R93" t="str">
        <f t="shared" si="23"/>
        <v>092 Jupiter Lead SOFT LEAD</v>
      </c>
      <c r="S93" t="str">
        <f t="shared" si="24"/>
        <v>092 Morph Filter SOFT PAD</v>
      </c>
    </row>
    <row r="94" spans="1:19" x14ac:dyDescent="0.25">
      <c r="A94" t="s">
        <v>5750</v>
      </c>
      <c r="B94" t="s">
        <v>4070</v>
      </c>
      <c r="C94" t="s">
        <v>4198</v>
      </c>
      <c r="D94" t="s">
        <v>4328</v>
      </c>
      <c r="E94" t="s">
        <v>4456</v>
      </c>
      <c r="F94" t="s">
        <v>4594</v>
      </c>
      <c r="G94" t="s">
        <v>6023</v>
      </c>
      <c r="H94" t="s">
        <v>6152</v>
      </c>
      <c r="I94" t="s">
        <v>6280</v>
      </c>
      <c r="K94" t="str">
        <f t="shared" si="18"/>
        <v>093 Digitvox BRIGHT PAD</v>
      </c>
      <c r="L94" t="str">
        <f t="shared" si="10"/>
        <v>093 Masked Opera ORGAN</v>
      </c>
      <c r="M94" t="str">
        <f t="shared" si="11"/>
        <v>093 Viola STRINGS</v>
      </c>
      <c r="N94" t="str">
        <f t="shared" si="19"/>
        <v>093 Clean? HARD LEAD</v>
      </c>
      <c r="O94" t="str">
        <f t="shared" si="20"/>
        <v>093 Aah Vox VOX</v>
      </c>
      <c r="P94" t="str">
        <f t="shared" si="21"/>
        <v>093 Lazer Points SYNTH FX</v>
      </c>
      <c r="Q94" t="str">
        <f t="shared" si="22"/>
        <v>093 X Finger Bs1 BASS</v>
      </c>
      <c r="R94" t="str">
        <f t="shared" si="23"/>
        <v>093 X-Pulse Lead SOFT LEAD</v>
      </c>
      <c r="S94" t="str">
        <f t="shared" si="24"/>
        <v>093 TrnsSweepPad SOFT PAD</v>
      </c>
    </row>
    <row r="95" spans="1:19" x14ac:dyDescent="0.25">
      <c r="A95" t="s">
        <v>5751</v>
      </c>
      <c r="B95" t="s">
        <v>4071</v>
      </c>
      <c r="C95" t="s">
        <v>4199</v>
      </c>
      <c r="D95" t="s">
        <v>4329</v>
      </c>
      <c r="E95" t="s">
        <v>4457</v>
      </c>
      <c r="F95" t="s">
        <v>4595</v>
      </c>
      <c r="G95" t="s">
        <v>6024</v>
      </c>
      <c r="H95" t="s">
        <v>6153</v>
      </c>
      <c r="I95" t="s">
        <v>6281</v>
      </c>
      <c r="K95" t="str">
        <f t="shared" si="18"/>
        <v>094 Viola STRINGS</v>
      </c>
      <c r="L95" t="str">
        <f t="shared" si="10"/>
        <v>094 Pipe Org/Mod ORGAN</v>
      </c>
      <c r="M95" t="str">
        <f t="shared" si="11"/>
        <v>094 Cello STRINGS</v>
      </c>
      <c r="N95" t="str">
        <f t="shared" si="19"/>
        <v>094 Distortion HARD LEAD</v>
      </c>
      <c r="O95" t="str">
        <f t="shared" si="20"/>
        <v>094 Morning Star VOX</v>
      </c>
      <c r="P95" t="str">
        <f t="shared" si="21"/>
        <v>094 Chaos 2003 SYNTH FX</v>
      </c>
      <c r="Q95" t="str">
        <f t="shared" si="22"/>
        <v>094 StickyOctave BASS</v>
      </c>
      <c r="R95" t="str">
        <f t="shared" si="23"/>
        <v>094 Jupi Square SOFT LEAD</v>
      </c>
      <c r="S95" t="str">
        <f t="shared" si="24"/>
        <v>094 Follow SOFT PAD</v>
      </c>
    </row>
    <row r="96" spans="1:19" x14ac:dyDescent="0.25">
      <c r="A96" t="s">
        <v>5752</v>
      </c>
      <c r="B96" t="s">
        <v>4072</v>
      </c>
      <c r="C96" t="s">
        <v>4200</v>
      </c>
      <c r="D96" t="s">
        <v>4330</v>
      </c>
      <c r="E96" t="s">
        <v>4458</v>
      </c>
      <c r="F96" t="s">
        <v>4596</v>
      </c>
      <c r="G96" t="s">
        <v>6025</v>
      </c>
      <c r="H96" t="s">
        <v>6154</v>
      </c>
      <c r="I96" t="s">
        <v>6282</v>
      </c>
      <c r="K96" t="str">
        <f t="shared" si="18"/>
        <v>095 Optik’Synth HARD LEAD</v>
      </c>
      <c r="L96" t="str">
        <f t="shared" si="10"/>
        <v>095 Vodkakordion ACCORDION</v>
      </c>
      <c r="M96" t="str">
        <f t="shared" si="11"/>
        <v>095 Contrabass STRINGS</v>
      </c>
      <c r="N96" t="str">
        <f t="shared" si="19"/>
        <v>095 FS Syn Ld HARD LEAD</v>
      </c>
      <c r="O96" t="str">
        <f t="shared" si="20"/>
        <v>095 Syn Opera VOX</v>
      </c>
      <c r="P96" t="str">
        <f t="shared" si="21"/>
        <v>095 SoundOnSound SYNTH FX</v>
      </c>
      <c r="Q96" t="str">
        <f t="shared" si="22"/>
        <v>095 Bass &amp; Amp BASS</v>
      </c>
      <c r="R96" t="str">
        <f t="shared" si="23"/>
        <v>095 TriStac Lead SOFT LEAD</v>
      </c>
      <c r="S96" t="str">
        <f t="shared" si="24"/>
        <v>095 Jupiter-X SOFT PAD</v>
      </c>
    </row>
    <row r="97" spans="1:19" x14ac:dyDescent="0.25">
      <c r="A97" t="s">
        <v>5753</v>
      </c>
      <c r="B97" t="s">
        <v>4073</v>
      </c>
      <c r="C97" t="s">
        <v>4201</v>
      </c>
      <c r="D97" t="s">
        <v>4331</v>
      </c>
      <c r="E97" t="s">
        <v>4459</v>
      </c>
      <c r="F97" t="s">
        <v>4597</v>
      </c>
      <c r="G97" t="s">
        <v>6026</v>
      </c>
      <c r="H97" t="s">
        <v>6155</v>
      </c>
      <c r="I97" t="s">
        <v>6283</v>
      </c>
      <c r="K97" t="str">
        <f t="shared" si="18"/>
        <v>096 Crystal EP EL.PIANO</v>
      </c>
      <c r="L97" t="str">
        <f t="shared" si="10"/>
        <v>096 Squeeze Me! ACCORDION</v>
      </c>
      <c r="M97" t="str">
        <f t="shared" si="11"/>
        <v>096 Dolce Qrt STRINGS</v>
      </c>
      <c r="N97" t="str">
        <f t="shared" si="19"/>
        <v>096 SynLead 0322 HARD LEAD</v>
      </c>
      <c r="O97" t="str">
        <f t="shared" si="20"/>
        <v>096 BeautifulOne VOX</v>
      </c>
      <c r="P97" t="str">
        <f t="shared" si="21"/>
        <v>096 Low Beat-S SYNTH FX</v>
      </c>
      <c r="Q97" t="str">
        <f t="shared" si="22"/>
        <v>096 Chorus Bass BASS</v>
      </c>
      <c r="R97" t="str">
        <f t="shared" si="23"/>
        <v>096 Modular Lead SOFT LEAD</v>
      </c>
      <c r="S97" t="str">
        <f t="shared" si="24"/>
        <v>096 Riven Pad SOFT PAD</v>
      </c>
    </row>
    <row r="98" spans="1:19" x14ac:dyDescent="0.25">
      <c r="A98" t="s">
        <v>5754</v>
      </c>
      <c r="B98" t="s">
        <v>4074</v>
      </c>
      <c r="C98" t="s">
        <v>4202</v>
      </c>
      <c r="D98" t="s">
        <v>4332</v>
      </c>
      <c r="E98" t="s">
        <v>4460</v>
      </c>
      <c r="F98" t="s">
        <v>4598</v>
      </c>
      <c r="G98" t="s">
        <v>6027</v>
      </c>
      <c r="H98" t="s">
        <v>6156</v>
      </c>
      <c r="I98" t="s">
        <v>6284</v>
      </c>
      <c r="K98" t="str">
        <f t="shared" si="18"/>
        <v>097 xcultural COMBINATION</v>
      </c>
      <c r="L98" t="str">
        <f t="shared" si="10"/>
        <v>097 Guinguette ACCORDION</v>
      </c>
      <c r="M98" t="str">
        <f t="shared" si="11"/>
        <v>097 Chamber Str STRINGS</v>
      </c>
      <c r="N98" t="str">
        <f t="shared" si="19"/>
        <v>097 Digital Ld 2 HARD LEAD</v>
      </c>
      <c r="O98" t="str">
        <f t="shared" si="20"/>
        <v>097 Ooze VOX</v>
      </c>
      <c r="P98" t="str">
        <f t="shared" si="21"/>
        <v>097 Control Room SYNTH FX</v>
      </c>
      <c r="Q98" t="str">
        <f t="shared" si="22"/>
        <v>097 X 5String Bs BASS</v>
      </c>
      <c r="R98" t="str">
        <f t="shared" si="23"/>
        <v>097 Sinetific SOFT LEAD</v>
      </c>
      <c r="S98" t="str">
        <f t="shared" si="24"/>
        <v>097 Consolament SOFT PAD</v>
      </c>
    </row>
    <row r="99" spans="1:19" x14ac:dyDescent="0.25">
      <c r="A99" t="s">
        <v>5755</v>
      </c>
      <c r="B99" t="s">
        <v>5923</v>
      </c>
      <c r="C99" t="s">
        <v>4203</v>
      </c>
      <c r="D99" t="s">
        <v>4333</v>
      </c>
      <c r="E99" t="s">
        <v>4461</v>
      </c>
      <c r="F99" t="s">
        <v>4599</v>
      </c>
      <c r="G99" t="s">
        <v>6028</v>
      </c>
      <c r="H99" t="s">
        <v>6157</v>
      </c>
      <c r="I99" t="s">
        <v>6285</v>
      </c>
      <c r="K99" t="str">
        <f t="shared" si="18"/>
        <v>098 Control Room SYNTH FX</v>
      </c>
      <c r="L99" t="str">
        <f t="shared" si="10"/>
        <v>098 Harmonderca HARMONICA</v>
      </c>
      <c r="M99" t="str">
        <f t="shared" si="11"/>
        <v>098 Small Str STRINGS</v>
      </c>
      <c r="N99" t="str">
        <f t="shared" si="19"/>
        <v>098 X-Sink Delay HARD LEAD</v>
      </c>
      <c r="O99" t="str">
        <f t="shared" si="20"/>
        <v>098 Aerial Choir VOX</v>
      </c>
      <c r="P99" t="str">
        <f t="shared" si="21"/>
        <v>098 FS Try This! SYNTH FX</v>
      </c>
      <c r="Q99" t="str">
        <f t="shared" si="22"/>
        <v>098 6-Pack Stick BASS</v>
      </c>
      <c r="R99" t="str">
        <f t="shared" si="23"/>
        <v>098 Dirty D/A SOFT LEAD</v>
      </c>
      <c r="S99" t="str">
        <f t="shared" si="24"/>
        <v>098 Spacious Pad SOFT PAD</v>
      </c>
    </row>
    <row r="100" spans="1:19" x14ac:dyDescent="0.25">
      <c r="A100" t="s">
        <v>5756</v>
      </c>
      <c r="B100" t="s">
        <v>4076</v>
      </c>
      <c r="C100" t="s">
        <v>4204</v>
      </c>
      <c r="D100" t="s">
        <v>4334</v>
      </c>
      <c r="E100" t="s">
        <v>4462</v>
      </c>
      <c r="F100" t="s">
        <v>4600</v>
      </c>
      <c r="G100" t="s">
        <v>6029</v>
      </c>
      <c r="H100" t="s">
        <v>6158</v>
      </c>
      <c r="I100" t="s">
        <v>6286</v>
      </c>
      <c r="K100" t="str">
        <f t="shared" si="18"/>
        <v>099 Pearly Harp PLUCKED</v>
      </c>
      <c r="L100" t="str">
        <f t="shared" si="10"/>
        <v>099 BluesHrp V/S HARMONICA</v>
      </c>
      <c r="M100" t="str">
        <f t="shared" si="11"/>
        <v>099 Studio Sect. STRINGS</v>
      </c>
      <c r="N100" t="str">
        <f t="shared" si="19"/>
        <v>099 Noized Lead HARD LEAD</v>
      </c>
      <c r="O100" t="str">
        <f t="shared" si="20"/>
        <v>099 3D Vox VOX</v>
      </c>
      <c r="P100" t="str">
        <f t="shared" si="21"/>
        <v>099 OutOf sortz SYNTH FX</v>
      </c>
      <c r="Q100" t="str">
        <f t="shared" si="22"/>
        <v>099 Nu Pick Bass BASS</v>
      </c>
      <c r="R100" t="str">
        <f t="shared" si="23"/>
        <v>099 EuronalSynth SOFT LEAD</v>
      </c>
      <c r="S100" t="str">
        <f t="shared" si="24"/>
        <v>099 JD Pop Pad SOFT PAD</v>
      </c>
    </row>
    <row r="101" spans="1:19" x14ac:dyDescent="0.25">
      <c r="A101" t="s">
        <v>5757</v>
      </c>
      <c r="B101" t="s">
        <v>4077</v>
      </c>
      <c r="C101" t="s">
        <v>4205</v>
      </c>
      <c r="D101" t="s">
        <v>4335</v>
      </c>
      <c r="E101" t="s">
        <v>4463</v>
      </c>
      <c r="F101" t="s">
        <v>4601</v>
      </c>
      <c r="G101" t="s">
        <v>6030</v>
      </c>
      <c r="H101" t="s">
        <v>6159</v>
      </c>
      <c r="I101" t="s">
        <v>6287</v>
      </c>
      <c r="K101" t="str">
        <f t="shared" si="18"/>
        <v>100 Machine Str STRINGS</v>
      </c>
      <c r="L101" t="str">
        <f t="shared" si="10"/>
        <v>100 Green Bullet HARMONICA</v>
      </c>
      <c r="M101" t="str">
        <f t="shared" si="11"/>
        <v>100 Stringz 101 STRINGS</v>
      </c>
      <c r="N101" t="str">
        <f t="shared" si="19"/>
        <v>100 Space Lead HARD LEAD</v>
      </c>
      <c r="O101" t="str">
        <f t="shared" si="20"/>
        <v>100 FS Sqr Pad SOFT PAD</v>
      </c>
      <c r="P101" t="str">
        <f t="shared" si="21"/>
        <v>100 Seq SYNTH FX</v>
      </c>
      <c r="Q101" t="str">
        <f t="shared" si="22"/>
        <v>100 Comp Picker BASS</v>
      </c>
      <c r="R101" t="str">
        <f t="shared" si="23"/>
        <v>100 Xtrem Sine SOFT LEAD</v>
      </c>
      <c r="S101" t="str">
        <f t="shared" si="24"/>
        <v>100 Silhouette SOFT PAD</v>
      </c>
    </row>
    <row r="102" spans="1:19" x14ac:dyDescent="0.25">
      <c r="A102" t="s">
        <v>5758</v>
      </c>
      <c r="B102" t="s">
        <v>4078</v>
      </c>
      <c r="C102" t="s">
        <v>4206</v>
      </c>
      <c r="D102" t="s">
        <v>4336</v>
      </c>
      <c r="E102" t="s">
        <v>4464</v>
      </c>
      <c r="F102" t="s">
        <v>4602</v>
      </c>
      <c r="G102" t="s">
        <v>6031</v>
      </c>
      <c r="H102" t="s">
        <v>6160</v>
      </c>
      <c r="I102" t="s">
        <v>6288</v>
      </c>
      <c r="K102" t="str">
        <f t="shared" si="18"/>
        <v>101 X Mute Bass BASS</v>
      </c>
      <c r="L102" t="str">
        <f t="shared" si="10"/>
        <v>101 SoftNyln Gtr AC.GUITAR</v>
      </c>
      <c r="M102" t="str">
        <f t="shared" si="11"/>
        <v>101 Crossed Bows STRINGS</v>
      </c>
      <c r="N102" t="str">
        <f t="shared" si="19"/>
        <v>101 Destroyed Ld HARD LEAD</v>
      </c>
      <c r="O102" t="str">
        <f t="shared" si="20"/>
        <v>101 FS Hollow SOFT PAD</v>
      </c>
      <c r="P102" t="str">
        <f t="shared" si="21"/>
        <v>101 Scatter SYNTH FX</v>
      </c>
      <c r="Q102" t="str">
        <f t="shared" si="22"/>
        <v>101 X Finger Bs2 BASS</v>
      </c>
      <c r="R102" t="str">
        <f t="shared" si="23"/>
        <v>101 Killerbeez TECHNO SYNTH</v>
      </c>
      <c r="S102" t="str">
        <f t="shared" si="24"/>
        <v>101 JP-8 Phase SOFT PAD</v>
      </c>
    </row>
    <row r="103" spans="1:19" x14ac:dyDescent="0.25">
      <c r="A103" t="s">
        <v>5759</v>
      </c>
      <c r="B103" t="s">
        <v>4079</v>
      </c>
      <c r="C103" t="s">
        <v>4207</v>
      </c>
      <c r="D103" t="s">
        <v>4337</v>
      </c>
      <c r="E103" t="s">
        <v>4465</v>
      </c>
      <c r="F103" t="s">
        <v>4603</v>
      </c>
      <c r="G103" t="s">
        <v>6032</v>
      </c>
      <c r="H103" t="s">
        <v>6161</v>
      </c>
      <c r="I103" t="s">
        <v>6289</v>
      </c>
      <c r="K103" t="str">
        <f t="shared" si="18"/>
        <v>102 Bass Drive SYNTH BASS</v>
      </c>
      <c r="L103" t="str">
        <f t="shared" si="10"/>
        <v>102 FS Nylon Gt AC.GUITAR</v>
      </c>
      <c r="M103" t="str">
        <f t="shared" si="11"/>
        <v>102 FS Strings STRINGS</v>
      </c>
      <c r="N103" t="str">
        <f t="shared" si="19"/>
        <v>102 SyncModulate HARD LEAD</v>
      </c>
      <c r="O103" t="str">
        <f t="shared" si="20"/>
        <v>102 Silk Pad SOFT PAD</v>
      </c>
      <c r="P103" t="str">
        <f t="shared" si="21"/>
        <v>102 WaitnOutside SYNTH FX</v>
      </c>
      <c r="Q103" t="str">
        <f t="shared" si="22"/>
        <v>102 X Picked Bs BASS</v>
      </c>
      <c r="R103" t="str">
        <f t="shared" si="23"/>
        <v>102 Freeze Synth TECHNO SYNTH</v>
      </c>
      <c r="S103" t="str">
        <f t="shared" si="24"/>
        <v>102 Nu Epic Pad SOFT PAD</v>
      </c>
    </row>
    <row r="104" spans="1:19" x14ac:dyDescent="0.25">
      <c r="A104" t="s">
        <v>5760</v>
      </c>
      <c r="B104" t="s">
        <v>4080</v>
      </c>
      <c r="C104" t="s">
        <v>4208</v>
      </c>
      <c r="D104" t="s">
        <v>4338</v>
      </c>
      <c r="E104" t="s">
        <v>4466</v>
      </c>
      <c r="F104" t="s">
        <v>4604</v>
      </c>
      <c r="G104" t="s">
        <v>6033</v>
      </c>
      <c r="H104" t="s">
        <v>6162</v>
      </c>
      <c r="I104" t="s">
        <v>6290</v>
      </c>
      <c r="K104" t="str">
        <f t="shared" si="18"/>
        <v>103 Dance Steam HIT&amp;STAB</v>
      </c>
      <c r="L104" t="str">
        <f t="shared" si="10"/>
        <v>103 Wet Nyln Gtr AC.GUITAR</v>
      </c>
      <c r="M104" t="str">
        <f t="shared" si="11"/>
        <v>103 2-way Sect. STRINGS</v>
      </c>
      <c r="N104" t="str">
        <f t="shared" si="19"/>
        <v>103 Sync Tank HARD LEAD</v>
      </c>
      <c r="O104" t="str">
        <f t="shared" si="20"/>
        <v>103 WarmReso Pad SOFT PAD</v>
      </c>
      <c r="P104" t="str">
        <f t="shared" si="21"/>
        <v>103 Ambience SYNTH FX</v>
      </c>
      <c r="Q104" t="str">
        <f t="shared" si="22"/>
        <v>103 Mutation BASS</v>
      </c>
      <c r="R104" t="str">
        <f t="shared" si="23"/>
        <v>103 JamPacked! TECHNO SYNTH</v>
      </c>
      <c r="S104" t="str">
        <f t="shared" si="24"/>
        <v>103 Forever SOFT PAD</v>
      </c>
    </row>
    <row r="105" spans="1:19" x14ac:dyDescent="0.25">
      <c r="A105" t="s">
        <v>5761</v>
      </c>
      <c r="B105" t="s">
        <v>4081</v>
      </c>
      <c r="C105" t="s">
        <v>4209</v>
      </c>
      <c r="D105" t="s">
        <v>4339</v>
      </c>
      <c r="E105" t="s">
        <v>4467</v>
      </c>
      <c r="F105" t="s">
        <v>4605</v>
      </c>
      <c r="G105" t="s">
        <v>6034</v>
      </c>
      <c r="H105" t="s">
        <v>6163</v>
      </c>
      <c r="I105" t="s">
        <v>6291</v>
      </c>
      <c r="K105" t="str">
        <f t="shared" si="18"/>
        <v>104 Riven Pad SOFT PAD</v>
      </c>
      <c r="L105" t="str">
        <f t="shared" si="10"/>
        <v>104 Pre Mass Hum AC.GUITAR</v>
      </c>
      <c r="M105" t="str">
        <f t="shared" si="11"/>
        <v>104 Warm Strings STRINGS</v>
      </c>
      <c r="N105" t="str">
        <f t="shared" si="19"/>
        <v>104 Squareheads HARD LEAD</v>
      </c>
      <c r="O105" t="str">
        <f t="shared" si="20"/>
        <v>104 FS Soft Pad SOFT PAD</v>
      </c>
      <c r="P105" t="str">
        <f t="shared" si="21"/>
        <v>104 Fantom Noise SYNTH FX</v>
      </c>
      <c r="Q105" t="str">
        <f t="shared" si="22"/>
        <v>104 X Slap Bass BASS</v>
      </c>
      <c r="R105" t="str">
        <f t="shared" si="23"/>
        <v>104 SawStac Chd TECHNO SYNTH</v>
      </c>
      <c r="S105" t="str">
        <f t="shared" si="24"/>
        <v>104 Flange Dream SOFT PAD</v>
      </c>
    </row>
    <row r="106" spans="1:19" x14ac:dyDescent="0.25">
      <c r="A106" t="s">
        <v>5762</v>
      </c>
      <c r="B106" t="s">
        <v>4082</v>
      </c>
      <c r="C106" t="s">
        <v>4210</v>
      </c>
      <c r="D106" t="s">
        <v>4340</v>
      </c>
      <c r="E106" t="s">
        <v>4468</v>
      </c>
      <c r="F106" t="s">
        <v>4606</v>
      </c>
      <c r="G106" t="s">
        <v>6035</v>
      </c>
      <c r="H106" t="s">
        <v>6164</v>
      </c>
      <c r="I106" t="s">
        <v>6292</v>
      </c>
      <c r="K106" t="str">
        <f t="shared" si="18"/>
        <v>105 Vint Clavier OTHER SYNTH</v>
      </c>
      <c r="L106" t="str">
        <f t="shared" si="10"/>
        <v>105 Thick Steel AC.GUITAR</v>
      </c>
      <c r="M106" t="str">
        <f t="shared" si="11"/>
        <v>105 Stacc mp Str STRINGS</v>
      </c>
      <c r="N106" t="str">
        <f t="shared" si="19"/>
        <v>105 Distorted MG HARD LEAD</v>
      </c>
      <c r="O106" t="str">
        <f t="shared" si="20"/>
        <v>105 Soft Breeze SOFT PAD</v>
      </c>
      <c r="P106" t="str">
        <f t="shared" si="21"/>
        <v>105 Breath Echo SYNTH FX</v>
      </c>
      <c r="Q106" t="str">
        <f t="shared" si="22"/>
        <v>105 Fuzz Mute BASS</v>
      </c>
      <c r="R106" t="str">
        <f t="shared" si="23"/>
        <v>105 Trancepire TECHNO SYNTH</v>
      </c>
      <c r="S106" t="str">
        <f t="shared" si="24"/>
        <v>105 Guild Vox SOFT PAD</v>
      </c>
    </row>
    <row r="107" spans="1:19" x14ac:dyDescent="0.25">
      <c r="A107" t="s">
        <v>5763</v>
      </c>
      <c r="B107" t="s">
        <v>4083</v>
      </c>
      <c r="C107" t="s">
        <v>4211</v>
      </c>
      <c r="D107" t="s">
        <v>4341</v>
      </c>
      <c r="E107" t="s">
        <v>4469</v>
      </c>
      <c r="F107" t="s">
        <v>4607</v>
      </c>
      <c r="G107" t="s">
        <v>6036</v>
      </c>
      <c r="H107" t="s">
        <v>6165</v>
      </c>
      <c r="I107" t="s">
        <v>6293</v>
      </c>
      <c r="K107" t="str">
        <f t="shared" si="18"/>
        <v>106 Jazz Guitar EL.GUITAR</v>
      </c>
      <c r="L107" t="str">
        <f t="shared" si="10"/>
        <v>106 Uncle Martin AC.GUITAR</v>
      </c>
      <c r="M107" t="str">
        <f t="shared" si="11"/>
        <v>106 Magnolia Str STRINGS</v>
      </c>
      <c r="N107" t="str">
        <f t="shared" si="19"/>
        <v>106 SonicVampire HARD LEAD</v>
      </c>
      <c r="O107" t="str">
        <f t="shared" si="20"/>
        <v>106 JP Strings 1 SOFT PAD</v>
      </c>
      <c r="P107" t="str">
        <f t="shared" si="21"/>
        <v>106 SoundStrange SYNTH FX</v>
      </c>
      <c r="Q107" t="str">
        <f t="shared" si="22"/>
        <v>106 Doubled Bass BASS</v>
      </c>
      <c r="R107" t="str">
        <f t="shared" si="23"/>
        <v>106 Acid Lead TECHNO SYNTH</v>
      </c>
      <c r="S107" t="str">
        <f t="shared" si="24"/>
        <v>106 5th Pad X SOFT PAD</v>
      </c>
    </row>
    <row r="108" spans="1:19" x14ac:dyDescent="0.25">
      <c r="A108" t="s">
        <v>5764</v>
      </c>
      <c r="B108" t="s">
        <v>4084</v>
      </c>
      <c r="C108" t="s">
        <v>4212</v>
      </c>
      <c r="D108" t="s">
        <v>4342</v>
      </c>
      <c r="E108" t="s">
        <v>4470</v>
      </c>
      <c r="F108" t="s">
        <v>4608</v>
      </c>
      <c r="G108" t="s">
        <v>6037</v>
      </c>
      <c r="H108" t="s">
        <v>6166</v>
      </c>
      <c r="I108" t="s">
        <v>6294</v>
      </c>
      <c r="K108" t="str">
        <f t="shared" si="18"/>
        <v>107 When I’m 64 COMBINATION</v>
      </c>
      <c r="L108" t="str">
        <f t="shared" si="10"/>
        <v>107 Wide Ac Gtr AC.GUITAR</v>
      </c>
      <c r="M108" t="str">
        <f t="shared" si="11"/>
        <v>107 Movie Scene STRINGS</v>
      </c>
      <c r="N108" t="str">
        <f t="shared" si="19"/>
        <v>107 Blue Meanie HARD LEAD</v>
      </c>
      <c r="O108" t="str">
        <f t="shared" si="20"/>
        <v>107 JP Strings 2 SOFT PAD</v>
      </c>
      <c r="P108" t="str">
        <f t="shared" si="21"/>
        <v>107 Cosmic Pulse SYNTH FX</v>
      </c>
      <c r="Q108" t="str">
        <f t="shared" si="22"/>
        <v>107 NewAge Frtls BASS</v>
      </c>
      <c r="R108" t="str">
        <f t="shared" si="23"/>
        <v>107 Tranceformer TECHNO SYNTH</v>
      </c>
      <c r="S108" t="str">
        <f t="shared" si="24"/>
        <v>107 Evolution X SOFT PAD</v>
      </c>
    </row>
    <row r="109" spans="1:19" x14ac:dyDescent="0.25">
      <c r="A109" t="s">
        <v>5765</v>
      </c>
      <c r="B109" t="s">
        <v>4085</v>
      </c>
      <c r="C109" t="s">
        <v>4213</v>
      </c>
      <c r="D109" t="s">
        <v>4343</v>
      </c>
      <c r="E109" t="s">
        <v>4471</v>
      </c>
      <c r="F109" t="s">
        <v>4609</v>
      </c>
      <c r="G109" t="s">
        <v>6038</v>
      </c>
      <c r="H109" t="s">
        <v>6167</v>
      </c>
      <c r="I109" t="s">
        <v>6295</v>
      </c>
      <c r="K109" t="str">
        <f t="shared" si="18"/>
        <v>108 SideBandBell BELL</v>
      </c>
      <c r="L109" t="str">
        <f t="shared" si="10"/>
        <v>108 Comp Stl Gtr AC.GUITAR</v>
      </c>
      <c r="M109" t="str">
        <f t="shared" si="11"/>
        <v>108 Gang Strangs STRINGS</v>
      </c>
      <c r="N109" t="str">
        <f t="shared" si="19"/>
        <v>108 Defcon HARD LEAD</v>
      </c>
      <c r="O109" t="str">
        <f t="shared" si="20"/>
        <v>108 FS Syn Str SOFT PAD</v>
      </c>
      <c r="P109" t="str">
        <f t="shared" si="21"/>
        <v>108 Faked Piano SYNTH FX</v>
      </c>
      <c r="Q109" t="str">
        <f t="shared" si="22"/>
        <v>108 Powerline SYNTH BASS</v>
      </c>
      <c r="R109" t="str">
        <f t="shared" si="23"/>
        <v>108 Anadroid TECHNO SYNTH</v>
      </c>
      <c r="S109" t="str">
        <f t="shared" si="24"/>
        <v>108 Chariots SOFT PAD</v>
      </c>
    </row>
    <row r="110" spans="1:19" x14ac:dyDescent="0.25">
      <c r="A110" t="s">
        <v>5766</v>
      </c>
      <c r="B110" t="s">
        <v>4086</v>
      </c>
      <c r="C110" t="s">
        <v>4214</v>
      </c>
      <c r="D110" t="s">
        <v>4344</v>
      </c>
      <c r="E110" t="s">
        <v>4472</v>
      </c>
      <c r="F110" t="s">
        <v>4610</v>
      </c>
      <c r="G110" t="s">
        <v>6039</v>
      </c>
      <c r="H110" t="s">
        <v>6168</v>
      </c>
      <c r="I110" t="s">
        <v>6296</v>
      </c>
      <c r="K110" t="str">
        <f t="shared" si="18"/>
        <v>109 D n’ Bass SYNTH BASS</v>
      </c>
      <c r="L110" t="str">
        <f t="shared" si="10"/>
        <v>109 Stl Gtr Duo AC.GUITAR</v>
      </c>
      <c r="M110" t="str">
        <f t="shared" si="11"/>
        <v>109 Clustered!?! STRINGS</v>
      </c>
      <c r="N110" t="str">
        <f t="shared" si="19"/>
        <v>109 Stimulation HARD LEAD</v>
      </c>
      <c r="O110" t="str">
        <f t="shared" si="20"/>
        <v>109 Syn Strings SOFT PAD</v>
      </c>
      <c r="P110" t="str">
        <f t="shared" si="21"/>
        <v>109 Tubulence SYNTH FX</v>
      </c>
      <c r="Q110" t="str">
        <f t="shared" si="22"/>
        <v>109 Reso SynBass SYNTH BASS</v>
      </c>
      <c r="R110" t="str">
        <f t="shared" si="23"/>
        <v>109 Shroomy TECHNO SYNTH</v>
      </c>
      <c r="S110" t="str">
        <f t="shared" si="24"/>
        <v>109 Trevor’s Pad PULSATING</v>
      </c>
    </row>
    <row r="111" spans="1:19" x14ac:dyDescent="0.25">
      <c r="A111" t="s">
        <v>5767</v>
      </c>
      <c r="B111" t="s">
        <v>4087</v>
      </c>
      <c r="C111" t="s">
        <v>4215</v>
      </c>
      <c r="D111" t="s">
        <v>4345</v>
      </c>
      <c r="E111" t="s">
        <v>4473</v>
      </c>
      <c r="F111" t="s">
        <v>4611</v>
      </c>
      <c r="G111" t="s">
        <v>6040</v>
      </c>
      <c r="H111" t="s">
        <v>6169</v>
      </c>
      <c r="I111" t="s">
        <v>6297</v>
      </c>
      <c r="K111" t="str">
        <f t="shared" si="18"/>
        <v>110 La Seine ACCORDION</v>
      </c>
      <c r="L111" t="str">
        <f t="shared" si="10"/>
        <v>110 FS 12str Gtr AC.GUITAR</v>
      </c>
      <c r="M111" t="str">
        <f t="shared" si="11"/>
        <v>110 DramaSect/sw STRINGS</v>
      </c>
      <c r="N111" t="str">
        <f t="shared" si="19"/>
        <v>110 Sub Hit HIT&amp;STAB</v>
      </c>
      <c r="O111" t="str">
        <f t="shared" si="20"/>
        <v>110 OB Slow Str SOFT PAD</v>
      </c>
      <c r="P111" t="str">
        <f t="shared" si="21"/>
        <v>110 South Pole SYNTH FX</v>
      </c>
      <c r="Q111" t="str">
        <f t="shared" si="22"/>
        <v>110 Synth Bassic SYNTH BASS</v>
      </c>
      <c r="R111" t="str">
        <f t="shared" si="23"/>
        <v>110 SBF Nozer TECHNO SYNTH</v>
      </c>
      <c r="S111" t="str">
        <f t="shared" si="24"/>
        <v>110 Nu Pad PULSATING</v>
      </c>
    </row>
    <row r="112" spans="1:19" x14ac:dyDescent="0.25">
      <c r="A112" t="s">
        <v>5768</v>
      </c>
      <c r="B112" t="s">
        <v>4088</v>
      </c>
      <c r="C112" t="s">
        <v>4216</v>
      </c>
      <c r="D112" t="s">
        <v>4346</v>
      </c>
      <c r="E112" t="s">
        <v>4474</v>
      </c>
      <c r="F112" t="s">
        <v>4612</v>
      </c>
      <c r="G112" t="s">
        <v>6041</v>
      </c>
      <c r="H112" t="s">
        <v>6170</v>
      </c>
      <c r="I112" t="s">
        <v>6298</v>
      </c>
      <c r="K112" t="str">
        <f t="shared" si="18"/>
        <v>111 InfinitePhsr BRIGHT PAD</v>
      </c>
      <c r="L112" t="str">
        <f t="shared" si="10"/>
        <v>111 So good ! AC.GUITAR</v>
      </c>
      <c r="M112" t="str">
        <f t="shared" si="11"/>
        <v>111 DelicatePizz STRINGS</v>
      </c>
      <c r="N112" t="str">
        <f t="shared" si="19"/>
        <v>111 Blue Ice HIT&amp;STAB</v>
      </c>
      <c r="O112" t="str">
        <f t="shared" si="20"/>
        <v>111 Super SynStr SOFT PAD</v>
      </c>
      <c r="P112" t="str">
        <f t="shared" si="21"/>
        <v>111 FS Crystal SYNTH FX</v>
      </c>
      <c r="Q112" t="str">
        <f t="shared" si="22"/>
        <v>111 Down 4 It SYNTH BASS</v>
      </c>
      <c r="R112" t="str">
        <f t="shared" si="23"/>
        <v>111 Voxulizer TECHNO SYNTH</v>
      </c>
      <c r="S112" t="str">
        <f t="shared" si="24"/>
        <v>111 Fantomas Pad PULSATING</v>
      </c>
    </row>
    <row r="113" spans="1:19" x14ac:dyDescent="0.25">
      <c r="A113" t="s">
        <v>5769</v>
      </c>
      <c r="B113" t="s">
        <v>4089</v>
      </c>
      <c r="C113" t="s">
        <v>4217</v>
      </c>
      <c r="D113" t="s">
        <v>4347</v>
      </c>
      <c r="E113" t="s">
        <v>4475</v>
      </c>
      <c r="F113" t="s">
        <v>4613</v>
      </c>
      <c r="G113" t="s">
        <v>6042</v>
      </c>
      <c r="H113" t="s">
        <v>6171</v>
      </c>
      <c r="I113" t="s">
        <v>6299</v>
      </c>
      <c r="K113" t="str">
        <f t="shared" si="18"/>
        <v>112 Wired Synth OTHER SYNTH</v>
      </c>
      <c r="L113" t="str">
        <f t="shared" si="10"/>
        <v>112 Muted Gtr Pk EL.GUITAR</v>
      </c>
      <c r="M113" t="str">
        <f t="shared" si="11"/>
        <v>112 Vls PizzHall STRINGS</v>
      </c>
      <c r="N113" t="str">
        <f t="shared" si="19"/>
        <v>112 .16 Orch HIT&amp;STAB</v>
      </c>
      <c r="O113" t="str">
        <f t="shared" si="20"/>
        <v>112 Strings Pad SOFT PAD</v>
      </c>
      <c r="P113" t="str">
        <f t="shared" si="21"/>
        <v>112 ResoSweep Dn SYNTH FX</v>
      </c>
      <c r="Q113" t="str">
        <f t="shared" si="22"/>
        <v>112 Glider Bass SYNTH BASS</v>
      </c>
      <c r="R113" t="str">
        <f t="shared" si="23"/>
        <v>112 Wired Rez TECHNO SYNTH</v>
      </c>
      <c r="S113" t="str">
        <f t="shared" si="24"/>
        <v>112 Film Cue VOX</v>
      </c>
    </row>
    <row r="114" spans="1:19" x14ac:dyDescent="0.25">
      <c r="A114" t="s">
        <v>5770</v>
      </c>
      <c r="B114" t="s">
        <v>5924</v>
      </c>
      <c r="C114" t="s">
        <v>4218</v>
      </c>
      <c r="D114" t="s">
        <v>4348</v>
      </c>
      <c r="E114" t="s">
        <v>4476</v>
      </c>
      <c r="F114" t="s">
        <v>4614</v>
      </c>
      <c r="G114" t="s">
        <v>6043</v>
      </c>
      <c r="H114" t="s">
        <v>6172</v>
      </c>
      <c r="I114" t="s">
        <v>6300</v>
      </c>
      <c r="K114" t="str">
        <f t="shared" si="18"/>
        <v>113 5th Pad X SOFT PAD</v>
      </c>
      <c r="L114" t="str">
        <f t="shared" si="10"/>
        <v>113 StratSeq’nce EL.GUITAR</v>
      </c>
      <c r="M114" t="str">
        <f t="shared" si="11"/>
        <v>113 Orch Pizz STRINGS</v>
      </c>
      <c r="N114" t="str">
        <f t="shared" si="19"/>
        <v>113 In da Cave HIT&amp;STAB</v>
      </c>
      <c r="O114" t="str">
        <f t="shared" si="20"/>
        <v>113 R&amp;B SoftPad SOFT PAD</v>
      </c>
      <c r="P114" t="str">
        <f t="shared" si="21"/>
        <v>113 Zap B3 &amp; C4 SYNTH FX</v>
      </c>
      <c r="Q114" t="str">
        <f t="shared" si="22"/>
        <v>113 Fundamental SYNTH BASS</v>
      </c>
      <c r="R114" t="str">
        <f t="shared" si="23"/>
        <v>113 Noize R us TECHNO SYNTH</v>
      </c>
      <c r="S114" t="str">
        <f t="shared" si="24"/>
        <v>113 Choral Sweep VOX</v>
      </c>
    </row>
    <row r="115" spans="1:19" x14ac:dyDescent="0.25">
      <c r="A115" t="s">
        <v>5771</v>
      </c>
      <c r="B115" t="s">
        <v>4091</v>
      </c>
      <c r="C115" t="s">
        <v>4219</v>
      </c>
      <c r="D115" t="s">
        <v>4349</v>
      </c>
      <c r="E115" t="s">
        <v>4477</v>
      </c>
      <c r="F115" t="s">
        <v>4615</v>
      </c>
      <c r="G115" t="s">
        <v>6044</v>
      </c>
      <c r="H115" t="s">
        <v>6173</v>
      </c>
      <c r="I115" t="s">
        <v>6301</v>
      </c>
      <c r="K115" t="str">
        <f t="shared" si="18"/>
        <v>114 FS SoapOpera ORGAN</v>
      </c>
      <c r="L115" t="str">
        <f t="shared" si="10"/>
        <v>114 Fixx it EL.GUITAR</v>
      </c>
      <c r="M115" t="str">
        <f t="shared" si="11"/>
        <v>114 Wind &amp; Str 1 ORCHESTRA</v>
      </c>
      <c r="N115" t="str">
        <f t="shared" si="19"/>
        <v>114 BlastfrmPast HIT&amp;STAB</v>
      </c>
      <c r="O115" t="str">
        <f t="shared" si="20"/>
        <v>114 Reso Pad SOFT PAD</v>
      </c>
      <c r="P115" t="str">
        <f t="shared" si="21"/>
        <v>114 PolySweep Nz SYNTH FX</v>
      </c>
      <c r="Q115" t="str">
        <f t="shared" si="22"/>
        <v>114 Artus Bass SYNTH BASS</v>
      </c>
      <c r="R115" t="str">
        <f t="shared" si="23"/>
        <v>114 Inner Voices TECHNO SYNTH</v>
      </c>
      <c r="S115" t="str">
        <f t="shared" si="24"/>
        <v>114 Paradise VOX</v>
      </c>
    </row>
    <row r="116" spans="1:19" x14ac:dyDescent="0.25">
      <c r="A116" t="s">
        <v>5772</v>
      </c>
      <c r="B116" t="s">
        <v>4092</v>
      </c>
      <c r="C116" t="s">
        <v>4220</v>
      </c>
      <c r="D116" t="s">
        <v>4350</v>
      </c>
      <c r="E116" t="s">
        <v>4478</v>
      </c>
      <c r="F116" t="s">
        <v>4616</v>
      </c>
      <c r="G116" t="s">
        <v>6045</v>
      </c>
      <c r="H116" t="s">
        <v>6174</v>
      </c>
      <c r="I116" t="s">
        <v>6302</v>
      </c>
      <c r="K116" t="str">
        <f t="shared" si="18"/>
        <v>115 NylonGt /HO AC.GUITAR</v>
      </c>
      <c r="L116" t="str">
        <f t="shared" si="10"/>
        <v>115 Jazz Guitar EL.GUITAR</v>
      </c>
      <c r="M116" t="str">
        <f t="shared" si="11"/>
        <v>115 Wind &amp; Str 2 ORCHESTRA</v>
      </c>
      <c r="N116" t="str">
        <f t="shared" si="19"/>
        <v>115 Smear Hit 1 HIT&amp;STAB</v>
      </c>
      <c r="O116" t="str">
        <f t="shared" si="20"/>
        <v>115 Phat Pad SOFT PAD</v>
      </c>
      <c r="P116" t="str">
        <f t="shared" si="21"/>
        <v>115 New Planetz SYNTH FX</v>
      </c>
      <c r="Q116" t="str">
        <f t="shared" si="22"/>
        <v>115 Sweet &amp; Low SYNTH BASS</v>
      </c>
      <c r="R116" t="str">
        <f t="shared" si="23"/>
        <v>115 Beep Melodie TECHNO SYNTH</v>
      </c>
      <c r="S116" t="str">
        <f t="shared" si="24"/>
        <v>115 Sad ceremony VOX</v>
      </c>
    </row>
    <row r="117" spans="1:19" x14ac:dyDescent="0.25">
      <c r="A117" t="s">
        <v>5773</v>
      </c>
      <c r="B117" t="s">
        <v>4093</v>
      </c>
      <c r="C117" t="s">
        <v>4221</v>
      </c>
      <c r="D117" t="s">
        <v>4351</v>
      </c>
      <c r="E117" t="s">
        <v>4479</v>
      </c>
      <c r="F117" t="s">
        <v>4617</v>
      </c>
      <c r="G117" t="s">
        <v>6046</v>
      </c>
      <c r="H117" t="s">
        <v>6175</v>
      </c>
      <c r="I117" t="s">
        <v>6303</v>
      </c>
      <c r="K117" t="str">
        <f t="shared" si="18"/>
        <v>116 Dark Grand AC.PIANO</v>
      </c>
      <c r="L117" t="str">
        <f t="shared" si="10"/>
        <v>116 DynoJazz Gtr EL.GUITAR</v>
      </c>
      <c r="M117" t="str">
        <f t="shared" si="11"/>
        <v>116 Farewell ORCHESTRA</v>
      </c>
      <c r="N117" t="str">
        <f t="shared" si="19"/>
        <v>116 Smear Hit 2 HIT&amp;STAB</v>
      </c>
      <c r="O117" t="str">
        <f t="shared" si="20"/>
        <v>116 FS PhaserPad SOFT PAD</v>
      </c>
      <c r="P117" t="str">
        <f t="shared" si="21"/>
        <v>116 Strange Land SYNTH FX</v>
      </c>
      <c r="Q117" t="str">
        <f t="shared" si="22"/>
        <v>116 Change It SYNTH BASS</v>
      </c>
      <c r="R117" t="str">
        <f t="shared" si="23"/>
        <v>116 Alpha Hoover TECHNO SYNTH</v>
      </c>
      <c r="S117" t="str">
        <f t="shared" si="24"/>
        <v>116 Lost Voices VOX</v>
      </c>
    </row>
    <row r="118" spans="1:19" x14ac:dyDescent="0.25">
      <c r="A118" t="s">
        <v>5774</v>
      </c>
      <c r="B118" t="s">
        <v>4094</v>
      </c>
      <c r="C118" t="s">
        <v>4222</v>
      </c>
      <c r="D118" t="s">
        <v>4352</v>
      </c>
      <c r="E118" t="s">
        <v>4480</v>
      </c>
      <c r="F118" t="s">
        <v>4618</v>
      </c>
      <c r="G118" t="s">
        <v>6047</v>
      </c>
      <c r="H118" t="s">
        <v>6176</v>
      </c>
      <c r="I118" t="s">
        <v>6304</v>
      </c>
      <c r="K118" t="str">
        <f t="shared" si="18"/>
        <v>117 Auto Sync PULSATING</v>
      </c>
      <c r="L118" t="str">
        <f t="shared" si="10"/>
        <v>117 Wet TC EL.GUITAR</v>
      </c>
      <c r="M118" t="str">
        <f t="shared" si="11"/>
        <v>117 Orch &amp; Horns ORCHESTRA</v>
      </c>
      <c r="N118" t="str">
        <f t="shared" si="19"/>
        <v>117 Good Old Hit HIT&amp;STAB</v>
      </c>
      <c r="O118" t="str">
        <f t="shared" si="20"/>
        <v>117 Mystic Str SOFT PAD</v>
      </c>
      <c r="P118" t="str">
        <f t="shared" si="21"/>
        <v>117 Trancer SYNTH FX</v>
      </c>
      <c r="Q118" t="str">
        <f t="shared" si="22"/>
        <v>117 the ONE SYNTH BASS</v>
      </c>
      <c r="R118" t="str">
        <f t="shared" si="23"/>
        <v>117 Steel Wire TECHNO SYNTH</v>
      </c>
      <c r="S118" t="str">
        <f t="shared" si="24"/>
        <v>117 Talk 2 Me VOX</v>
      </c>
    </row>
    <row r="119" spans="1:19" x14ac:dyDescent="0.25">
      <c r="A119" t="s">
        <v>5775</v>
      </c>
      <c r="B119" t="s">
        <v>4095</v>
      </c>
      <c r="C119" t="s">
        <v>4223</v>
      </c>
      <c r="D119" t="s">
        <v>4353</v>
      </c>
      <c r="E119" t="s">
        <v>4481</v>
      </c>
      <c r="F119" t="s">
        <v>4619</v>
      </c>
      <c r="G119" t="s">
        <v>6048</v>
      </c>
      <c r="H119" t="s">
        <v>6177</v>
      </c>
      <c r="I119" t="s">
        <v>6305</v>
      </c>
      <c r="K119" t="str">
        <f t="shared" si="18"/>
        <v>118 Film Cue VOX</v>
      </c>
      <c r="L119" t="str">
        <f t="shared" si="10"/>
        <v>118 Clean Gtr EL.GUITAR</v>
      </c>
      <c r="M119" t="str">
        <f t="shared" si="11"/>
        <v>118 Soft Orch 1 ORCHESTRA</v>
      </c>
      <c r="N119" t="str">
        <f t="shared" si="19"/>
        <v>118 Mix Hit 1 HIT&amp;STAB</v>
      </c>
      <c r="O119" t="str">
        <f t="shared" si="20"/>
        <v>118 Glass Organ SOFT PAD</v>
      </c>
      <c r="P119" t="str">
        <f t="shared" si="21"/>
        <v>118 S&amp;H Voc SYNTH FX</v>
      </c>
      <c r="Q119" t="str">
        <f t="shared" si="22"/>
        <v>118 ChoruSE ONE SYNTH BASS</v>
      </c>
      <c r="R119" t="str">
        <f t="shared" si="23"/>
        <v>118 Rav-i-Toid TECHNO SYNTH</v>
      </c>
      <c r="S119" t="str">
        <f t="shared" si="24"/>
        <v>118 Pearly Harp PLUCKED</v>
      </c>
    </row>
    <row r="120" spans="1:19" x14ac:dyDescent="0.25">
      <c r="A120" t="s">
        <v>5776</v>
      </c>
      <c r="B120" t="s">
        <v>4096</v>
      </c>
      <c r="C120" t="s">
        <v>4224</v>
      </c>
      <c r="D120" t="s">
        <v>4354</v>
      </c>
      <c r="E120" t="s">
        <v>4482</v>
      </c>
      <c r="F120" t="s">
        <v>4620</v>
      </c>
      <c r="G120" t="s">
        <v>6049</v>
      </c>
      <c r="H120" t="s">
        <v>6178</v>
      </c>
      <c r="I120" t="s">
        <v>6306</v>
      </c>
      <c r="K120" t="str">
        <f t="shared" si="18"/>
        <v>119 Violin STRINGS</v>
      </c>
      <c r="L120" t="str">
        <f t="shared" si="10"/>
        <v>119 Crimson Gtr EL.GUITAR</v>
      </c>
      <c r="M120" t="str">
        <f t="shared" si="11"/>
        <v>119 Soft Orch 2 ORCHESTRA</v>
      </c>
      <c r="N120" t="str">
        <f t="shared" si="19"/>
        <v>119 Philly Hit HIT&amp;STAB</v>
      </c>
      <c r="O120" t="str">
        <f t="shared" si="20"/>
        <v>119 Wind Pad SOFT PAD</v>
      </c>
      <c r="P120" t="str">
        <f t="shared" si="21"/>
        <v>119 12th Planet SYNTH FX</v>
      </c>
      <c r="Q120" t="str">
        <f t="shared" si="22"/>
        <v>119 Eyes Bass SYNTH BASS</v>
      </c>
      <c r="R120" t="str">
        <f t="shared" si="23"/>
        <v>119 Rez Therapy TECHNO SYNTH</v>
      </c>
      <c r="S120" t="str">
        <f t="shared" si="24"/>
        <v>119 Nylon Harp PLUCKED</v>
      </c>
    </row>
    <row r="121" spans="1:19" x14ac:dyDescent="0.25">
      <c r="A121" t="s">
        <v>5777</v>
      </c>
      <c r="B121" t="s">
        <v>4097</v>
      </c>
      <c r="C121" t="s">
        <v>4225</v>
      </c>
      <c r="D121" t="s">
        <v>4355</v>
      </c>
      <c r="E121" t="s">
        <v>4483</v>
      </c>
      <c r="F121" t="s">
        <v>4621</v>
      </c>
      <c r="G121" t="s">
        <v>6050</v>
      </c>
      <c r="H121" t="s">
        <v>6179</v>
      </c>
      <c r="I121" t="s">
        <v>6307</v>
      </c>
      <c r="K121" t="str">
        <f t="shared" si="18"/>
        <v>120 Minty Fresh PULSATING</v>
      </c>
      <c r="L121" t="str">
        <f t="shared" si="10"/>
        <v>120 Touchee Funk EL.GUITAR</v>
      </c>
      <c r="M121" t="str">
        <f t="shared" si="11"/>
        <v>120 Henry IX ORCHESTRA</v>
      </c>
      <c r="N121" t="str">
        <f t="shared" si="19"/>
        <v>120 Mojo Man HIT&amp;STAB</v>
      </c>
      <c r="O121" t="str">
        <f t="shared" si="20"/>
        <v>120 Combination SOFT PAD</v>
      </c>
      <c r="P121" t="str">
        <f t="shared" si="21"/>
        <v>120 Ambidextrous 2 SOUND FX</v>
      </c>
      <c r="Q121" t="str">
        <f t="shared" si="22"/>
        <v>120 Secret Bass SYNTH BASS</v>
      </c>
      <c r="R121" t="str">
        <f t="shared" si="23"/>
        <v>120 Ivan’s TECHNO SYNTH</v>
      </c>
      <c r="S121" t="str">
        <f t="shared" si="24"/>
        <v>120 Skydiver PLUCKED</v>
      </c>
    </row>
    <row r="122" spans="1:19" x14ac:dyDescent="0.25">
      <c r="A122" t="s">
        <v>5778</v>
      </c>
      <c r="B122" t="s">
        <v>5925</v>
      </c>
      <c r="C122" t="s">
        <v>4226</v>
      </c>
      <c r="D122" t="s">
        <v>4356</v>
      </c>
      <c r="E122" t="s">
        <v>4484</v>
      </c>
      <c r="F122" t="s">
        <v>4622</v>
      </c>
      <c r="G122" t="s">
        <v>6051</v>
      </c>
      <c r="H122" t="s">
        <v>6180</v>
      </c>
      <c r="I122" t="s">
        <v>6308</v>
      </c>
      <c r="K122" t="str">
        <f t="shared" si="18"/>
        <v>121 StakDraw Org ORGAN</v>
      </c>
      <c r="L122" t="str">
        <f t="shared" si="10"/>
        <v>121 Plug n’ Gig EL.GUITAR</v>
      </c>
      <c r="M122" t="str">
        <f t="shared" si="11"/>
        <v>121 Ending Scene ORCHESTRA</v>
      </c>
      <c r="N122" t="str">
        <f t="shared" si="19"/>
        <v>121 Cheezy Movie HIT&amp;STAB</v>
      </c>
      <c r="O122" t="str">
        <f t="shared" si="20"/>
        <v>121 HumanKindnes SOFT PAD</v>
      </c>
      <c r="P122" t="str">
        <f t="shared" si="21"/>
        <v>121 En-co-re 4 SOUND FX</v>
      </c>
      <c r="Q122" t="str">
        <f t="shared" si="22"/>
        <v>121 Base BoX SYNTH BASS</v>
      </c>
      <c r="R122" t="str">
        <f t="shared" si="23"/>
        <v>121 Morpher TECHNO SYNTH</v>
      </c>
      <c r="S122" t="str">
        <f t="shared" si="24"/>
        <v>121 Unpluck’d PLUCKED</v>
      </c>
    </row>
    <row r="123" spans="1:19" x14ac:dyDescent="0.25">
      <c r="A123" t="s">
        <v>5779</v>
      </c>
      <c r="B123" t="s">
        <v>4099</v>
      </c>
      <c r="C123" t="s">
        <v>4227</v>
      </c>
      <c r="D123" t="s">
        <v>4357</v>
      </c>
      <c r="E123" t="s">
        <v>4485</v>
      </c>
      <c r="F123" t="s">
        <v>4623</v>
      </c>
      <c r="G123" t="s">
        <v>6052</v>
      </c>
      <c r="H123" t="s">
        <v>6181</v>
      </c>
      <c r="I123" t="s">
        <v>6309</v>
      </c>
      <c r="K123" t="str">
        <f t="shared" si="18"/>
        <v>122 F.Horns Sect AC.BRASS</v>
      </c>
      <c r="L123" t="str">
        <f t="shared" si="10"/>
        <v>122 Kinda Kurt EL.GUITAR</v>
      </c>
      <c r="M123" t="str">
        <f t="shared" si="11"/>
        <v>122 Good Old Day WIND</v>
      </c>
      <c r="N123" t="str">
        <f t="shared" si="19"/>
        <v>122 Mix Hit 2 HIT&amp;STAB</v>
      </c>
      <c r="O123" t="str">
        <f t="shared" si="20"/>
        <v>122 Atmospherics SOFT PAD</v>
      </c>
      <c r="P123" t="str">
        <f t="shared" si="21"/>
        <v>122 Mobile Phone 1 SOUND FX</v>
      </c>
      <c r="Q123" t="str">
        <f t="shared" si="22"/>
        <v>122 Nu RnB Bass SYNTH BASS</v>
      </c>
      <c r="R123" t="str">
        <f t="shared" si="23"/>
        <v>122 StellarTreck PULSATING</v>
      </c>
      <c r="S123" t="str">
        <f t="shared" si="24"/>
        <v>122 Ethno Plucks PLUCKED</v>
      </c>
    </row>
    <row r="124" spans="1:19" x14ac:dyDescent="0.25">
      <c r="A124" t="s">
        <v>5780</v>
      </c>
      <c r="B124" t="s">
        <v>4100</v>
      </c>
      <c r="C124" t="s">
        <v>4228</v>
      </c>
      <c r="D124" t="s">
        <v>4358</v>
      </c>
      <c r="E124" t="s">
        <v>4486</v>
      </c>
      <c r="F124" t="s">
        <v>4624</v>
      </c>
      <c r="G124" t="s">
        <v>6053</v>
      </c>
      <c r="H124" t="s">
        <v>6182</v>
      </c>
      <c r="I124" t="s">
        <v>6310</v>
      </c>
      <c r="K124" t="str">
        <f t="shared" si="18"/>
        <v>123 Wind &amp; Str 1 ORCHESTRA</v>
      </c>
      <c r="L124" t="str">
        <f t="shared" si="10"/>
        <v>123 Nice Oct Gtr EL.GUITAR</v>
      </c>
      <c r="M124" t="str">
        <f t="shared" si="11"/>
        <v>123 FS WindWood WIND</v>
      </c>
      <c r="N124" t="str">
        <f t="shared" si="19"/>
        <v>123 Lo-Fi Hit HIT&amp;STAB</v>
      </c>
      <c r="O124" t="str">
        <f t="shared" si="20"/>
        <v>123 Terra Nostra SOFT PAD</v>
      </c>
      <c r="P124" t="str">
        <f t="shared" si="21"/>
        <v>123 Beat (C4) BEAT&amp;GROOVE</v>
      </c>
      <c r="Q124" t="str">
        <f t="shared" si="22"/>
        <v>123 D n’ Bass SYNTH BASS</v>
      </c>
      <c r="R124" t="str">
        <f t="shared" si="23"/>
        <v>123 Tekno Tone PULSATING</v>
      </c>
      <c r="S124" t="str">
        <f t="shared" si="24"/>
        <v>123 SaraswatiRvr PLUCKED</v>
      </c>
    </row>
    <row r="125" spans="1:19" x14ac:dyDescent="0.25">
      <c r="A125" t="s">
        <v>5781</v>
      </c>
      <c r="B125" t="s">
        <v>4101</v>
      </c>
      <c r="C125" t="s">
        <v>4229</v>
      </c>
      <c r="D125" t="s">
        <v>4359</v>
      </c>
      <c r="E125" t="s">
        <v>4487</v>
      </c>
      <c r="F125" t="s">
        <v>4625</v>
      </c>
      <c r="G125" t="s">
        <v>6054</v>
      </c>
      <c r="H125" t="s">
        <v>6183</v>
      </c>
      <c r="I125" t="s">
        <v>6311</v>
      </c>
      <c r="K125" t="str">
        <f t="shared" si="18"/>
        <v>124 FS 12str Gtr AC.GUITAR</v>
      </c>
      <c r="L125" t="str">
        <f t="shared" si="10"/>
        <v>124 Strat Gtr EL.GUITAR</v>
      </c>
      <c r="M125" t="str">
        <f t="shared" si="11"/>
        <v>124 Clarence.net WIND</v>
      </c>
      <c r="N125" t="str">
        <f t="shared" si="19"/>
        <v>124 2ble Action HIT&amp;STAB</v>
      </c>
      <c r="O125" t="str">
        <f t="shared" si="20"/>
        <v>124 OB Aaahs SOFT PAD</v>
      </c>
      <c r="P125" t="str">
        <f t="shared" si="21"/>
        <v>124 StepLFO Ens BEAT&amp;GROOVE</v>
      </c>
      <c r="Q125" t="str">
        <f t="shared" si="22"/>
        <v>124 DnB Bass 1 SYNTH BASS</v>
      </c>
      <c r="R125" t="str">
        <f t="shared" si="23"/>
        <v>124 Generator PULSATING</v>
      </c>
      <c r="S125" t="str">
        <f t="shared" si="24"/>
        <v>124 Drone X PLUCKED</v>
      </c>
    </row>
    <row r="126" spans="1:19" x14ac:dyDescent="0.25">
      <c r="A126" t="s">
        <v>5782</v>
      </c>
      <c r="B126" t="s">
        <v>4102</v>
      </c>
      <c r="C126" t="s">
        <v>4230</v>
      </c>
      <c r="D126" t="s">
        <v>4360</v>
      </c>
      <c r="E126" t="s">
        <v>4488</v>
      </c>
      <c r="F126" t="s">
        <v>4626</v>
      </c>
      <c r="G126" t="s">
        <v>6055</v>
      </c>
      <c r="H126" t="s">
        <v>6184</v>
      </c>
      <c r="I126" t="s">
        <v>6312</v>
      </c>
      <c r="K126" t="str">
        <f t="shared" si="18"/>
        <v>125 Comp Picker BASS</v>
      </c>
      <c r="L126" t="str">
        <f t="shared" si="10"/>
        <v>125 JC Strat Bdy EL.GUITAR</v>
      </c>
      <c r="M126" t="str">
        <f t="shared" si="11"/>
        <v>125 FS Oboe WIND</v>
      </c>
      <c r="N126" t="str">
        <f t="shared" si="19"/>
        <v>125 Funk Chank HIT&amp;STAB</v>
      </c>
      <c r="O126" t="str">
        <f t="shared" si="20"/>
        <v>125 Vulcano Pad SOFT PAD</v>
      </c>
      <c r="P126" t="str">
        <f t="shared" si="21"/>
        <v>125 Timpani+Low PERCUSSION</v>
      </c>
      <c r="Q126" t="str">
        <f t="shared" si="22"/>
        <v>125 Fat Bottom SYNTH BASS</v>
      </c>
      <c r="R126" t="str">
        <f t="shared" si="23"/>
        <v>125 ARP x Race PULSATING</v>
      </c>
      <c r="S126" t="str">
        <f t="shared" si="24"/>
        <v>125 Lounge Kit COMBINATION</v>
      </c>
    </row>
    <row r="127" spans="1:19" x14ac:dyDescent="0.25">
      <c r="A127" t="s">
        <v>5783</v>
      </c>
      <c r="B127" t="s">
        <v>4103</v>
      </c>
      <c r="C127" t="s">
        <v>4231</v>
      </c>
      <c r="D127" t="s">
        <v>4361</v>
      </c>
      <c r="E127" t="s">
        <v>4489</v>
      </c>
      <c r="F127" t="s">
        <v>4627</v>
      </c>
      <c r="G127" t="s">
        <v>6056</v>
      </c>
      <c r="H127" t="s">
        <v>6185</v>
      </c>
      <c r="I127" t="s">
        <v>6313</v>
      </c>
      <c r="K127" t="str">
        <f t="shared" si="18"/>
        <v>126 eXisDance PULSATING</v>
      </c>
      <c r="L127" t="str">
        <f t="shared" si="10"/>
        <v>126 Twin StratsB EL.GUITAR</v>
      </c>
      <c r="M127" t="str">
        <f t="shared" si="11"/>
        <v>126 Hall Oboe WIND</v>
      </c>
      <c r="N127" t="str">
        <f t="shared" si="19"/>
        <v>126 Venus HIT&amp;STAB</v>
      </c>
      <c r="O127" t="str">
        <f t="shared" si="20"/>
        <v>126 Cloud #9 SOFT PAD</v>
      </c>
      <c r="P127" t="str">
        <f t="shared" si="21"/>
        <v>126 Timpani Roll PERCUSSION</v>
      </c>
      <c r="Q127" t="str">
        <f t="shared" si="22"/>
        <v>126 Deep S-E SYNTH BASS</v>
      </c>
      <c r="R127" t="str">
        <f t="shared" si="23"/>
        <v>126 DSP Chaos PULSATING</v>
      </c>
      <c r="S127" t="str">
        <f t="shared" si="24"/>
        <v>126 Gospel Trio COMBINATION</v>
      </c>
    </row>
    <row r="128" spans="1:19" x14ac:dyDescent="0.25">
      <c r="A128" t="s">
        <v>5784</v>
      </c>
      <c r="B128" t="s">
        <v>4104</v>
      </c>
      <c r="C128" t="s">
        <v>4232</v>
      </c>
      <c r="D128" t="s">
        <v>4362</v>
      </c>
      <c r="E128" t="s">
        <v>4490</v>
      </c>
      <c r="F128" t="s">
        <v>4628</v>
      </c>
      <c r="G128" t="s">
        <v>6057</v>
      </c>
      <c r="H128" t="s">
        <v>6186</v>
      </c>
      <c r="I128" t="s">
        <v>6314</v>
      </c>
      <c r="K128" t="str">
        <f t="shared" si="18"/>
        <v>127 Dreaming Box BELL</v>
      </c>
      <c r="L128" t="str">
        <f t="shared" si="10"/>
        <v>127 BluNoteStrat EL.GUITAR</v>
      </c>
      <c r="M128" t="str">
        <f t="shared" si="11"/>
        <v>127 English Horn WIND</v>
      </c>
      <c r="N128" t="str">
        <f t="shared" si="19"/>
        <v>127 AluminmWires TECHNO SYNTH</v>
      </c>
      <c r="O128" t="str">
        <f t="shared" si="20"/>
        <v>127 Lostscapes SOFT PAD</v>
      </c>
      <c r="P128" t="str">
        <f t="shared" si="21"/>
        <v>127 Bass Drum PERCUSSION</v>
      </c>
      <c r="Q128" t="str">
        <f t="shared" si="22"/>
        <v>127 Nu Bace SYNTH BASS</v>
      </c>
      <c r="R128" t="str">
        <f t="shared" si="23"/>
        <v>127 Phraserblade PULSATING</v>
      </c>
      <c r="S128" t="str">
        <f t="shared" si="24"/>
        <v>127 xcultural COMBINATION</v>
      </c>
    </row>
    <row r="129" spans="1:19" x14ac:dyDescent="0.25">
      <c r="A129" t="s">
        <v>5785</v>
      </c>
      <c r="B129" t="s">
        <v>4105</v>
      </c>
      <c r="C129" t="s">
        <v>4233</v>
      </c>
      <c r="D129" t="s">
        <v>4363</v>
      </c>
      <c r="E129" t="s">
        <v>4491</v>
      </c>
      <c r="F129" t="s">
        <v>4629</v>
      </c>
      <c r="G129" t="s">
        <v>6058</v>
      </c>
      <c r="H129" t="s">
        <v>6187</v>
      </c>
      <c r="I129" t="s">
        <v>6315</v>
      </c>
      <c r="K129" t="str">
        <f t="shared" si="18"/>
        <v>128 Andes Mood FLUTE</v>
      </c>
      <c r="L129" t="str">
        <f t="shared" ref="L129" si="25">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SUBSTITUTE(B129,"'","´"),"[0-9] AC.PIANO","AC.PIANO",-1),"[0-9] PULSATING","PULSATING"),"[0-9] KEYBOARDS","KEYBOARDS"),"[0-9] EL.PIANO","EL.PIANO"),"[0-9] BELL","BELL"),"[0-9] MALLET","MALLET"),"[0-9] ORGAN","ORGAN"),"[0-9] ACCORDION","ACCORDION"),"[0-9] HARMONICA","HARMONICA"),"[0-9] AC.GUITAR","AC.GUITAR"),"[0-9] EL.GUITAR","EL.GUITAR"),"[0-9] DIST.GUITAR","DIST.GUITAR"),"[0-9] BASS","BASS"),"[0-9] STRINGS","STRINGS"),"[0-9] SYNTH BASS","SYNTH BASS"),"[0-9] ORCHESTRA","ORCHESTRA"),"[0-9] WIND","WIND"),"[0-9] FLUTE","FLUTE"),"[0-9] AC.BRASS","AC.BRASS"),"[0-9] SYNTH BRASS","SYNTH BRASS"),"[0-9] SAX","SAX"),"[0-9] SOFT LEAD","SOFT LEAD"),"[0-9] HARD LEAD","HARD LEAD"),"[0-9] HIT&amp;STAB","HIT&amp;STAB"),"[0-9] TECHNO SYNTH","TECHNO SYNTH"),"[0-9] OTHER SYNTH","OTHER SYNTH"),"[0-9] VOX","VOX"),"[0-9] SOFT PAD","SOFT PAD"),"[0-9] BRIGHT PAD","BRIGHT PAD"),"[0-9] PLUCKED","PLUCKED"),"[0-9] ETHNIC","ETHNIC"),"[0-9] FRETTED","FRETTED"),"[0-9] SYNTH FX","SYNTH FX"),"[0-9] BEAT&amp;GROOVE","BEAT&amp;GROOVE"),"[0-9] PERCUSSION","PERCUSSION"),"[0-9] COMBINATION","COMBINATION")</f>
        <v>128 FS Funk Gtr EL.GUITAR</v>
      </c>
      <c r="M129" t="str">
        <f t="shared" ref="M129" si="26">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SUBSTITUTE(C129,"'","´"),"[0-9] AC.PIANO","AC.PIANO",-1),"[0-9] PULSATING","PULSATING"),"[0-9] KEYBOARDS","KEYBOARDS"),"[0-9] EL.PIANO","EL.PIANO"),"[0-9] BELL","BELL"),"[0-9] MALLET","MALLET"),"[0-9] ORGAN","ORGAN"),"[0-9] ACCORDION","ACCORDION"),"[0-9] HARMONICA","HARMONICA"),"[0-9] AC.GUITAR","AC.GUITAR"),"[0-9] EL.GUITAR","EL.GUITAR"),"[0-9] DIST.GUITAR","DIST.GUITAR"),"[0-9] BASS","BASS"),"[0-9] STRINGS","STRINGS"),"[0-9] SYNTH BASS","SYNTH BASS"),"[0-9] ORCHESTRA","ORCHESTRA"),"[0-9] WIND","WIND"),"[0-9] FLUTE","FLUTE"),"[0-9] AC.BRASS","AC.BRASS"),"[0-9] SYNTH BRASS","SYNTH BRASS"),"[0-9] SAX","SAX"),"[0-9] SOFT LEAD","SOFT LEAD"),"[0-9] HARD LEAD","HARD LEAD"),"[0-9] HIT&amp;STAB","HIT&amp;STAB"),"[0-9] TECHNO SYNTH","TECHNO SYNTH"),"[0-9] OTHER SYNTH","OTHER SYNTH"),"[0-9] VOX","VOX"),"[0-9] SOFT PAD","SOFT PAD"),"[0-9] BRIGHT PAD","BRIGHT PAD"),"[0-9] PLUCKED","PLUCKED"),"[0-9] ETHNIC","ETHNIC"),"[0-9] FRETTED","FRETTED"),"[0-9] SYNTH FX","SYNTH FX"),"[0-9] BEAT&amp;GROOVE","BEAT&amp;GROOVE"),"[0-9] PERCUSSION","PERCUSSION"),"[0-9] COMBINATION","COMBINATION")</f>
        <v>128 Bassoon WIND</v>
      </c>
      <c r="N129" t="str">
        <f t="shared" si="19"/>
        <v>128 Raven Chord TECHNO SYNTH</v>
      </c>
      <c r="O129" t="str">
        <f t="shared" si="20"/>
        <v>128 Organic Pad SOFT PAD</v>
      </c>
      <c r="P129" t="str">
        <f t="shared" si="21"/>
        <v>128 Techno Craft COMBINATION</v>
      </c>
      <c r="Q129" t="str">
        <f t="shared" si="22"/>
        <v>128 Mini Like! SYNTH BASS</v>
      </c>
      <c r="R129" t="str">
        <f t="shared" si="23"/>
        <v>128 Dancefloor PULSATING</v>
      </c>
      <c r="S129" t="str">
        <f t="shared" si="24"/>
        <v>128 When I’m 64 COMBINATION</v>
      </c>
    </row>
    <row r="130" spans="1:19" x14ac:dyDescent="0.25">
      <c r="A130" t="s">
        <v>5786</v>
      </c>
      <c r="K130" t="str">
        <f t="shared" si="18"/>
        <v>129 Dust Bass SYNTH BASS</v>
      </c>
    </row>
    <row r="131" spans="1:19" x14ac:dyDescent="0.25">
      <c r="A131" t="s">
        <v>5787</v>
      </c>
      <c r="K131" t="str">
        <f t="shared" ref="K131:K194" si="27">CLEAN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SUBSTITUTE(A131,"'","´"),"[0-9] AC.PIANO","AC.PIANO",-1),"[0-9] PULSATING","PULSATING"),"[0-9] KEYBOARDS","KEYBOARDS"),"[0-9] EL.PIANO","EL.PIANO"),"[0-9] BELL","BELL"),"[0-9] MALLET","MALLET"),"[0-9] ORGAN","ORGAN"),"[0-9] ACCORDION","ACCORDION"),"[0-9] HARMONICA","HARMONICA"),"[0-9] AC.GUITAR","AC.GUITAR"),"[0-9] EL.GUITAR","EL.GUITAR"),"[0-9] DIST.GUITAR","DIST.GUITAR"),"[0-9] BASS","BASS"),"[0-9] STRINGS","STRINGS"),"[0-9] SYNTH BASS","SYNTH BASS"),"[0-9] ORCHESTRA","ORCHESTRA"),"[0-9] WIND","WIND"),"[0-9] FLUTE","FLUTE"),"[0-9] AC.BRASS","AC.BRASS"),"[0-9] SYNTH BRASS","SYNTH BRASS"),"[0-9] SAX","SAX"),"[0-9] SOFT LEAD","SOFT LEAD"),"[0-9] HARD LEAD","HARD LEAD"),"[0-9] HIT&amp;STAB","HIT&amp;STAB"),"[0-9] TECHNO SYNTH","TECHNO SYNTH"),"[0-9] OTHER SYNTH","OTHER SYNTH"),"[0-9] VOX","VOX"),"[0-9] SOFT PAD","SOFT PAD"),"[0-9] BRIGHT PAD","BRIGHT PAD"),"[0-9] PLUCKED","PLUCKED"),"[0-9] ETHNIC","ETHNIC"),"[0-9] FRETTED","FRETTED"),"[0-9] SYNTH FX","SYNTH FX"),"[0-9] BEAT&amp;GROOVE","BEAT&amp;GROOVE"),"[0-9] PERCUSSION","PERCUSSION"),"[0-9] COMBINATION","COMBINATION"))</f>
        <v>130 Survivoz BRIGHT PAD</v>
      </c>
    </row>
    <row r="132" spans="1:19" x14ac:dyDescent="0.25">
      <c r="A132" t="s">
        <v>5788</v>
      </c>
      <c r="K132" t="str">
        <f t="shared" si="27"/>
        <v>131 Backing PhEP EL.PIANO</v>
      </c>
    </row>
    <row r="133" spans="1:19" x14ac:dyDescent="0.25">
      <c r="A133" t="s">
        <v>5789</v>
      </c>
      <c r="K133" t="str">
        <f t="shared" si="27"/>
        <v>132 Tutti HIT&amp;STAB</v>
      </c>
    </row>
    <row r="134" spans="1:19" x14ac:dyDescent="0.25">
      <c r="A134" t="s">
        <v>5790</v>
      </c>
      <c r="K134" t="str">
        <f t="shared" si="27"/>
        <v>133 ActualAnalog HARD LEAD</v>
      </c>
    </row>
    <row r="135" spans="1:19" x14ac:dyDescent="0.25">
      <c r="A135" t="s">
        <v>5791</v>
      </c>
      <c r="K135" t="str">
        <f t="shared" si="27"/>
        <v>134 TrnsSweepPad SOFT PAD</v>
      </c>
    </row>
    <row r="136" spans="1:19" x14ac:dyDescent="0.25">
      <c r="A136" t="s">
        <v>5792</v>
      </c>
      <c r="K136" t="str">
        <f t="shared" si="27"/>
        <v>135 Ivan’s TECHNO SYNTH</v>
      </c>
    </row>
    <row r="137" spans="1:19" x14ac:dyDescent="0.25">
      <c r="A137" t="s">
        <v>5793</v>
      </c>
      <c r="K137" t="str">
        <f t="shared" si="27"/>
        <v>136 Triple X OTHER SYNTH</v>
      </c>
    </row>
    <row r="138" spans="1:19" x14ac:dyDescent="0.25">
      <c r="A138" t="s">
        <v>5794</v>
      </c>
      <c r="K138" t="str">
        <f t="shared" si="27"/>
        <v>137 DelicatePizz STRINGS</v>
      </c>
    </row>
    <row r="139" spans="1:19" x14ac:dyDescent="0.25">
      <c r="A139" t="s">
        <v>5795</v>
      </c>
      <c r="K139" t="str">
        <f t="shared" si="27"/>
        <v>138 SubOscar SYNTH BASS</v>
      </c>
    </row>
    <row r="140" spans="1:19" x14ac:dyDescent="0.25">
      <c r="A140" t="s">
        <v>5796</v>
      </c>
      <c r="K140" t="str">
        <f t="shared" si="27"/>
        <v>139 FS Sitar 1 PLUCKED</v>
      </c>
    </row>
    <row r="141" spans="1:19" x14ac:dyDescent="0.25">
      <c r="A141" t="s">
        <v>5797</v>
      </c>
      <c r="K141" t="str">
        <f t="shared" si="27"/>
        <v>140 Punker 1 DIST.GUITAR</v>
      </c>
    </row>
    <row r="142" spans="1:19" x14ac:dyDescent="0.25">
      <c r="A142" t="s">
        <v>5798</v>
      </c>
      <c r="K142" t="str">
        <f t="shared" si="27"/>
        <v>141 Ooh La La BRIGHT PAD</v>
      </c>
    </row>
    <row r="143" spans="1:19" x14ac:dyDescent="0.25">
      <c r="A143" t="s">
        <v>5799</v>
      </c>
      <c r="K143" t="str">
        <f t="shared" si="27"/>
        <v>142 Solo Tb AC.BRASS</v>
      </c>
    </row>
    <row r="144" spans="1:19" x14ac:dyDescent="0.25">
      <c r="A144" t="s">
        <v>5800</v>
      </c>
      <c r="K144" t="str">
        <f t="shared" si="27"/>
        <v>143 Psycho EP EL.PIANO</v>
      </c>
    </row>
    <row r="145" spans="1:11" x14ac:dyDescent="0.25">
      <c r="A145" t="s">
        <v>5801</v>
      </c>
      <c r="K145" t="str">
        <f t="shared" si="27"/>
        <v>144 SBF Lead HARD LEAD</v>
      </c>
    </row>
    <row r="146" spans="1:11" x14ac:dyDescent="0.25">
      <c r="A146" t="s">
        <v>5802</v>
      </c>
      <c r="K146" t="str">
        <f t="shared" si="27"/>
        <v>145 Flange Dream SOFT PAD</v>
      </c>
    </row>
    <row r="147" spans="1:11" x14ac:dyDescent="0.25">
      <c r="A147" t="s">
        <v>5803</v>
      </c>
      <c r="K147" t="str">
        <f t="shared" si="27"/>
        <v>146 X Picked Bs BASS</v>
      </c>
    </row>
    <row r="148" spans="1:11" x14ac:dyDescent="0.25">
      <c r="A148" t="s">
        <v>5804</v>
      </c>
      <c r="K148" t="str">
        <f t="shared" si="27"/>
        <v>147 Classic Lead HARD LEAD</v>
      </c>
    </row>
    <row r="149" spans="1:11" x14ac:dyDescent="0.25">
      <c r="A149" t="s">
        <v>5805</v>
      </c>
      <c r="K149" t="str">
        <f t="shared" si="27"/>
        <v>148 LongDistance ETHNIC</v>
      </c>
    </row>
    <row r="150" spans="1:11" x14ac:dyDescent="0.25">
      <c r="A150" t="s">
        <v>5806</v>
      </c>
      <c r="K150" t="str">
        <f t="shared" si="27"/>
        <v>149 X Pure Grand AC.PIANO</v>
      </c>
    </row>
    <row r="151" spans="1:11" x14ac:dyDescent="0.25">
      <c r="A151" t="s">
        <v>5807</v>
      </c>
      <c r="K151" t="str">
        <f t="shared" si="27"/>
        <v>150 Da Chronic SYNTH BASS</v>
      </c>
    </row>
    <row r="152" spans="1:11" x14ac:dyDescent="0.25">
      <c r="A152" t="s">
        <v>5808</v>
      </c>
      <c r="K152" t="str">
        <f t="shared" si="27"/>
        <v>151 Tenor Sax SAX</v>
      </c>
    </row>
    <row r="153" spans="1:11" x14ac:dyDescent="0.25">
      <c r="A153" t="s">
        <v>5809</v>
      </c>
      <c r="K153" t="str">
        <f t="shared" si="27"/>
        <v>152 Dancefloor PULSATING</v>
      </c>
    </row>
    <row r="154" spans="1:11" x14ac:dyDescent="0.25">
      <c r="A154" t="s">
        <v>5810</v>
      </c>
      <c r="K154" t="str">
        <f t="shared" si="27"/>
        <v>153 Shroomy TECHNO SYNTH</v>
      </c>
    </row>
    <row r="155" spans="1:11" x14ac:dyDescent="0.25">
      <c r="A155" t="s">
        <v>5811</v>
      </c>
      <c r="K155" t="str">
        <f t="shared" si="27"/>
        <v>154 Ethno Keys MALLET</v>
      </c>
    </row>
    <row r="156" spans="1:11" x14ac:dyDescent="0.25">
      <c r="A156" t="s">
        <v>5812</v>
      </c>
      <c r="K156" t="str">
        <f t="shared" si="27"/>
        <v>155 Simply Nasty HARD LEAD</v>
      </c>
    </row>
    <row r="157" spans="1:11" x14ac:dyDescent="0.25">
      <c r="A157" t="s">
        <v>5813</v>
      </c>
      <c r="K157" t="str">
        <f t="shared" si="27"/>
        <v>156 Beat Vox VOX</v>
      </c>
    </row>
    <row r="158" spans="1:11" x14ac:dyDescent="0.25">
      <c r="A158" t="s">
        <v>5814</v>
      </c>
      <c r="K158" t="str">
        <f t="shared" si="27"/>
        <v>157 AMP EP EL.PIANO</v>
      </c>
    </row>
    <row r="159" spans="1:11" x14ac:dyDescent="0.25">
      <c r="A159" t="s">
        <v>5815</v>
      </c>
      <c r="K159" t="str">
        <f t="shared" si="27"/>
        <v>158 Contrabass STRINGS</v>
      </c>
    </row>
    <row r="160" spans="1:11" x14ac:dyDescent="0.25">
      <c r="A160" t="s">
        <v>5816</v>
      </c>
      <c r="K160" t="str">
        <f t="shared" si="27"/>
        <v>159 Bend SynBrs SYNTH BRASS</v>
      </c>
    </row>
    <row r="161" spans="1:11" x14ac:dyDescent="0.25">
      <c r="A161" t="s">
        <v>5817</v>
      </c>
      <c r="K161" t="str">
        <f t="shared" si="27"/>
        <v>160 Modular OTHER SYNTH</v>
      </c>
    </row>
    <row r="162" spans="1:11" x14ac:dyDescent="0.25">
      <c r="A162" t="s">
        <v>5818</v>
      </c>
      <c r="K162" t="str">
        <f t="shared" si="27"/>
        <v>161 Dirty D/A SOFT LEAD</v>
      </c>
    </row>
    <row r="163" spans="1:11" x14ac:dyDescent="0.25">
      <c r="A163" t="s">
        <v>5819</v>
      </c>
      <c r="K163" t="str">
        <f t="shared" si="27"/>
        <v>162 Tekno Tone PULSATING</v>
      </c>
    </row>
    <row r="164" spans="1:11" x14ac:dyDescent="0.25">
      <c r="A164" t="s">
        <v>5820</v>
      </c>
      <c r="K164" t="str">
        <f t="shared" si="27"/>
        <v>163 Nu Bace SYNTH BASS</v>
      </c>
    </row>
    <row r="165" spans="1:11" x14ac:dyDescent="0.25">
      <c r="A165" t="s">
        <v>5821</v>
      </c>
      <c r="K165" t="str">
        <f t="shared" si="27"/>
        <v>164 Mod Scanner SYNTH FX</v>
      </c>
    </row>
    <row r="166" spans="1:11" x14ac:dyDescent="0.25">
      <c r="A166" t="s">
        <v>5822</v>
      </c>
      <c r="K166" t="str">
        <f t="shared" si="27"/>
        <v>165 Fantomas Pad PULSATING</v>
      </c>
    </row>
    <row r="167" spans="1:11" x14ac:dyDescent="0.25">
      <c r="A167" t="s">
        <v>5823</v>
      </c>
      <c r="K167" t="str">
        <f t="shared" si="27"/>
        <v>166 FS Fretnot 1 BASS</v>
      </c>
    </row>
    <row r="168" spans="1:11" x14ac:dyDescent="0.25">
      <c r="A168" t="s">
        <v>5824</v>
      </c>
      <c r="K168" t="str">
        <f t="shared" si="27"/>
        <v>167 Solo Tp AC.BRASS</v>
      </c>
    </row>
    <row r="169" spans="1:11" x14ac:dyDescent="0.25">
      <c r="A169" t="s">
        <v>5825</v>
      </c>
      <c r="K169" t="str">
        <f t="shared" si="27"/>
        <v>168 Farewell ORCHESTRA</v>
      </c>
    </row>
    <row r="170" spans="1:11" x14ac:dyDescent="0.25">
      <c r="A170" t="s">
        <v>5826</v>
      </c>
      <c r="K170" t="str">
        <f t="shared" si="27"/>
        <v>169 Wezcoast HARD LEAD</v>
      </c>
    </row>
    <row r="171" spans="1:11" x14ac:dyDescent="0.25">
      <c r="A171" t="s">
        <v>5827</v>
      </c>
      <c r="K171" t="str">
        <f t="shared" si="27"/>
        <v>170 FS Flute FLUTE</v>
      </c>
    </row>
    <row r="172" spans="1:11" x14ac:dyDescent="0.25">
      <c r="A172" t="s">
        <v>5828</v>
      </c>
      <c r="K172" t="str">
        <f t="shared" si="27"/>
        <v>171 Theramax SOFT LEAD</v>
      </c>
    </row>
    <row r="173" spans="1:11" x14ac:dyDescent="0.25">
      <c r="A173" t="s">
        <v>5829</v>
      </c>
      <c r="K173" t="str">
        <f t="shared" si="27"/>
        <v>172 Mojo Man HIT&amp;STAB</v>
      </c>
    </row>
    <row r="174" spans="1:11" x14ac:dyDescent="0.25">
      <c r="A174" t="s">
        <v>5830</v>
      </c>
      <c r="K174" t="str">
        <f t="shared" si="27"/>
        <v>173 Solo Sop Sax SAX</v>
      </c>
    </row>
    <row r="175" spans="1:11" x14ac:dyDescent="0.25">
      <c r="A175" t="s">
        <v>5831</v>
      </c>
      <c r="K175" t="str">
        <f t="shared" si="27"/>
        <v>174 Timeline BRIGHT PAD</v>
      </c>
    </row>
    <row r="176" spans="1:11" x14ac:dyDescent="0.25">
      <c r="A176" t="s">
        <v>5832</v>
      </c>
      <c r="K176" t="str">
        <f t="shared" si="27"/>
        <v>175 Wet TC EL.GUITAR</v>
      </c>
    </row>
    <row r="177" spans="1:11" x14ac:dyDescent="0.25">
      <c r="A177" t="s">
        <v>5833</v>
      </c>
      <c r="K177" t="str">
        <f t="shared" si="27"/>
        <v>176 Underneath SYNTH BASS</v>
      </c>
    </row>
    <row r="178" spans="1:11" x14ac:dyDescent="0.25">
      <c r="A178" t="s">
        <v>5834</v>
      </c>
      <c r="K178" t="str">
        <f t="shared" si="27"/>
        <v>177 Lazer Points SYNTH FX</v>
      </c>
    </row>
    <row r="179" spans="1:11" x14ac:dyDescent="0.25">
      <c r="A179" t="s">
        <v>5835</v>
      </c>
      <c r="K179" t="str">
        <f t="shared" si="27"/>
        <v>178 Wire Sync HARD LEAD</v>
      </c>
    </row>
    <row r="180" spans="1:11" x14ac:dyDescent="0.25">
      <c r="A180" t="s">
        <v>5836</v>
      </c>
      <c r="K180" t="str">
        <f t="shared" si="27"/>
        <v>179 JD-800 Piano AC.PIANO</v>
      </c>
    </row>
    <row r="181" spans="1:11" x14ac:dyDescent="0.25">
      <c r="A181" t="s">
        <v>5837</v>
      </c>
      <c r="K181" t="str">
        <f t="shared" si="27"/>
        <v>180 Cross Talk PULSATING</v>
      </c>
    </row>
    <row r="182" spans="1:11" x14ac:dyDescent="0.25">
      <c r="A182" t="s">
        <v>5838</v>
      </c>
      <c r="K182" t="str">
        <f t="shared" si="27"/>
        <v>181 Nu Pad PULSATING</v>
      </c>
    </row>
    <row r="183" spans="1:11" x14ac:dyDescent="0.25">
      <c r="A183" t="s">
        <v>5839</v>
      </c>
      <c r="K183" t="str">
        <f t="shared" si="27"/>
        <v>182 Phase Clavi KEYBOARDS</v>
      </c>
    </row>
    <row r="184" spans="1:11" x14ac:dyDescent="0.25">
      <c r="A184" t="s">
        <v>5840</v>
      </c>
      <c r="K184" t="str">
        <f t="shared" si="27"/>
        <v>183 Anadroid TECHNO SYNTH</v>
      </c>
    </row>
    <row r="185" spans="1:11" x14ac:dyDescent="0.25">
      <c r="A185" t="s">
        <v>5841</v>
      </c>
      <c r="K185" t="str">
        <f t="shared" si="27"/>
        <v>184 Phono Organ ORGAN</v>
      </c>
    </row>
    <row r="186" spans="1:11" x14ac:dyDescent="0.25">
      <c r="A186" t="s">
        <v>5842</v>
      </c>
      <c r="K186" t="str">
        <f t="shared" si="27"/>
        <v>185 Dirt &amp; Grime SYNTH BASS</v>
      </c>
    </row>
    <row r="187" spans="1:11" x14ac:dyDescent="0.25">
      <c r="A187" t="s">
        <v>5843</v>
      </c>
      <c r="K187" t="str">
        <f t="shared" si="27"/>
        <v>186 Rockin’ Dly DIST.GUITAR</v>
      </c>
    </row>
    <row r="188" spans="1:11" x14ac:dyDescent="0.25">
      <c r="A188" t="s">
        <v>5844</v>
      </c>
      <c r="K188" t="str">
        <f t="shared" si="27"/>
        <v>187 Mr. Fourier PULSATING</v>
      </c>
    </row>
    <row r="189" spans="1:11" x14ac:dyDescent="0.25">
      <c r="A189" t="s">
        <v>5845</v>
      </c>
      <c r="K189" t="str">
        <f t="shared" si="27"/>
        <v>188 NewAge Frtls BASS</v>
      </c>
    </row>
    <row r="190" spans="1:11" x14ac:dyDescent="0.25">
      <c r="A190" t="s">
        <v>5846</v>
      </c>
      <c r="K190" t="str">
        <f t="shared" si="27"/>
        <v>189 Evolution X SOFT PAD</v>
      </c>
    </row>
    <row r="191" spans="1:11" x14ac:dyDescent="0.25">
      <c r="A191" t="s">
        <v>5847</v>
      </c>
      <c r="K191" t="str">
        <f t="shared" si="27"/>
        <v>190 Baritone Sax SAX</v>
      </c>
    </row>
    <row r="192" spans="1:11" x14ac:dyDescent="0.25">
      <c r="A192" t="s">
        <v>5848</v>
      </c>
      <c r="K192" t="str">
        <f t="shared" si="27"/>
        <v>191 Hall Oboe WIND</v>
      </c>
    </row>
    <row r="193" spans="1:11" x14ac:dyDescent="0.25">
      <c r="A193" t="s">
        <v>5849</v>
      </c>
      <c r="K193" t="str">
        <f t="shared" si="27"/>
        <v>192 TB-Sequence OTHER SYNTH</v>
      </c>
    </row>
    <row r="194" spans="1:11" x14ac:dyDescent="0.25">
      <c r="A194" t="s">
        <v>5850</v>
      </c>
      <c r="K194" t="str">
        <f t="shared" si="27"/>
        <v>193 GuitaratiuG EL.GUITAR</v>
      </c>
    </row>
    <row r="195" spans="1:11" x14ac:dyDescent="0.25">
      <c r="A195" t="s">
        <v>5851</v>
      </c>
      <c r="K195" t="str">
        <f t="shared" ref="K195:K257" si="28">CLEAN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SUBSTITUTE(A195,"'","´"),"[0-9] AC.PIANO","AC.PIANO",-1),"[0-9] PULSATING","PULSATING"),"[0-9] KEYBOARDS","KEYBOARDS"),"[0-9] EL.PIANO","EL.PIANO"),"[0-9] BELL","BELL"),"[0-9] MALLET","MALLET"),"[0-9] ORGAN","ORGAN"),"[0-9] ACCORDION","ACCORDION"),"[0-9] HARMONICA","HARMONICA"),"[0-9] AC.GUITAR","AC.GUITAR"),"[0-9] EL.GUITAR","EL.GUITAR"),"[0-9] DIST.GUITAR","DIST.GUITAR"),"[0-9] BASS","BASS"),"[0-9] STRINGS","STRINGS"),"[0-9] SYNTH BASS","SYNTH BASS"),"[0-9] ORCHESTRA","ORCHESTRA"),"[0-9] WIND","WIND"),"[0-9] FLUTE","FLUTE"),"[0-9] AC.BRASS","AC.BRASS"),"[0-9] SYNTH BRASS","SYNTH BRASS"),"[0-9] SAX","SAX"),"[0-9] SOFT LEAD","SOFT LEAD"),"[0-9] HARD LEAD","HARD LEAD"),"[0-9] HIT&amp;STAB","HIT&amp;STAB"),"[0-9] TECHNO SYNTH","TECHNO SYNTH"),"[0-9] OTHER SYNTH","OTHER SYNTH"),"[0-9] VOX","VOX"),"[0-9] SOFT PAD","SOFT PAD"),"[0-9] BRIGHT PAD","BRIGHT PAD"),"[0-9] PLUCKED","PLUCKED"),"[0-9] ETHNIC","ETHNIC"),"[0-9] FRETTED","FRETTED"),"[0-9] SYNTH FX","SYNTH FX"),"[0-9] BEAT&amp;GROOVE","BEAT&amp;GROOVE"),"[0-9] PERCUSSION","PERCUSSION"),"[0-9] COMBINATION","COMBINATION"))</f>
        <v>194 Alpha Hoover TECHNO SYNTH</v>
      </c>
    </row>
    <row r="196" spans="1:11" x14ac:dyDescent="0.25">
      <c r="A196" t="s">
        <v>5852</v>
      </c>
      <c r="K196" t="str">
        <f t="shared" si="28"/>
        <v>195 ChoruSE ONE SYNTH BASS</v>
      </c>
    </row>
    <row r="197" spans="1:11" x14ac:dyDescent="0.25">
      <c r="A197" t="s">
        <v>5853</v>
      </c>
      <c r="K197" t="str">
        <f t="shared" si="28"/>
        <v>196 Sinetific SOFT LEAD</v>
      </c>
    </row>
    <row r="198" spans="1:11" x14ac:dyDescent="0.25">
      <c r="A198" t="s">
        <v>5854</v>
      </c>
      <c r="K198" t="str">
        <f t="shared" si="28"/>
        <v>197 Wired Rez TECHNO SYNTH</v>
      </c>
    </row>
    <row r="199" spans="1:11" x14ac:dyDescent="0.25">
      <c r="A199" t="s">
        <v>5855</v>
      </c>
      <c r="K199" t="str">
        <f t="shared" si="28"/>
        <v>198 FS Marimba MALLET</v>
      </c>
    </row>
    <row r="200" spans="1:11" x14ac:dyDescent="0.25">
      <c r="A200" t="s">
        <v>5856</v>
      </c>
      <c r="K200" t="str">
        <f t="shared" si="28"/>
        <v>199 SlippingSaws HARD LEAD</v>
      </c>
    </row>
    <row r="201" spans="1:11" x14ac:dyDescent="0.25">
      <c r="A201" t="s">
        <v>5857</v>
      </c>
      <c r="K201" t="str">
        <f t="shared" si="28"/>
        <v>200 Choral Sweep VOX</v>
      </c>
    </row>
    <row r="202" spans="1:11" x14ac:dyDescent="0.25">
      <c r="A202" t="s">
        <v>5858</v>
      </c>
      <c r="K202" t="str">
        <f t="shared" si="28"/>
        <v>201 Flugel Horn AC.BRASS</v>
      </c>
    </row>
    <row r="203" spans="1:11" x14ac:dyDescent="0.25">
      <c r="A203" t="s">
        <v>5859</v>
      </c>
      <c r="K203" t="str">
        <f t="shared" si="28"/>
        <v>202 TDreamTouch OTHER SYNTH</v>
      </c>
    </row>
    <row r="204" spans="1:11" x14ac:dyDescent="0.25">
      <c r="A204" t="s">
        <v>5860</v>
      </c>
      <c r="K204" t="str">
        <f t="shared" si="28"/>
        <v>203 Polar Morn BRIGHT PAD</v>
      </c>
    </row>
    <row r="205" spans="1:11" x14ac:dyDescent="0.25">
      <c r="A205" t="s">
        <v>5861</v>
      </c>
      <c r="K205" t="str">
        <f t="shared" si="28"/>
        <v>204 Drop Bass SYNTH BASS</v>
      </c>
    </row>
    <row r="206" spans="1:11" x14ac:dyDescent="0.25">
      <c r="A206" t="s">
        <v>5862</v>
      </c>
      <c r="K206" t="str">
        <f t="shared" si="28"/>
        <v>205 Pop Orch ORCHESTRA</v>
      </c>
    </row>
    <row r="207" spans="1:11" x14ac:dyDescent="0.25">
      <c r="A207" t="s">
        <v>5863</v>
      </c>
      <c r="K207" t="str">
        <f t="shared" si="28"/>
        <v>206 Nyl-Intro AC.GUITAR</v>
      </c>
    </row>
    <row r="208" spans="1:11" x14ac:dyDescent="0.25">
      <c r="A208" t="s">
        <v>5864</v>
      </c>
      <c r="K208" t="str">
        <f t="shared" si="28"/>
        <v>207 Morph Filter SOFT PAD</v>
      </c>
    </row>
    <row r="209" spans="1:11" x14ac:dyDescent="0.25">
      <c r="A209" t="s">
        <v>5865</v>
      </c>
      <c r="K209" t="str">
        <f t="shared" si="28"/>
        <v>208 Kinda Kurt EL.GUITAR</v>
      </c>
    </row>
    <row r="210" spans="1:11" x14ac:dyDescent="0.25">
      <c r="A210" t="s">
        <v>5866</v>
      </c>
      <c r="K210" t="str">
        <f t="shared" si="28"/>
        <v>209 Downright Bs BASS</v>
      </c>
    </row>
    <row r="211" spans="1:11" x14ac:dyDescent="0.25">
      <c r="A211" t="s">
        <v>5867</v>
      </c>
      <c r="K211" t="str">
        <f t="shared" si="28"/>
        <v>210 50`SteelDrms MALLET</v>
      </c>
    </row>
    <row r="212" spans="1:11" x14ac:dyDescent="0.25">
      <c r="A212" t="s">
        <v>5868</v>
      </c>
      <c r="K212" t="str">
        <f t="shared" si="28"/>
        <v>211 Reso SynBass SYNTH BASS</v>
      </c>
    </row>
    <row r="213" spans="1:11" x14ac:dyDescent="0.25">
      <c r="A213" t="s">
        <v>5869</v>
      </c>
      <c r="K213" t="str">
        <f t="shared" si="28"/>
        <v>212 South Pole SYNTH FX</v>
      </c>
    </row>
    <row r="214" spans="1:11" x14ac:dyDescent="0.25">
      <c r="A214" t="s">
        <v>5870</v>
      </c>
      <c r="K214" t="str">
        <f t="shared" si="28"/>
        <v>213 Studio Grand AC.PIANO</v>
      </c>
    </row>
    <row r="215" spans="1:11" x14ac:dyDescent="0.25">
      <c r="A215" t="s">
        <v>5871</v>
      </c>
      <c r="K215" t="str">
        <f t="shared" si="28"/>
        <v>214 VirtualHuman PULSATING</v>
      </c>
    </row>
    <row r="216" spans="1:11" x14ac:dyDescent="0.25">
      <c r="A216" t="s">
        <v>5872</v>
      </c>
      <c r="K216" t="str">
        <f t="shared" si="28"/>
        <v>215 Darmstrat X DIST.GUITAR</v>
      </c>
    </row>
    <row r="217" spans="1:11" x14ac:dyDescent="0.25">
      <c r="A217" t="s">
        <v>5873</v>
      </c>
      <c r="K217" t="str">
        <f t="shared" si="28"/>
        <v>216 Ending Scene ORCHESTRA</v>
      </c>
    </row>
    <row r="218" spans="1:11" x14ac:dyDescent="0.25">
      <c r="A218" t="s">
        <v>5874</v>
      </c>
      <c r="K218" t="str">
        <f t="shared" si="28"/>
        <v>217 Distro FXM HARD LEAD</v>
      </c>
    </row>
    <row r="219" spans="1:11" x14ac:dyDescent="0.25">
      <c r="A219" t="s">
        <v>5875</v>
      </c>
      <c r="K219" t="str">
        <f t="shared" si="28"/>
        <v>218 FullDraw Org ORGAN</v>
      </c>
    </row>
    <row r="220" spans="1:11" x14ac:dyDescent="0.25">
      <c r="A220" t="s">
        <v>5876</v>
      </c>
      <c r="K220" t="str">
        <f t="shared" si="28"/>
        <v>219 Alien Voice SYNTH FX</v>
      </c>
    </row>
    <row r="221" spans="1:11" x14ac:dyDescent="0.25">
      <c r="A221" t="s">
        <v>5877</v>
      </c>
      <c r="K221" t="str">
        <f t="shared" si="28"/>
        <v>220 Stadium SBF OTHER SYNTH</v>
      </c>
    </row>
    <row r="222" spans="1:11" x14ac:dyDescent="0.25">
      <c r="A222" t="s">
        <v>5878</v>
      </c>
      <c r="K222" t="str">
        <f t="shared" si="28"/>
        <v>221 Good Old Day WIND</v>
      </c>
    </row>
    <row r="223" spans="1:11" x14ac:dyDescent="0.25">
      <c r="A223" t="s">
        <v>5879</v>
      </c>
      <c r="K223" t="str">
        <f t="shared" si="28"/>
        <v>222 FS Slap Bass BASS</v>
      </c>
    </row>
    <row r="224" spans="1:11" x14ac:dyDescent="0.25">
      <c r="A224" t="s">
        <v>5880</v>
      </c>
      <c r="K224" t="str">
        <f t="shared" si="28"/>
        <v>223 Skydiver PLUCKED</v>
      </c>
    </row>
    <row r="225" spans="1:11" x14ac:dyDescent="0.25">
      <c r="A225" t="s">
        <v>5881</v>
      </c>
      <c r="K225" t="str">
        <f t="shared" si="28"/>
        <v>224 Harmon Mute AC.BRASS</v>
      </c>
    </row>
    <row r="226" spans="1:11" x14ac:dyDescent="0.25">
      <c r="A226" t="s">
        <v>5882</v>
      </c>
      <c r="K226" t="str">
        <f t="shared" si="28"/>
        <v>225 PeakArpSine SOFT LEAD</v>
      </c>
    </row>
    <row r="227" spans="1:11" x14ac:dyDescent="0.25">
      <c r="A227" t="s">
        <v>5883</v>
      </c>
      <c r="K227" t="str">
        <f t="shared" si="28"/>
        <v>226 Alien Bubble TECHNO SYNTH</v>
      </c>
    </row>
    <row r="228" spans="1:11" x14ac:dyDescent="0.25">
      <c r="A228" t="s">
        <v>5884</v>
      </c>
      <c r="K228" t="str">
        <f t="shared" si="28"/>
        <v>227 Twin StratsB EL.GUITAR</v>
      </c>
    </row>
    <row r="229" spans="1:11" x14ac:dyDescent="0.25">
      <c r="A229" t="s">
        <v>5885</v>
      </c>
      <c r="K229" t="str">
        <f t="shared" si="28"/>
        <v>228 Orbiting PULSATING</v>
      </c>
    </row>
    <row r="230" spans="1:11" x14ac:dyDescent="0.25">
      <c r="A230" t="s">
        <v>5886</v>
      </c>
      <c r="K230" t="str">
        <f t="shared" si="28"/>
        <v>229 Sahara Str STRINGS</v>
      </c>
    </row>
    <row r="231" spans="1:11" x14ac:dyDescent="0.25">
      <c r="A231" t="s">
        <v>5887</v>
      </c>
      <c r="K231" t="str">
        <f t="shared" si="28"/>
        <v>230 Fundamental SYNTH BASS</v>
      </c>
    </row>
    <row r="232" spans="1:11" x14ac:dyDescent="0.25">
      <c r="A232" t="s">
        <v>5888</v>
      </c>
      <c r="K232" t="str">
        <f t="shared" si="28"/>
        <v>231 SA Dance Pno AC.PIANO</v>
      </c>
    </row>
    <row r="233" spans="1:11" x14ac:dyDescent="0.25">
      <c r="A233" t="s">
        <v>5889</v>
      </c>
      <c r="K233" t="str">
        <f t="shared" si="28"/>
        <v>232 Dirty Saw HARD LEAD</v>
      </c>
    </row>
    <row r="234" spans="1:11" x14ac:dyDescent="0.25">
      <c r="A234" t="s">
        <v>5890</v>
      </c>
      <c r="K234" t="str">
        <f t="shared" si="28"/>
        <v>233 X-panda OTHER SYNTH</v>
      </c>
    </row>
    <row r="235" spans="1:11" x14ac:dyDescent="0.25">
      <c r="A235" t="s">
        <v>5891</v>
      </c>
      <c r="K235" t="str">
        <f t="shared" si="28"/>
        <v>234 Saturn Siren BRIGHT PAD</v>
      </c>
    </row>
    <row r="236" spans="1:11" x14ac:dyDescent="0.25">
      <c r="A236" t="s">
        <v>5892</v>
      </c>
      <c r="K236" t="str">
        <f t="shared" si="28"/>
        <v>235 Orch &amp; Horns ORCHESTRA</v>
      </c>
    </row>
    <row r="237" spans="1:11" x14ac:dyDescent="0.25">
      <c r="A237" t="s">
        <v>5893</v>
      </c>
      <c r="K237" t="str">
        <f t="shared" si="28"/>
        <v>236 Amore Story AC.GUITAR</v>
      </c>
    </row>
    <row r="238" spans="1:11" x14ac:dyDescent="0.25">
      <c r="A238" t="s">
        <v>5894</v>
      </c>
      <c r="K238" t="str">
        <f t="shared" si="28"/>
        <v>237 Raven Chord TECHNO SYNTH</v>
      </c>
    </row>
    <row r="239" spans="1:11" x14ac:dyDescent="0.25">
      <c r="A239" t="s">
        <v>5895</v>
      </c>
      <c r="K239" t="str">
        <f t="shared" si="28"/>
        <v>238 Soulfinger BASS</v>
      </c>
    </row>
    <row r="240" spans="1:11" x14ac:dyDescent="0.25">
      <c r="A240" t="s">
        <v>5896</v>
      </c>
      <c r="K240" t="str">
        <f t="shared" si="28"/>
        <v>239 Landing Pad SYNTH FX</v>
      </c>
    </row>
    <row r="241" spans="1:11" x14ac:dyDescent="0.25">
      <c r="A241" t="s">
        <v>5897</v>
      </c>
      <c r="K241" t="str">
        <f t="shared" si="28"/>
        <v>240 Virtual RnBs SYNTH BASS</v>
      </c>
    </row>
    <row r="242" spans="1:11" x14ac:dyDescent="0.25">
      <c r="A242" t="s">
        <v>5898</v>
      </c>
      <c r="K242" t="str">
        <f t="shared" si="28"/>
        <v>241 Clarence.net WIND</v>
      </c>
    </row>
    <row r="243" spans="1:11" x14ac:dyDescent="0.25">
      <c r="A243" t="s">
        <v>5899</v>
      </c>
      <c r="K243" t="str">
        <f t="shared" si="28"/>
        <v>242 PanningFrmnt PULSATING</v>
      </c>
    </row>
    <row r="244" spans="1:11" x14ac:dyDescent="0.25">
      <c r="A244" t="s">
        <v>5900</v>
      </c>
      <c r="K244" t="str">
        <f t="shared" si="28"/>
        <v>243 Quiet River PLUCKED</v>
      </c>
    </row>
    <row r="245" spans="1:11" x14ac:dyDescent="0.25">
      <c r="A245" t="s">
        <v>5901</v>
      </c>
      <c r="K245" t="str">
        <f t="shared" si="28"/>
        <v>244 OB Slow Str SOFT PAD</v>
      </c>
    </row>
    <row r="246" spans="1:11" x14ac:dyDescent="0.25">
      <c r="A246" t="s">
        <v>5902</v>
      </c>
      <c r="K246" t="str">
        <f t="shared" si="28"/>
        <v>245 FS Loud Gtr DIST.GUITAR</v>
      </c>
    </row>
    <row r="247" spans="1:11" x14ac:dyDescent="0.25">
      <c r="A247" t="s">
        <v>5903</v>
      </c>
      <c r="K247" t="str">
        <f t="shared" si="28"/>
        <v>246 X Finger Bs1 BASS</v>
      </c>
    </row>
    <row r="248" spans="1:11" x14ac:dyDescent="0.25">
      <c r="A248" t="s">
        <v>5904</v>
      </c>
      <c r="K248" t="str">
        <f t="shared" si="28"/>
        <v>247 VelPanWurly EL.PIANO</v>
      </c>
    </row>
    <row r="249" spans="1:11" x14ac:dyDescent="0.25">
      <c r="A249" t="s">
        <v>5905</v>
      </c>
      <c r="K249" t="str">
        <f t="shared" si="28"/>
        <v>248 Syn Opera VOX</v>
      </c>
    </row>
    <row r="250" spans="1:11" x14ac:dyDescent="0.25">
      <c r="A250" t="s">
        <v>5906</v>
      </c>
      <c r="K250" t="str">
        <f t="shared" si="28"/>
        <v>249 Modular Lead SOFT LEAD</v>
      </c>
    </row>
    <row r="251" spans="1:11" x14ac:dyDescent="0.25">
      <c r="A251" t="s">
        <v>5907</v>
      </c>
      <c r="K251" t="str">
        <f t="shared" si="28"/>
        <v>250 With Love AC.GUITAR</v>
      </c>
    </row>
    <row r="252" spans="1:11" x14ac:dyDescent="0.25">
      <c r="A252" t="s">
        <v>5908</v>
      </c>
      <c r="K252" t="str">
        <f t="shared" si="28"/>
        <v>251 JP-8 Phase SOFT PAD</v>
      </c>
    </row>
    <row r="253" spans="1:11" x14ac:dyDescent="0.25">
      <c r="A253" t="s">
        <v>5909</v>
      </c>
      <c r="K253" t="str">
        <f t="shared" si="28"/>
        <v>252 Pop Brs wAtk AC.BRASS</v>
      </c>
    </row>
    <row r="254" spans="1:11" x14ac:dyDescent="0.25">
      <c r="A254" t="s">
        <v>5910</v>
      </c>
      <c r="K254" t="str">
        <f t="shared" si="28"/>
        <v>253 Cicada Piano AC.PIANO</v>
      </c>
    </row>
    <row r="255" spans="1:11" x14ac:dyDescent="0.25">
      <c r="A255" t="s">
        <v>5911</v>
      </c>
      <c r="K255" t="str">
        <f t="shared" si="28"/>
        <v>254 X StrSection STRINGS</v>
      </c>
    </row>
    <row r="256" spans="1:11" x14ac:dyDescent="0.25">
      <c r="A256" t="s">
        <v>5912</v>
      </c>
      <c r="K256" t="str">
        <f t="shared" si="28"/>
        <v>255 Jupiter-X SOFT PAD</v>
      </c>
    </row>
    <row r="257" spans="1:11" x14ac:dyDescent="0.25">
      <c r="A257" t="s">
        <v>5913</v>
      </c>
      <c r="K257" t="str">
        <f t="shared" si="28"/>
        <v>256 Bending Logo SYNTH FX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ED0E3-F41E-492A-83BA-4D4E1BF6FE17}">
  <dimension ref="A1:R257"/>
  <sheetViews>
    <sheetView topLeftCell="M93" workbookViewId="0">
      <selection activeCell="Q2" sqref="Q2:Q129"/>
    </sheetView>
  </sheetViews>
  <sheetFormatPr defaultRowHeight="15" x14ac:dyDescent="0.25"/>
  <cols>
    <col min="1" max="25" width="41.85546875" customWidth="1"/>
  </cols>
  <sheetData>
    <row r="1" spans="1:18" ht="15.75" thickBot="1" x14ac:dyDescent="0.3">
      <c r="A1" s="22" t="s">
        <v>4630</v>
      </c>
      <c r="B1" s="21" t="s">
        <v>3976</v>
      </c>
      <c r="C1" s="22" t="s">
        <v>3977</v>
      </c>
      <c r="D1" s="22" t="s">
        <v>4234</v>
      </c>
      <c r="E1" s="22" t="s">
        <v>4235</v>
      </c>
      <c r="F1" s="22" t="s">
        <v>4492</v>
      </c>
      <c r="G1" s="22" t="s">
        <v>5399</v>
      </c>
      <c r="H1" s="22" t="s">
        <v>5528</v>
      </c>
      <c r="J1" s="22" t="s">
        <v>4630</v>
      </c>
      <c r="K1" s="21" t="s">
        <v>3976</v>
      </c>
      <c r="L1" s="22" t="s">
        <v>3977</v>
      </c>
      <c r="M1" s="22" t="s">
        <v>4234</v>
      </c>
      <c r="N1" s="22" t="s">
        <v>4235</v>
      </c>
      <c r="O1" s="22" t="s">
        <v>4492</v>
      </c>
      <c r="P1" s="22" t="s">
        <v>5399</v>
      </c>
      <c r="Q1" s="22" t="s">
        <v>5528</v>
      </c>
      <c r="R1" t="str">
        <f>IF(ROW()-1 &gt; 99,_xlfn.VALUETOTEXT(ROW()-1),IF(ROW()-1 &gt; 9, "0"&amp;_xlfn.VALUETOTEXT(ROW()-1),"00"&amp;_xlfn.VALUETOTEXT(ROW()-1)))</f>
        <v>000</v>
      </c>
    </row>
    <row r="2" spans="1:18" x14ac:dyDescent="0.25">
      <c r="A2" s="24" t="s">
        <v>4631</v>
      </c>
      <c r="B2" s="26" t="s">
        <v>4759</v>
      </c>
      <c r="C2" s="24" t="s">
        <v>4887</v>
      </c>
      <c r="D2" s="24" t="s">
        <v>5015</v>
      </c>
      <c r="E2" s="24" t="s">
        <v>5143</v>
      </c>
      <c r="F2" s="24" t="s">
        <v>5271</v>
      </c>
      <c r="G2" s="24" t="s">
        <v>5400</v>
      </c>
      <c r="H2" s="24" t="s">
        <v>5529</v>
      </c>
      <c r="I2" s="23" t="str">
        <f t="shared" ref="I2:I65" si="0">_xlfn.VALUETOTEXT(ROW()-1)&amp;" INIT PATCH"</f>
        <v>1 INIT PATCH</v>
      </c>
      <c r="J2" t="str">
        <f>R2&amp;" "&amp;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SUBSTITUTE(A2,"'","´"),"AC.PIANO [0-9]","AC.PIANO",-1),"PULSATING [0-9]","PULSATING"),"KEYBOARDS [0-9]","KEYBOARDS"),"EL.PIANO [0-9]","EL.PIANO"),"BELL [0-9]","BELL"),"MALLET [0-9]","MALLET"),"ORGAN [0-9]","ORGAN"),"ACCORDION [0-9]","ACCORDION"),"HARMONICA [0-9]","HARMONICA"),"AC.GUITAR [0-9]","AC.GUITAR"),"EL.GUITAR [0-9]","EL.GUITAR"),"DIST.GUITAR [0-9]","DIST.GUITAR"),"BASS [0-9]","BASS"),"STRINGS [0-9]","STRINGS"),"SYNTH BASS [0-9]","SYNTH BASS"),"ORCHESTRA [0-9]","ORCHESTRA"),"WIND [0-9]","WIND"),"FLUTE [0-9]","FLUTE"),"AC.BRASS [0-9]","AC.BRASS"),"SYNTH BRASS [0-9]","SYNTH BRASS"),"SAX [0-9]","SAX"),"SOFT LEAD [0-9]","SOFT LEAD"),"HARD LEAD [0-9]","HARD LEAD"),"HIT&amp;STAB [0-9]","HIT&amp;STAB"),"TECHNO SYNTH [0-9]","TECHNO SYNTH"),"OTHER SYNTH [0-9]","OTHER SYNTH"),"VOX [0-9]","VOX"),"SOFT PAD [0-9]","SOFT PAD"),"BRIGHT PAD [0-9]","BRIGHT PAD"),"PLUCKED [0-9]","PLUCKED"),"ETHNIC [0-9]","ETHNIC"),"FRETTED [0-9]","FRETTED"),"SYNTH FX [0-9]","SYNTH FX"),"BEAT&amp;GROOVE [0-9]","BEAT&amp;GROOVE"),"PERCUSSION [0-9]","PERCUSSION"),"COMBINATION [0-9]","COMBINATION")," PR-A[0-9][0-9][0-9]",""),"[0-9]* ","",1)</f>
        <v>001 Rich Grand AC.PIANO</v>
      </c>
      <c r="K2" t="str">
        <f>R2&amp;" "&amp;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SUBSTITUTE(B2,"'","´"),"AC.PIANO [0-9]","AC.PIANO",-1),"PULSATING [0-9]","PULSATING"),"KEYBOARDS [0-9]","KEYBOARDS"),"EL.PIANO [0-9]","EL.PIANO"),"BELL [0-9]","BELL"),"MALLET [0-9]","MALLET"),"ORGAN [0-9]","ORGAN"),"ACCORDION [0-9]","ACCORDION"),"HARMONICA [0-9]","HARMONICA"),"AC.GUITAR [0-9]","AC.GUITAR"),"EL.GUITAR [0-9]","EL.GUITAR"),"DIST.GUITAR [0-9]","DIST.GUITAR"),"BASS [0-9]","BASS"),"STRINGS [0-9]","STRINGS"),"SYNTH BASS [0-9]","SYNTH BASS"),"ORCHESTRA [0-9]","ORCHESTRA"),"WIND [0-9]","WIND"),"FLUTE [0-9]","FLUTE"),"AC.BRASS [0-9]","AC.BRASS"),"SYNTH BRASS [0-9]","SYNTH BRASS"),"SAX [0-9]","SAX"),"SOFT LEAD [0-9]","SOFT LEAD"),"HARD LEAD [0-9]","HARD LEAD"),"HIT&amp;STAB [0-9]","HIT&amp;STAB"),"TECHNO SYNTH [0-9]","TECHNO SYNTH"),"OTHER SYNTH [0-9]","OTHER SYNTH"),"VOX [0-9]","VOX"),"SOFT PAD [0-9]","SOFT PAD"),"BRIGHT PAD [0-9]","BRIGHT PAD"),"PLUCKED [0-9]","PLUCKED"),"ETHNIC [0-9]","ETHNIC"),"FRETTED [0-9]","FRETTED"),"SYNTH FX [0-9]","SYNTH FX"),"BEAT&amp;GROOVE [0-9]","BEAT&amp;GROOVE"),"PERCUSSION [0-9]","PERCUSSION"),"COMBINATION [0-9]","COMBINATION")," PR-A[0-9][0-9][0-9]",""),"[0-9]* ","",1)</f>
        <v>001 Rich Grand AC.PIANO</v>
      </c>
      <c r="L2" t="str">
        <f>R2&amp;" "&amp;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SUBSTITUTE(C2,"'","´"),"AC.PIANO [0-9]","AC.PIANO",-1),"PULSATING [0-9]","PULSATING"),"KEYBOARDS [0-9]","KEYBOARDS"),"EL.PIANO [0-9]","EL.PIANO"),"BELL [0-9]","BELL"),"MALLET [0-9]","MALLET"),"ORGAN [0-9]","ORGAN"),"ACCORDION [0-9]","ACCORDION"),"HARMONICA [0-9]","HARMONICA"),"AC.GUITAR [0-9]","AC.GUITAR"),"EL.GUITAR [0-9]","EL.GUITAR"),"DIST.GUITAR [0-9]","DIST.GUITAR"),"BASS [0-9]","BASS"),"STRINGS [0-9]","STRINGS"),"SYNTH BASS [0-9]","SYNTH BASS"),"ORCHESTRA [0-9]","ORCHESTRA"),"WIND [0-9]","WIND"),"FLUTE [0-9]","FLUTE"),"AC.BRASS [0-9]","AC.BRASS"),"SYNTH BRASS [0-9]","SYNTH BRASS"),"SAX [0-9]","SAX"),"SOFT LEAD [0-9]","SOFT LEAD"),"HARD LEAD [0-9]","HARD LEAD"),"HIT&amp;STAB [0-9]","HIT&amp;STAB"),"TECHNO SYNTH [0-9]","TECHNO SYNTH"),"OTHER SYNTH [0-9]","OTHER SYNTH"),"VOX [0-9]","VOX"),"SOFT PAD [0-9]","SOFT PAD"),"BRIGHT PAD [0-9]","BRIGHT PAD"),"PLUCKED [0-9]","PLUCKED"),"ETHNIC [0-9]","ETHNIC"),"FRETTED [0-9]","FRETTED"),"SYNTH FX [0-9]","SYNTH FX"),"BEAT&amp;GROOVE [0-9]","BEAT&amp;GROOVE"),"PERCUSSION [0-9]","PERCUSSION"),"COMBINATION [0-9]","COMBINATION")," PR-B[0-9][0-9][0-9]",""),"[0-9]* ","",1)</f>
        <v>001 SuperDistORG ORGAN</v>
      </c>
      <c r="M2" t="str">
        <f>R2&amp;" "&amp;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SUBSTITUTE(D2,"'","´"),"AC.PIANO [0-9]","AC.PIANO",-1),"PULSATING [0-9]","PULSATING"),"KEYBOARDS [0-9]","KEYBOARDS"),"EL.PIANO [0-9]","EL.PIANO"),"BELL [0-9]","BELL"),"MALLET [0-9]","MALLET"),"ORGAN [0-9]","ORGAN"),"ACCORDION [0-9]","ACCORDION"),"HARMONICA [0-9]","HARMONICA"),"AC.GUITAR [0-9]","AC.GUITAR"),"EL.GUITAR [0-9]","EL.GUITAR"),"DIST.GUITAR [0-9]","DIST.GUITAR"),"BASS [0-9]","BASS"),"STRINGS [0-9]","STRINGS"),"SYNTH BASS [0-9]","SYNTH BASS"),"ORCHESTRA [0-9]","ORCHESTRA"),"WIND [0-9]","WIND"),"FLUTE [0-9]","FLUTE"),"AC.BRASS [0-9]","AC.BRASS"),"SYNTH BRASS [0-9]","SYNTH BRASS"),"SAX [0-9]","SAX"),"SOFT LEAD [0-9]","SOFT LEAD"),"HARD LEAD [0-9]","HARD LEAD"),"HIT&amp;STAB [0-9]","HIT&amp;STAB"),"TECHNO SYNTH [0-9]","TECHNO SYNTH"),"OTHER SYNTH [0-9]","OTHER SYNTH"),"VOX [0-9]","VOX"),"SOFT PAD [0-9]","SOFT PAD"),"BRIGHT PAD [0-9]","BRIGHT PAD"),"PLUCKED [0-9]","PLUCKED"),"ETHNIC [0-9]","ETHNIC"),"FRETTED [0-9]","FRETTED"),"SYNTH FX [0-9]","SYNTH FX"),"BEAT&amp;GROOVE [0-9]","BEAT&amp;GROOVE"),"PERCUSSION [0-9]","PERCUSSION"),"COMBINATION [0-9]","COMBINATION")," PR-C[0-9][0-9][0-9]",""),"[0-9]* ","",1)</f>
        <v>001 OilDrum Bass SYNTH BASS</v>
      </c>
      <c r="N2" t="str">
        <f>R2&amp;" "&amp;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SUBSTITUTE(E2,"'","´"),"AC.PIANO [0-9]","AC.PIANO",-1),"PULSATING [0-9]","PULSATING"),"KEYBOARDS [0-9]","KEYBOARDS"),"EL.PIANO [0-9]","EL.PIANO"),"BELL [0-9]","BELL"),"MALLET [0-9]","MALLET"),"ORGAN [0-9]","ORGAN"),"ACCORDION [0-9]","ACCORDION"),"HARMONICA [0-9]","HARMONICA"),"AC.GUITAR [0-9]","AC.GUITAR"),"EL.GUITAR [0-9]","EL.GUITAR"),"DIST.GUITAR [0-9]","DIST.GUITAR"),"BASS [0-9]","BASS"),"STRINGS [0-9]","STRINGS"),"SYNTH BASS [0-9]","SYNTH BASS"),"ORCHESTRA [0-9]","ORCHESTRA"),"WIND [0-9]","WIND"),"FLUTE [0-9]","FLUTE"),"AC.BRASS [0-9]","AC.BRASS"),"SYNTH BRASS [0-9]","SYNTH BRASS"),"SAX [0-9]","SAX"),"SOFT LEAD [0-9]","SOFT LEAD"),"HARD LEAD [0-9]","HARD LEAD"),"HIT&amp;STAB [0-9]","HIT&amp;STAB"),"TECHNO SYNTH [0-9]","TECHNO SYNTH"),"OTHER SYNTH [0-9]","OTHER SYNTH"),"VOX [0-9]","VOX"),"SOFT PAD [0-9]","SOFT PAD"),"BRIGHT PAD [0-9]","BRIGHT PAD"),"PLUCKED [0-9]","PLUCKED"),"ETHNIC [0-9]","ETHNIC"),"FRETTED [0-9]","FRETTED"),"SYNTH FX [0-9]","SYNTH FX"),"BEAT&amp;GROOVE [0-9]","BEAT&amp;GROOVE"),"PERCUSSION [0-9]","PERCUSSION"),"COMBINATION [0-9]","COMBINATION")," PR-D[0-9][0-9][0-9]",""),"[0-9]* ","",1)</f>
        <v>001 Simple Tutti AC.BRASS</v>
      </c>
      <c r="O2" t="str">
        <f>R2&amp;" "&amp;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SUBSTITUTE(F2,"'","´"),"AC.PIANO [0-9]","AC.PIANO",-1),"PULSATING [0-9]","PULSATING"),"KEYBOARDS [0-9]","KEYBOARDS"),"EL.PIANO [0-9]","EL.PIANO"),"BELL [0-9]","BELL"),"MALLET [0-9]","MALLET"),"ORGAN [0-9]","ORGAN"),"ACCORDION [0-9]","ACCORDION"),"HARMONICA [0-9]","HARMONICA"),"AC.GUITAR [0-9]","AC.GUITAR"),"EL.GUITAR [0-9]","EL.GUITAR"),"DIST.GUITAR [0-9]","DIST.GUITAR"),"BASS [0-9]","BASS"),"STRINGS [0-9]","STRINGS"),"SYNTH BASS [0-9]","SYNTH BASS"),"ORCHESTRA [0-9]","ORCHESTRA"),"WIND [0-9]","WIND"),"FLUTE [0-9]","FLUTE"),"AC.BRASS [0-9]","AC.BRASS"),"SYNTH BRASS [0-9]","SYNTH BRASS"),"SAX [0-9]","SAX"),"SOFT LEAD [0-9]","SOFT LEAD"),"HARD LEAD [0-9]","HARD LEAD"),"HIT&amp;STAB [0-9]","HIT&amp;STAB"),"TECHNO SYNTH [0-9]","TECHNO SYNTH"),"OTHER SYNTH [0-9]","OTHER SYNTH"),"VOX [0-9]","VOX"),"SOFT PAD [0-9]","SOFT PAD"),"BRIGHT PAD [0-9]","BRIGHT PAD"),"PLUCKED [0-9]","PLUCKED"),"ETHNIC [0-9]","ETHNIC"),"FRETTED [0-9]","FRETTED"),"SYNTH FX [0-9]","SYNTH FX"),"BEAT&amp;GROOVE [0-9]","BEAT&amp;GROOVE"),"PERCUSSION [0-9]","PERCUSSION"),"COMBINATION [0-9]","COMBINATION")," PR-E[0-9][0-9][0-9]",""),"[0-9]* ","",1)</f>
        <v>001 Mini Growl SOFT LEAD</v>
      </c>
      <c r="P2" t="str">
        <f>R2&amp;" "&amp;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SUBSTITUTE(G2,"'","´"),"AC.PIANO [0-9]","AC.PIANO",-1),"PULSATING [0-9]","PULSATING"),"KEYBOARDS [0-9]","KEYBOARDS"),"EL.PIANO [0-9]","EL.PIANO"),"BELL [0-9]","BELL"),"MALLET [0-9]","MALLET"),"ORGAN [0-9]","ORGAN"),"ACCORDION [0-9]","ACCORDION"),"HARMONICA [0-9]","HARMONICA"),"AC.GUITAR [0-9]","AC.GUITAR"),"EL.GUITAR [0-9]","EL.GUITAR"),"DIST.GUITAR [0-9]","DIST.GUITAR"),"BASS [0-9]","BASS"),"STRINGS [0-9]","STRINGS"),"SYNTH BASS [0-9]","SYNTH BASS"),"ORCHESTRA [0-9]","ORCHESTRA"),"WIND [0-9]","WIND"),"FLUTE [0-9]","FLUTE"),"AC.BRASS [0-9]","AC.BRASS"),"SYNTH BRASS [0-9]","SYNTH BRASS"),"SAX [0-9]","SAX"),"SOFT LEAD [0-9]","SOFT LEAD"),"HARD LEAD [0-9]","HARD LEAD"),"HIT&amp;STAB [0-9]","HIT&amp;STAB"),"TECHNO SYNTH [0-9]","TECHNO SYNTH"),"OTHER SYNTH [0-9]","OTHER SYNTH"),"VOX [0-9]","VOX"),"SOFT PAD [0-9]","SOFT PAD"),"BRIGHT PAD [0-9]","BRIGHT PAD"),"PLUCKED [0-9]","PLUCKED"),"ETHNIC [0-9]","ETHNIC"),"FRETTED [0-9]","FRETTED"),"SYNTH FX [0-9]","SYNTH FX"),"BEAT&amp;GROOVE [0-9]","BEAT&amp;GROOVE"),"PERCUSSION [0-9]","PERCUSSION"),"COMBINATION [0-9]","COMBINATION")," PR-F[0-9][0-9][0-9]",""),"[0-9]* ","",1)</f>
        <v>001 ResoSweep Dn SYNTH FX</v>
      </c>
      <c r="Q2" t="str">
        <f>R2&amp;" "&amp;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SUBSTITUTE(H2,"'","´"),"AC.PIANO [0-9]","AC.PIANO",-1),"PULSATING [0-9]","PULSATING"),"KEYBOARDS [0-9]","KEYBOARDS"),"EL.PIANO [0-9]","EL.PIANO"),"BELL [0-9]","BELL"),"MALLET [0-9]","MALLET"),"ORGAN [0-9]","ORGAN"),"ACCORDION [0-9]","ACCORDION"),"HARMONICA [0-9]","HARMONICA"),"AC.GUITAR [0-9]","AC.GUITAR"),"EL.GUITAR [0-9]","EL.GUITAR"),"DIST.GUITAR [0-9]","DIST.GUITAR"),"BASS [0-9]","BASS"),"STRINGS [0-9]","STRINGS"),"SYNTH BASS [0-9]","SYNTH BASS"),"ORCHESTRA [0-9]","ORCHESTRA"),"WIND [0-9]","WIND"),"FLUTE [0-9]","FLUTE"),"AC.BRASS [0-9]","AC.BRASS"),"SYNTH BRASS [0-9]","SYNTH BRASS"),"SAX [0-9]","SAX"),"SOFT LEAD [0-9]","SOFT LEAD"),"HARD LEAD [0-9]","HARD LEAD"),"HIT&amp;STAB [0-9]","HIT&amp;STAB"),"TECHNO SYNTH [0-9]","TECHNO SYNTH"),"OTHER SYNTH [0-9]","OTHER SYNTH"),"VOX [0-9]","VOX"),"SOFT PAD [0-9]","SOFT PAD"),"BRIGHT PAD [0-9]","BRIGHT PAD"),"PLUCKED [0-9]","PLUCKED"),"ETHNIC [0-9]","ETHNIC"),"FRETTED [0-9]","FRETTED"),"SYNTH FX [0-9]","SYNTH FX"),"BEAT&amp;GROOVE [0-9]","BEAT&amp;GROOVE"),"PERCUSSION [0-9]","PERCUSSION"),"COMBINATION [0-9]","COMBINATION")," PR-G[0-9][0-9][0-9]",""),"[0-9]* ","",1)</f>
        <v>001 Phat Strings BRIGHT PAD</v>
      </c>
      <c r="R2" t="str">
        <f t="shared" ref="R2:R65" si="1">IF(ROW()-1 &gt; 99,_xlfn.VALUETOTEXT(ROW()-1),IF(ROW()-1 &gt; 9, "0"&amp;_xlfn.VALUETOTEXT(ROW()-1),"00"&amp;_xlfn.VALUETOTEXT(ROW()-1)))</f>
        <v>001</v>
      </c>
    </row>
    <row r="3" spans="1:18" x14ac:dyDescent="0.25">
      <c r="A3" s="23" t="s">
        <v>4632</v>
      </c>
      <c r="B3" s="27" t="s">
        <v>4760</v>
      </c>
      <c r="C3" s="23" t="s">
        <v>4888</v>
      </c>
      <c r="D3" s="23" t="s">
        <v>5016</v>
      </c>
      <c r="E3" s="23" t="s">
        <v>5144</v>
      </c>
      <c r="F3" s="23" t="s">
        <v>5272</v>
      </c>
      <c r="G3" s="23" t="s">
        <v>5401</v>
      </c>
      <c r="H3" s="23" t="s">
        <v>5530</v>
      </c>
      <c r="I3" s="23" t="str">
        <f t="shared" si="0"/>
        <v>2 INIT PATCH</v>
      </c>
      <c r="J3" t="str">
        <f t="shared" ref="J3:J66" si="2">R3&amp;" "&amp;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SUBSTITUTE(A3,"'","´"),"AC.PIANO [0-9]","AC.PIANO",-1),"PULSATING [0-9]","PULSATING"),"KEYBOARDS [0-9]","KEYBOARDS"),"EL.PIANO [0-9]","EL.PIANO"),"BELL [0-9]","BELL"),"MALLET [0-9]","MALLET"),"ORGAN [0-9]","ORGAN"),"ACCORDION [0-9]","ACCORDION"),"HARMONICA [0-9]","HARMONICA"),"AC.GUITAR [0-9]","AC.GUITAR"),"EL.GUITAR [0-9]","EL.GUITAR"),"DIST.GUITAR [0-9]","DIST.GUITAR"),"BASS [0-9]","BASS"),"STRINGS [0-9]","STRINGS"),"SYNTH BASS [0-9]","SYNTH BASS"),"ORCHESTRA [0-9]","ORCHESTRA"),"WIND [0-9]","WIND"),"FLUTE [0-9]","FLUTE"),"AC.BRASS [0-9]","AC.BRASS"),"SYNTH BRASS [0-9]","SYNTH BRASS"),"SAX [0-9]","SAX"),"SOFT LEAD [0-9]","SOFT LEAD"),"HARD LEAD [0-9]","HARD LEAD"),"HIT&amp;STAB [0-9]","HIT&amp;STAB"),"TECHNO SYNTH [0-9]","TECHNO SYNTH"),"OTHER SYNTH [0-9]","OTHER SYNTH"),"VOX [0-9]","VOX"),"SOFT PAD [0-9]","SOFT PAD"),"BRIGHT PAD [0-9]","BRIGHT PAD"),"PLUCKED [0-9]","PLUCKED"),"ETHNIC [0-9]","ETHNIC"),"FRETTED [0-9]","FRETTED"),"SYNTH FX [0-9]","SYNTH FX"),"BEAT&amp;GROOVE [0-9]","BEAT&amp;GROOVE"),"PERCUSSION [0-9]","PERCUSSION"),"COMBINATION [0-9]","COMBINATION")," PR-A[0-9][0-9][0-9]",""),"[0-9]* ","",1)</f>
        <v>002 JD-800 Piano AC.PIANO</v>
      </c>
      <c r="K3" t="str">
        <f t="shared" ref="K3:K66" si="3">R3&amp;" "&amp;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SUBSTITUTE(B3,"'","´"),"AC.PIANO [0-9]","AC.PIANO",-1),"PULSATING [0-9]","PULSATING"),"KEYBOARDS [0-9]","KEYBOARDS"),"EL.PIANO [0-9]","EL.PIANO"),"BELL [0-9]","BELL"),"MALLET [0-9]","MALLET"),"ORGAN [0-9]","ORGAN"),"ACCORDION [0-9]","ACCORDION"),"HARMONICA [0-9]","HARMONICA"),"AC.GUITAR [0-9]","AC.GUITAR"),"EL.GUITAR [0-9]","EL.GUITAR"),"DIST.GUITAR [0-9]","DIST.GUITAR"),"BASS [0-9]","BASS"),"STRINGS [0-9]","STRINGS"),"SYNTH BASS [0-9]","SYNTH BASS"),"ORCHESTRA [0-9]","ORCHESTRA"),"WIND [0-9]","WIND"),"FLUTE [0-9]","FLUTE"),"AC.BRASS [0-9]","AC.BRASS"),"SYNTH BRASS [0-9]","SYNTH BRASS"),"SAX [0-9]","SAX"),"SOFT LEAD [0-9]","SOFT LEAD"),"HARD LEAD [0-9]","HARD LEAD"),"HIT&amp;STAB [0-9]","HIT&amp;STAB"),"TECHNO SYNTH [0-9]","TECHNO SYNTH"),"OTHER SYNTH [0-9]","OTHER SYNTH"),"VOX [0-9]","VOX"),"SOFT PAD [0-9]","SOFT PAD"),"BRIGHT PAD [0-9]","BRIGHT PAD"),"PLUCKED [0-9]","PLUCKED"),"ETHNIC [0-9]","ETHNIC"),"FRETTED [0-9]","FRETTED"),"SYNTH FX [0-9]","SYNTH FX"),"BEAT&amp;GROOVE [0-9]","BEAT&amp;GROOVE"),"PERCUSSION [0-9]","PERCUSSION"),"COMBINATION [0-9]","COMBINATION")," PR-A[0-9][0-9][0-9]",""),"[0-9]* ","",1)</f>
        <v>002 88ConcertPno AC.PIANO</v>
      </c>
      <c r="L3" t="str">
        <f t="shared" ref="L3:L66" si="4">R3&amp;" "&amp;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SUBSTITUTE(C3,"'","´"),"AC.PIANO [0-9]","AC.PIANO",-1),"PULSATING [0-9]","PULSATING"),"KEYBOARDS [0-9]","KEYBOARDS"),"EL.PIANO [0-9]","EL.PIANO"),"BELL [0-9]","BELL"),"MALLET [0-9]","MALLET"),"ORGAN [0-9]","ORGAN"),"ACCORDION [0-9]","ACCORDION"),"HARMONICA [0-9]","HARMONICA"),"AC.GUITAR [0-9]","AC.GUITAR"),"EL.GUITAR [0-9]","EL.GUITAR"),"DIST.GUITAR [0-9]","DIST.GUITAR"),"BASS [0-9]","BASS"),"STRINGS [0-9]","STRINGS"),"SYNTH BASS [0-9]","SYNTH BASS"),"ORCHESTRA [0-9]","ORCHESTRA"),"WIND [0-9]","WIND"),"FLUTE [0-9]","FLUTE"),"AC.BRASS [0-9]","AC.BRASS"),"SYNTH BRASS [0-9]","SYNTH BRASS"),"SAX [0-9]","SAX"),"SOFT LEAD [0-9]","SOFT LEAD"),"HARD LEAD [0-9]","HARD LEAD"),"HIT&amp;STAB [0-9]","HIT&amp;STAB"),"TECHNO SYNTH [0-9]","TECHNO SYNTH"),"OTHER SYNTH [0-9]","OTHER SYNTH"),"VOX [0-9]","VOX"),"SOFT PAD [0-9]","SOFT PAD"),"BRIGHT PAD [0-9]","BRIGHT PAD"),"PLUCKED [0-9]","PLUCKED"),"ETHNIC [0-9]","ETHNIC"),"FRETTED [0-9]","FRETTED"),"SYNTH FX [0-9]","SYNTH FX"),"BEAT&amp;GROOVE [0-9]","BEAT&amp;GROOVE"),"PERCUSSION [0-9]","PERCUSSION"),"COMBINATION [0-9]","COMBINATION")," PR-B[0-9][0-9][0-9]",""),"[0-9]* ","",1)</f>
        <v>002 SuperDistLd2 ORGAN</v>
      </c>
      <c r="M3" t="str">
        <f t="shared" ref="M3:M66" si="5">R3&amp;" "&amp;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SUBSTITUTE(D3,"'","´"),"AC.PIANO [0-9]","AC.PIANO",-1),"PULSATING [0-9]","PULSATING"),"KEYBOARDS [0-9]","KEYBOARDS"),"EL.PIANO [0-9]","EL.PIANO"),"BELL [0-9]","BELL"),"MALLET [0-9]","MALLET"),"ORGAN [0-9]","ORGAN"),"ACCORDION [0-9]","ACCORDION"),"HARMONICA [0-9]","HARMONICA"),"AC.GUITAR [0-9]","AC.GUITAR"),"EL.GUITAR [0-9]","EL.GUITAR"),"DIST.GUITAR [0-9]","DIST.GUITAR"),"BASS [0-9]","BASS"),"STRINGS [0-9]","STRINGS"),"SYNTH BASS [0-9]","SYNTH BASS"),"ORCHESTRA [0-9]","ORCHESTRA"),"WIND [0-9]","WIND"),"FLUTE [0-9]","FLUTE"),"AC.BRASS [0-9]","AC.BRASS"),"SYNTH BRASS [0-9]","SYNTH BRASS"),"SAX [0-9]","SAX"),"SOFT LEAD [0-9]","SOFT LEAD"),"HARD LEAD [0-9]","HARD LEAD"),"HIT&amp;STAB [0-9]","HIT&amp;STAB"),"TECHNO SYNTH [0-9]","TECHNO SYNTH"),"OTHER SYNTH [0-9]","OTHER SYNTH"),"VOX [0-9]","VOX"),"SOFT PAD [0-9]","SOFT PAD"),"BRIGHT PAD [0-9]","BRIGHT PAD"),"PLUCKED [0-9]","PLUCKED"),"ETHNIC [0-9]","ETHNIC"),"FRETTED [0-9]","FRETTED"),"SYNTH FX [0-9]","SYNTH FX"),"BEAT&amp;GROOVE [0-9]","BEAT&amp;GROOVE"),"PERCUSSION [0-9]","PERCUSSION"),"COMBINATION [0-9]","COMBINATION")," PR-C[0-9][0-9][0-9]",""),"[0-9]* ","",1)</f>
        <v>002 Dust Bass SYNTH BASS</v>
      </c>
      <c r="N3" t="str">
        <f t="shared" ref="N3:N66" si="6">R3&amp;" "&amp;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SUBSTITUTE(E3,"'","´"),"AC.PIANO [0-9]","AC.PIANO",-1),"PULSATING [0-9]","PULSATING"),"KEYBOARDS [0-9]","KEYBOARDS"),"EL.PIANO [0-9]","EL.PIANO"),"BELL [0-9]","BELL"),"MALLET [0-9]","MALLET"),"ORGAN [0-9]","ORGAN"),"ACCORDION [0-9]","ACCORDION"),"HARMONICA [0-9]","HARMONICA"),"AC.GUITAR [0-9]","AC.GUITAR"),"EL.GUITAR [0-9]","EL.GUITAR"),"DIST.GUITAR [0-9]","DIST.GUITAR"),"BASS [0-9]","BASS"),"STRINGS [0-9]","STRINGS"),"SYNTH BASS [0-9]","SYNTH BASS"),"ORCHESTRA [0-9]","ORCHESTRA"),"WIND [0-9]","WIND"),"FLUTE [0-9]","FLUTE"),"AC.BRASS [0-9]","AC.BRASS"),"SYNTH BRASS [0-9]","SYNTH BRASS"),"SAX [0-9]","SAX"),"SOFT LEAD [0-9]","SOFT LEAD"),"HARD LEAD [0-9]","HARD LEAD"),"HIT&amp;STAB [0-9]","HIT&amp;STAB"),"TECHNO SYNTH [0-9]","TECHNO SYNTH"),"OTHER SYNTH [0-9]","OTHER SYNTH"),"VOX [0-9]","VOX"),"SOFT PAD [0-9]","SOFT PAD"),"BRIGHT PAD [0-9]","BRIGHT PAD"),"PLUCKED [0-9]","PLUCKED"),"ETHNIC [0-9]","ETHNIC"),"FRETTED [0-9]","FRETTED"),"SYNTH FX [0-9]","SYNTH FX"),"BEAT&amp;GROOVE [0-9]","BEAT&amp;GROOVE"),"PERCUSSION [0-9]","PERCUSSION"),"COMBINATION [0-9]","COMBINATION")," PR-D[0-9][0-9][0-9]",""),"[0-9]* ","",1)</f>
        <v>002 F.Horns Sect AC.BRASS</v>
      </c>
      <c r="O3" t="str">
        <f t="shared" ref="O3:O66" si="7">R3&amp;" "&amp;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SUBSTITUTE(F3,"'","´"),"AC.PIANO [0-9]","AC.PIANO",-1),"PULSATING [0-9]","PULSATING"),"KEYBOARDS [0-9]","KEYBOARDS"),"EL.PIANO [0-9]","EL.PIANO"),"BELL [0-9]","BELL"),"MALLET [0-9]","MALLET"),"ORGAN [0-9]","ORGAN"),"ACCORDION [0-9]","ACCORDION"),"HARMONICA [0-9]","HARMONICA"),"AC.GUITAR [0-9]","AC.GUITAR"),"EL.GUITAR [0-9]","EL.GUITAR"),"DIST.GUITAR [0-9]","DIST.GUITAR"),"BASS [0-9]","BASS"),"STRINGS [0-9]","STRINGS"),"SYNTH BASS [0-9]","SYNTH BASS"),"ORCHESTRA [0-9]","ORCHESTRA"),"WIND [0-9]","WIND"),"FLUTE [0-9]","FLUTE"),"AC.BRASS [0-9]","AC.BRASS"),"SYNTH BRASS [0-9]","SYNTH BRASS"),"SAX [0-9]","SAX"),"SOFT LEAD [0-9]","SOFT LEAD"),"HARD LEAD [0-9]","HARD LEAD"),"HIT&amp;STAB [0-9]","HIT&amp;STAB"),"TECHNO SYNTH [0-9]","TECHNO SYNTH"),"OTHER SYNTH [0-9]","OTHER SYNTH"),"VOX [0-9]","VOX"),"SOFT PAD [0-9]","SOFT PAD"),"BRIGHT PAD [0-9]","BRIGHT PAD"),"PLUCKED [0-9]","PLUCKED"),"ETHNIC [0-9]","ETHNIC"),"FRETTED [0-9]","FRETTED"),"SYNTH FX [0-9]","SYNTH FX"),"BEAT&amp;GROOVE [0-9]","BEAT&amp;GROOVE"),"PERCUSSION [0-9]","PERCUSSION"),"COMBINATION [0-9]","COMBINATION")," PR-E[0-9][0-9][0-9]",""),"[0-9]* ","",1)</f>
        <v>002 Evangelized SOFT LEAD</v>
      </c>
      <c r="P3" t="str">
        <f t="shared" ref="P3:P66" si="8">R3&amp;" "&amp;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SUBSTITUTE(G3,"'","´"),"AC.PIANO [0-9]","AC.PIANO",-1),"PULSATING [0-9]","PULSATING"),"KEYBOARDS [0-9]","KEYBOARDS"),"EL.PIANO [0-9]","EL.PIANO"),"BELL [0-9]","BELL"),"MALLET [0-9]","MALLET"),"ORGAN [0-9]","ORGAN"),"ACCORDION [0-9]","ACCORDION"),"HARMONICA [0-9]","HARMONICA"),"AC.GUITAR [0-9]","AC.GUITAR"),"EL.GUITAR [0-9]","EL.GUITAR"),"DIST.GUITAR [0-9]","DIST.GUITAR"),"BASS [0-9]","BASS"),"STRINGS [0-9]","STRINGS"),"SYNTH BASS [0-9]","SYNTH BASS"),"ORCHESTRA [0-9]","ORCHESTRA"),"WIND [0-9]","WIND"),"FLUTE [0-9]","FLUTE"),"AC.BRASS [0-9]","AC.BRASS"),"SYNTH BRASS [0-9]","SYNTH BRASS"),"SAX [0-9]","SAX"),"SOFT LEAD [0-9]","SOFT LEAD"),"HARD LEAD [0-9]","HARD LEAD"),"HIT&amp;STAB [0-9]","HIT&amp;STAB"),"TECHNO SYNTH [0-9]","TECHNO SYNTH"),"OTHER SYNTH [0-9]","OTHER SYNTH"),"VOX [0-9]","VOX"),"SOFT PAD [0-9]","SOFT PAD"),"BRIGHT PAD [0-9]","BRIGHT PAD"),"PLUCKED [0-9]","PLUCKED"),"ETHNIC [0-9]","ETHNIC"),"FRETTED [0-9]","FRETTED"),"SYNTH FX [0-9]","SYNTH FX"),"BEAT&amp;GROOVE [0-9]","BEAT&amp;GROOVE"),"PERCUSSION [0-9]","PERCUSSION"),"COMBINATION [0-9]","COMBINATION")," PR-F[0-9][0-9][0-9]",""),"[0-9]* ","",1)</f>
        <v>002 Zap B3 &amp; C4 SYNTH FX</v>
      </c>
      <c r="Q3" t="str">
        <f t="shared" ref="Q3:Q66" si="9">R3&amp;" "&amp;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SUBSTITUTE(H3,"'","´"),"AC.PIANO [0-9]","AC.PIANO",-1),"PULSATING [0-9]","PULSATING"),"KEYBOARDS [0-9]","KEYBOARDS"),"EL.PIANO [0-9]","EL.PIANO"),"BELL [0-9]","BELL"),"MALLET [0-9]","MALLET"),"ORGAN [0-9]","ORGAN"),"ACCORDION [0-9]","ACCORDION"),"HARMONICA [0-9]","HARMONICA"),"AC.GUITAR [0-9]","AC.GUITAR"),"EL.GUITAR [0-9]","EL.GUITAR"),"DIST.GUITAR [0-9]","DIST.GUITAR"),"BASS [0-9]","BASS"),"STRINGS [0-9]","STRINGS"),"SYNTH BASS [0-9]","SYNTH BASS"),"ORCHESTRA [0-9]","ORCHESTRA"),"WIND [0-9]","WIND"),"FLUTE [0-9]","FLUTE"),"AC.BRASS [0-9]","AC.BRASS"),"SYNTH BRASS [0-9]","SYNTH BRASS"),"SAX [0-9]","SAX"),"SOFT LEAD [0-9]","SOFT LEAD"),"HARD LEAD [0-9]","HARD LEAD"),"HIT&amp;STAB [0-9]","HIT&amp;STAB"),"TECHNO SYNTH [0-9]","TECHNO SYNTH"),"OTHER SYNTH [0-9]","OTHER SYNTH"),"VOX [0-9]","VOX"),"SOFT PAD [0-9]","SOFT PAD"),"BRIGHT PAD [0-9]","BRIGHT PAD"),"PLUCKED [0-9]","PLUCKED"),"ETHNIC [0-9]","ETHNIC"),"FRETTED [0-9]","FRETTED"),"SYNTH FX [0-9]","SYNTH FX"),"BEAT&amp;GROOVE [0-9]","BEAT&amp;GROOVE"),"PERCUSSION [0-9]","PERCUSSION"),"COMBINATION [0-9]","COMBINATION")," PR-G[0-9][0-9][0-9]",""),"[0-9]* ","",1)</f>
        <v>002 Soft OB Pad SOFT PAD</v>
      </c>
      <c r="R3" t="str">
        <f t="shared" si="1"/>
        <v>002</v>
      </c>
    </row>
    <row r="4" spans="1:18" x14ac:dyDescent="0.25">
      <c r="A4" s="23" t="s">
        <v>4633</v>
      </c>
      <c r="B4" s="27" t="s">
        <v>4761</v>
      </c>
      <c r="C4" s="23" t="s">
        <v>4889</v>
      </c>
      <c r="D4" s="23" t="s">
        <v>5017</v>
      </c>
      <c r="E4" s="23" t="s">
        <v>5145</v>
      </c>
      <c r="F4" s="23" t="s">
        <v>5273</v>
      </c>
      <c r="G4" s="23" t="s">
        <v>5402</v>
      </c>
      <c r="H4" s="23" t="s">
        <v>5531</v>
      </c>
      <c r="I4" s="23" t="str">
        <f t="shared" si="0"/>
        <v>3 INIT PATCH</v>
      </c>
      <c r="J4" t="str">
        <f t="shared" si="2"/>
        <v>003 Stage Phazer EL.PIANO</v>
      </c>
      <c r="K4" t="str">
        <f t="shared" si="3"/>
        <v>003 UltimatGrand AC.PIANO</v>
      </c>
      <c r="L4" t="str">
        <f t="shared" si="4"/>
        <v>003 FullDraw Org ORGAN</v>
      </c>
      <c r="M4" t="str">
        <f t="shared" si="5"/>
        <v>003 Glide-iator SYNTH BASS</v>
      </c>
      <c r="N4" t="str">
        <f t="shared" si="6"/>
        <v>003 Full sForza AC.BRASS</v>
      </c>
      <c r="O4" t="str">
        <f t="shared" si="7"/>
        <v>003 Air Lead SOFT LEAD</v>
      </c>
      <c r="P4" t="str">
        <f t="shared" si="8"/>
        <v>003 PolySweep Nz SYNTH FX</v>
      </c>
      <c r="Q4" t="str">
        <f t="shared" si="9"/>
        <v>003 SC Hollow SOFT PAD</v>
      </c>
      <c r="R4" t="str">
        <f t="shared" si="1"/>
        <v>003</v>
      </c>
    </row>
    <row r="5" spans="1:18" x14ac:dyDescent="0.25">
      <c r="A5" s="23" t="s">
        <v>4634</v>
      </c>
      <c r="B5" s="27" t="s">
        <v>4762</v>
      </c>
      <c r="C5" s="23" t="s">
        <v>4890</v>
      </c>
      <c r="D5" s="23" t="s">
        <v>5018</v>
      </c>
      <c r="E5" s="23" t="s">
        <v>5146</v>
      </c>
      <c r="F5" s="23" t="s">
        <v>5274</v>
      </c>
      <c r="G5" s="23" t="s">
        <v>5403</v>
      </c>
      <c r="H5" s="23" t="s">
        <v>5532</v>
      </c>
      <c r="I5" s="23" t="str">
        <f t="shared" si="0"/>
        <v>4 INIT PATCH</v>
      </c>
      <c r="J5" t="str">
        <f t="shared" si="2"/>
        <v>004 Lounge Kit COMBINATION</v>
      </c>
      <c r="K5" t="str">
        <f t="shared" si="3"/>
        <v>004 X Pure Grand AC.PIANO</v>
      </c>
      <c r="L5" t="str">
        <f t="shared" si="4"/>
        <v>004 StakDraw Org ORGAN</v>
      </c>
      <c r="M5" t="str">
        <f t="shared" si="5"/>
        <v>004 SC AcidPunch SYNTH BASS</v>
      </c>
      <c r="N5" t="str">
        <f t="shared" si="6"/>
        <v>004 Stereo Brass AC.BRASS</v>
      </c>
      <c r="O5" t="str">
        <f t="shared" si="7"/>
        <v>004 Juno-D Maj7 TECHNO SYNTH</v>
      </c>
      <c r="P5" t="str">
        <f t="shared" si="8"/>
        <v>004 Strange Land SYNTH FX</v>
      </c>
      <c r="Q5" t="str">
        <f t="shared" si="9"/>
        <v>004 SC Sqr Pad SOFT PAD</v>
      </c>
      <c r="R5" t="str">
        <f t="shared" si="1"/>
        <v>004</v>
      </c>
    </row>
    <row r="6" spans="1:18" x14ac:dyDescent="0.25">
      <c r="A6" s="23" t="s">
        <v>4635</v>
      </c>
      <c r="B6" s="27" t="s">
        <v>4763</v>
      </c>
      <c r="C6" s="23" t="s">
        <v>4891</v>
      </c>
      <c r="D6" s="23" t="s">
        <v>5019</v>
      </c>
      <c r="E6" s="23" t="s">
        <v>5147</v>
      </c>
      <c r="F6" s="23" t="s">
        <v>5275</v>
      </c>
      <c r="G6" s="23" t="s">
        <v>5404</v>
      </c>
      <c r="H6" s="23" t="s">
        <v>5533</v>
      </c>
      <c r="I6" s="23" t="str">
        <f t="shared" si="0"/>
        <v>5 INIT PATCH</v>
      </c>
      <c r="J6" t="str">
        <f t="shared" si="2"/>
        <v>005 SC Trem Wuly EL.PIANO</v>
      </c>
      <c r="K6" t="str">
        <f t="shared" si="3"/>
        <v>005 So true... AC.PIANO</v>
      </c>
      <c r="L6" t="str">
        <f t="shared" si="4"/>
        <v>005 FullStop Org ORGAN</v>
      </c>
      <c r="M6" t="str">
        <f t="shared" si="5"/>
        <v>005 TBasic SYNTH BASS</v>
      </c>
      <c r="N6" t="str">
        <f t="shared" si="6"/>
        <v>005 Wide SynBrss SYNTH BRASS</v>
      </c>
      <c r="O6" t="str">
        <f t="shared" si="7"/>
        <v>005 Sweet House TECHNO SYNTH</v>
      </c>
      <c r="P6" t="str">
        <f t="shared" si="8"/>
        <v>005 S&amp;H Voc SYNTH FX</v>
      </c>
      <c r="Q6" t="str">
        <f t="shared" si="9"/>
        <v>005 Silk Pad SOFT PAD</v>
      </c>
      <c r="R6" t="str">
        <f t="shared" si="1"/>
        <v>005</v>
      </c>
    </row>
    <row r="7" spans="1:18" x14ac:dyDescent="0.25">
      <c r="A7" s="23" t="s">
        <v>4636</v>
      </c>
      <c r="B7" s="27" t="s">
        <v>4764</v>
      </c>
      <c r="C7" s="23" t="s">
        <v>4892</v>
      </c>
      <c r="D7" s="23" t="s">
        <v>5020</v>
      </c>
      <c r="E7" s="23" t="s">
        <v>5148</v>
      </c>
      <c r="F7" s="23" t="s">
        <v>5276</v>
      </c>
      <c r="G7" s="23" t="s">
        <v>5405</v>
      </c>
      <c r="H7" s="23" t="s">
        <v>5534</v>
      </c>
      <c r="I7" s="23" t="str">
        <f t="shared" si="0"/>
        <v>6 INIT PATCH</v>
      </c>
      <c r="J7" t="str">
        <f t="shared" si="2"/>
        <v>006 FM-777 EL.PIANO</v>
      </c>
      <c r="K7" t="str">
        <f t="shared" si="3"/>
        <v>006 ConcertPiano AC.PIANO</v>
      </c>
      <c r="L7" t="str">
        <f t="shared" si="4"/>
        <v>006 SC Perc Org ORGAN</v>
      </c>
      <c r="M7" t="str">
        <f t="shared" si="5"/>
        <v>006 SC Unison Bs SYNTH BASS</v>
      </c>
      <c r="N7" t="str">
        <f t="shared" si="6"/>
        <v>006 DetuneSawBrs SYNTH BRASS</v>
      </c>
      <c r="O7" t="str">
        <f t="shared" si="7"/>
        <v>006 Periscope TECHNO SYNTH</v>
      </c>
      <c r="P7" t="str">
        <f t="shared" si="8"/>
        <v>006 12th Planet SYNTH FX</v>
      </c>
      <c r="Q7" t="str">
        <f t="shared" si="9"/>
        <v>006 WarmReso Pad SOFT PAD</v>
      </c>
      <c r="R7" t="str">
        <f t="shared" si="1"/>
        <v>006</v>
      </c>
    </row>
    <row r="8" spans="1:18" x14ac:dyDescent="0.25">
      <c r="A8" s="23" t="s">
        <v>4637</v>
      </c>
      <c r="B8" s="27" t="s">
        <v>4765</v>
      </c>
      <c r="C8" s="23" t="s">
        <v>4893</v>
      </c>
      <c r="D8" s="23" t="s">
        <v>5021</v>
      </c>
      <c r="E8" s="23" t="s">
        <v>5149</v>
      </c>
      <c r="F8" s="23" t="s">
        <v>5277</v>
      </c>
      <c r="G8" s="23" t="s">
        <v>5406</v>
      </c>
      <c r="H8" s="23" t="s">
        <v>5535</v>
      </c>
      <c r="I8" s="23" t="str">
        <f t="shared" si="0"/>
        <v>7 INIT PATCH</v>
      </c>
      <c r="J8" t="str">
        <f t="shared" si="2"/>
        <v>007 SA EPiano EL.PIANO</v>
      </c>
      <c r="K8" t="str">
        <f t="shared" si="3"/>
        <v>007 Warm Piano AC.PIANO</v>
      </c>
      <c r="L8" t="str">
        <f t="shared" si="4"/>
        <v>007 VKHold4Speed ORGAN</v>
      </c>
      <c r="M8" t="str">
        <f t="shared" si="5"/>
        <v>007 Detune Bass SYNTH BASS</v>
      </c>
      <c r="N8" t="str">
        <f t="shared" si="6"/>
        <v>007 J-Pop Brass SYNTH BRASS</v>
      </c>
      <c r="O8" t="str">
        <f t="shared" si="7"/>
        <v>007 5th Voice TECHNO SYNTH</v>
      </c>
      <c r="P8" t="str">
        <f t="shared" si="8"/>
        <v>007 Scare SYNTH FX</v>
      </c>
      <c r="Q8" t="str">
        <f t="shared" si="9"/>
        <v>007 SC Soft Pad SOFT PAD</v>
      </c>
      <c r="R8" t="str">
        <f t="shared" si="1"/>
        <v>007</v>
      </c>
    </row>
    <row r="9" spans="1:18" x14ac:dyDescent="0.25">
      <c r="A9" s="23" t="s">
        <v>4638</v>
      </c>
      <c r="B9" s="27" t="s">
        <v>4766</v>
      </c>
      <c r="C9" s="23" t="s">
        <v>4894</v>
      </c>
      <c r="D9" s="23" t="s">
        <v>5022</v>
      </c>
      <c r="E9" s="23" t="s">
        <v>5150</v>
      </c>
      <c r="F9" s="23" t="s">
        <v>5278</v>
      </c>
      <c r="G9" s="23" t="s">
        <v>5407</v>
      </c>
      <c r="H9" s="23" t="s">
        <v>5536</v>
      </c>
      <c r="I9" s="23" t="str">
        <f t="shared" si="0"/>
        <v>8 INIT PATCH</v>
      </c>
      <c r="J9" t="str">
        <f t="shared" si="2"/>
        <v>008 HardRockORG1 ORGAN</v>
      </c>
      <c r="K9" t="str">
        <f t="shared" si="3"/>
        <v>008 ConcertGrand AC.PIANO</v>
      </c>
      <c r="L9" t="str">
        <f t="shared" si="4"/>
        <v>008 X Perc Organ ORGAN</v>
      </c>
      <c r="M9" t="str">
        <f t="shared" si="5"/>
        <v>008 Lo Bass SYNTH BASS</v>
      </c>
      <c r="N9" t="str">
        <f t="shared" si="6"/>
        <v>008 80s Brass 1 SYNTH BRASS</v>
      </c>
      <c r="O9" t="str">
        <f t="shared" si="7"/>
        <v>008 HPF Sweep TECHNO SYNTH</v>
      </c>
      <c r="P9" t="str">
        <f t="shared" si="8"/>
        <v>008 Hillside SYNTH FX</v>
      </c>
      <c r="Q9" t="str">
        <f t="shared" si="9"/>
        <v>008 Air Pad SOFT PAD</v>
      </c>
      <c r="R9" t="str">
        <f t="shared" si="1"/>
        <v>008</v>
      </c>
    </row>
    <row r="10" spans="1:18" x14ac:dyDescent="0.25">
      <c r="A10" s="23" t="s">
        <v>4639</v>
      </c>
      <c r="B10" s="27" t="s">
        <v>4767</v>
      </c>
      <c r="C10" s="23" t="s">
        <v>4895</v>
      </c>
      <c r="D10" s="23" t="s">
        <v>5023</v>
      </c>
      <c r="E10" s="23" t="s">
        <v>5151</v>
      </c>
      <c r="F10" s="23" t="s">
        <v>5279</v>
      </c>
      <c r="G10" s="23" t="s">
        <v>5408</v>
      </c>
      <c r="H10" s="23" t="s">
        <v>5537</v>
      </c>
      <c r="I10" s="23" t="str">
        <f t="shared" si="0"/>
        <v>9 INIT PATCH</v>
      </c>
      <c r="J10" t="str">
        <f t="shared" si="2"/>
        <v>009 Rocky Organ ORGAN</v>
      </c>
      <c r="K10" t="str">
        <f t="shared" si="3"/>
        <v>009 Hall Concert AC.PIANO</v>
      </c>
      <c r="L10" t="str">
        <f t="shared" si="4"/>
        <v>009 Rocky Organ ORGAN</v>
      </c>
      <c r="M10" t="str">
        <f t="shared" si="5"/>
        <v>009 SC GarageBs1 SYNTH BASS</v>
      </c>
      <c r="N10" t="str">
        <f t="shared" si="6"/>
        <v>009 80s Brass 2 SYNTH BRASS</v>
      </c>
      <c r="O10" t="str">
        <f t="shared" si="7"/>
        <v>009 BPF Saw TECHNO SYNTH</v>
      </c>
      <c r="P10" t="str">
        <f t="shared" si="8"/>
        <v>009 Mod Scanner SYNTH FX</v>
      </c>
      <c r="Q10" t="str">
        <f t="shared" si="9"/>
        <v>009 Soft Breeze SOFT PAD</v>
      </c>
      <c r="R10" t="str">
        <f t="shared" si="1"/>
        <v>009</v>
      </c>
    </row>
    <row r="11" spans="1:18" x14ac:dyDescent="0.25">
      <c r="A11" s="23" t="s">
        <v>4640</v>
      </c>
      <c r="B11" s="27" t="s">
        <v>4768</v>
      </c>
      <c r="C11" s="23" t="s">
        <v>4896</v>
      </c>
      <c r="D11" s="23" t="s">
        <v>5024</v>
      </c>
      <c r="E11" s="23" t="s">
        <v>5152</v>
      </c>
      <c r="F11" s="23" t="s">
        <v>5280</v>
      </c>
      <c r="G11" s="23" t="s">
        <v>5409</v>
      </c>
      <c r="H11" s="23" t="s">
        <v>5538</v>
      </c>
      <c r="I11" s="23" t="str">
        <f t="shared" si="0"/>
        <v>10 INIT PATCH</v>
      </c>
      <c r="J11" t="str">
        <f t="shared" si="2"/>
        <v>010 FullStop Org ORGAN</v>
      </c>
      <c r="K11" t="str">
        <f t="shared" si="3"/>
        <v>010 Bright Tune AC.PIANO</v>
      </c>
      <c r="L11" t="str">
        <f t="shared" si="4"/>
        <v>010 Euro Organ ORGAN</v>
      </c>
      <c r="M11" t="str">
        <f t="shared" si="5"/>
        <v>010 SC GarageBs2 SYNTH BASS</v>
      </c>
      <c r="N11" t="str">
        <f t="shared" si="6"/>
        <v>010 Ana Brass SYNTH BRASS</v>
      </c>
      <c r="O11" t="str">
        <f t="shared" si="7"/>
        <v>010 Moon Synth TECHNO SYNTH</v>
      </c>
      <c r="P11" t="str">
        <f t="shared" si="8"/>
        <v>010 SoundOnSound SYNTH FX</v>
      </c>
      <c r="Q11" t="str">
        <f t="shared" si="9"/>
        <v>010 JP Strings 1 SOFT PAD</v>
      </c>
      <c r="R11" t="str">
        <f t="shared" si="1"/>
        <v>010</v>
      </c>
    </row>
    <row r="12" spans="1:18" x14ac:dyDescent="0.25">
      <c r="A12" s="23" t="s">
        <v>4641</v>
      </c>
      <c r="B12" s="27" t="s">
        <v>4769</v>
      </c>
      <c r="C12" s="23" t="s">
        <v>4897</v>
      </c>
      <c r="D12" s="23" t="s">
        <v>5025</v>
      </c>
      <c r="E12" s="23" t="s">
        <v>5153</v>
      </c>
      <c r="F12" s="23" t="s">
        <v>5281</v>
      </c>
      <c r="G12" s="23" t="s">
        <v>5410</v>
      </c>
      <c r="H12" s="23" t="s">
        <v>5539</v>
      </c>
      <c r="I12" s="23" t="str">
        <f t="shared" si="0"/>
        <v>11 INIT PATCH</v>
      </c>
      <c r="J12" t="str">
        <f t="shared" si="2"/>
        <v>011 R&amp;B Organ 2 ORGAN</v>
      </c>
      <c r="K12" t="str">
        <f t="shared" si="3"/>
        <v>011 Mellow Tune AC.PIANO</v>
      </c>
      <c r="L12" t="str">
        <f t="shared" si="4"/>
        <v>011 Rhythm´n´B ORGAN</v>
      </c>
      <c r="M12" t="str">
        <f t="shared" si="5"/>
        <v>011 Sub Sonic SYNTH BASS</v>
      </c>
      <c r="N12" t="str">
        <f t="shared" si="6"/>
        <v>011 Soft Brass SYNTH BRASS</v>
      </c>
      <c r="O12" t="str">
        <f t="shared" si="7"/>
        <v>011 DelyResoSaws TECHNO SYNTH</v>
      </c>
      <c r="P12" t="str">
        <f t="shared" si="8"/>
        <v>011 Gasp SYNTH FX</v>
      </c>
      <c r="Q12" t="str">
        <f t="shared" si="9"/>
        <v>011 JP Strings 2 SOFT PAD</v>
      </c>
      <c r="R12" t="str">
        <f t="shared" si="1"/>
        <v>011</v>
      </c>
    </row>
    <row r="13" spans="1:18" x14ac:dyDescent="0.25">
      <c r="A13" s="23" t="s">
        <v>4642</v>
      </c>
      <c r="B13" s="27" t="s">
        <v>4770</v>
      </c>
      <c r="C13" s="23" t="s">
        <v>4898</v>
      </c>
      <c r="D13" s="23" t="s">
        <v>5026</v>
      </c>
      <c r="E13" s="23" t="s">
        <v>5154</v>
      </c>
      <c r="F13" s="23" t="s">
        <v>5282</v>
      </c>
      <c r="G13" s="23" t="s">
        <v>5411</v>
      </c>
      <c r="H13" s="23" t="s">
        <v>5540</v>
      </c>
      <c r="I13" s="23" t="str">
        <f t="shared" si="0"/>
        <v>12 INIT PATCH</v>
      </c>
      <c r="J13" t="str">
        <f t="shared" si="2"/>
        <v>012 X Perc Organ ORGAN</v>
      </c>
      <c r="K13" t="str">
        <f t="shared" si="3"/>
        <v>012 Studio Grand AC.PIANO</v>
      </c>
      <c r="L13" t="str">
        <f t="shared" si="4"/>
        <v>012 Phono Organ ORGAN</v>
      </c>
      <c r="M13" t="str">
        <f t="shared" si="5"/>
        <v>012 SC Jungle Bs SYNTH BASS</v>
      </c>
      <c r="N13" t="str">
        <f t="shared" si="6"/>
        <v>012 JP8000 Brass SYNTH BRASS</v>
      </c>
      <c r="O13" t="str">
        <f t="shared" si="7"/>
        <v>012 R-Trance TECHNO SYNTH</v>
      </c>
      <c r="P13" t="str">
        <f t="shared" si="8"/>
        <v>012 ResoSweep Up SYNTH FX</v>
      </c>
      <c r="Q13" t="str">
        <f t="shared" si="9"/>
        <v>012 DelayStrings SOFT PAD</v>
      </c>
      <c r="R13" t="str">
        <f t="shared" si="1"/>
        <v>012</v>
      </c>
    </row>
    <row r="14" spans="1:18" x14ac:dyDescent="0.25">
      <c r="A14" s="23" t="s">
        <v>4643</v>
      </c>
      <c r="B14" s="27" t="s">
        <v>4771</v>
      </c>
      <c r="C14" s="23" t="s">
        <v>4899</v>
      </c>
      <c r="D14" s="23" t="s">
        <v>5027</v>
      </c>
      <c r="E14" s="23" t="s">
        <v>5155</v>
      </c>
      <c r="F14" s="23" t="s">
        <v>5283</v>
      </c>
      <c r="G14" s="23" t="s">
        <v>5412</v>
      </c>
      <c r="H14" s="23" t="s">
        <v>5541</v>
      </c>
      <c r="I14" s="23" t="str">
        <f t="shared" si="0"/>
        <v>13 INIT PATCH</v>
      </c>
      <c r="J14" t="str">
        <f t="shared" si="2"/>
        <v>013 Smoky Organ ORGAN</v>
      </c>
      <c r="K14" t="str">
        <f t="shared" si="3"/>
        <v>013 DryStudio88 AC.PIANO</v>
      </c>
      <c r="L14" t="str">
        <f t="shared" si="4"/>
        <v>013 LoFi PercOrg ORGAN</v>
      </c>
      <c r="M14" t="str">
        <f t="shared" si="5"/>
        <v>013 R&amp;B Bass 4 SYNTH BASS</v>
      </c>
      <c r="N14" t="str">
        <f t="shared" si="6"/>
        <v>013 Sonic Brass SYNTH BRASS</v>
      </c>
      <c r="O14" t="str">
        <f t="shared" si="7"/>
        <v>013 Braatz... TECHNO SYNTH</v>
      </c>
      <c r="P14" t="str">
        <f t="shared" si="8"/>
        <v>013 Magic Wave SYNTH FX</v>
      </c>
      <c r="Q14" t="str">
        <f t="shared" si="9"/>
        <v>013 NorthStrings SOFT PAD</v>
      </c>
      <c r="R14" t="str">
        <f t="shared" si="1"/>
        <v>013</v>
      </c>
    </row>
    <row r="15" spans="1:18" x14ac:dyDescent="0.25">
      <c r="A15" s="23" t="s">
        <v>4644</v>
      </c>
      <c r="B15" s="27" t="s">
        <v>4772</v>
      </c>
      <c r="C15" s="23" t="s">
        <v>4900</v>
      </c>
      <c r="D15" s="23" t="s">
        <v>5028</v>
      </c>
      <c r="E15" s="23" t="s">
        <v>5156</v>
      </c>
      <c r="F15" s="23" t="s">
        <v>5284</v>
      </c>
      <c r="G15" s="23" t="s">
        <v>5413</v>
      </c>
      <c r="H15" s="23" t="s">
        <v>5542</v>
      </c>
      <c r="I15" s="23" t="str">
        <f t="shared" si="0"/>
        <v>14 INIT PATCH</v>
      </c>
      <c r="J15" t="str">
        <f t="shared" si="2"/>
        <v>014 Crummy Organ ORGAN</v>
      </c>
      <c r="K15" t="str">
        <f t="shared" si="3"/>
        <v>014 First Choice AC.PIANO</v>
      </c>
      <c r="L15" t="str">
        <f t="shared" si="4"/>
        <v>014 Rochno Org ORGAN</v>
      </c>
      <c r="M15" t="str">
        <f t="shared" si="5"/>
        <v>014 Simply Basic SYNTH BASS</v>
      </c>
      <c r="N15" t="str">
        <f t="shared" si="6"/>
        <v>014 Syn Brass SYNTH BRASS</v>
      </c>
      <c r="O15" t="str">
        <f t="shared" si="7"/>
        <v>014 AllinOneRiff TECHNO SYNTH</v>
      </c>
      <c r="P15" t="str">
        <f t="shared" si="8"/>
        <v>014 Shangri-La SYNTH FX</v>
      </c>
      <c r="Q15" t="str">
        <f t="shared" si="9"/>
        <v>014 SC Syn Str SOFT PAD</v>
      </c>
      <c r="R15" t="str">
        <f t="shared" si="1"/>
        <v>014</v>
      </c>
    </row>
    <row r="16" spans="1:18" x14ac:dyDescent="0.25">
      <c r="A16" s="23" t="s">
        <v>4645</v>
      </c>
      <c r="B16" s="27" t="s">
        <v>4773</v>
      </c>
      <c r="C16" s="23" t="s">
        <v>4901</v>
      </c>
      <c r="D16" s="23" t="s">
        <v>5029</v>
      </c>
      <c r="E16" s="23" t="s">
        <v>5157</v>
      </c>
      <c r="F16" s="23" t="s">
        <v>5285</v>
      </c>
      <c r="G16" s="23" t="s">
        <v>5414</v>
      </c>
      <c r="H16" s="23" t="s">
        <v>5543</v>
      </c>
      <c r="I16" s="23" t="str">
        <f t="shared" si="0"/>
        <v>15 INIT PATCH</v>
      </c>
      <c r="J16" t="str">
        <f t="shared" si="2"/>
        <v>015 Chapel Organ ORGAN</v>
      </c>
      <c r="K16" t="str">
        <f t="shared" si="3"/>
        <v>015 Rokkin´ pF AC.PIANO</v>
      </c>
      <c r="L16" t="str">
        <f t="shared" si="4"/>
        <v>015 R&amp;B Organ 1 ORGAN</v>
      </c>
      <c r="M16" t="str">
        <f t="shared" si="5"/>
        <v>015 Beepin Bass SYNTH BASS</v>
      </c>
      <c r="N16" t="str">
        <f t="shared" si="6"/>
        <v>015 Syn Brass 2 SYNTH BRASS</v>
      </c>
      <c r="O16" t="str">
        <f t="shared" si="7"/>
        <v>015 YZ Again TECHNO SYNTH</v>
      </c>
      <c r="P16" t="str">
        <f t="shared" si="8"/>
        <v>015 CerealKiller SYNTH FX</v>
      </c>
      <c r="Q16" t="str">
        <f t="shared" si="9"/>
        <v>015 Slow Saw Str SOFT PAD</v>
      </c>
      <c r="R16" t="str">
        <f t="shared" si="1"/>
        <v>015</v>
      </c>
    </row>
    <row r="17" spans="1:18" x14ac:dyDescent="0.25">
      <c r="A17" s="23" t="s">
        <v>4646</v>
      </c>
      <c r="B17" s="27" t="s">
        <v>4774</v>
      </c>
      <c r="C17" s="23" t="s">
        <v>4902</v>
      </c>
      <c r="D17" s="23" t="s">
        <v>5030</v>
      </c>
      <c r="E17" s="23" t="s">
        <v>5158</v>
      </c>
      <c r="F17" s="23" t="s">
        <v>5286</v>
      </c>
      <c r="G17" s="23" t="s">
        <v>5415</v>
      </c>
      <c r="H17" s="23" t="s">
        <v>5544</v>
      </c>
      <c r="I17" s="23" t="str">
        <f t="shared" si="0"/>
        <v>16 INIT PATCH</v>
      </c>
      <c r="J17" t="str">
        <f t="shared" si="2"/>
        <v>016 Mid Pipe Org ORGAN</v>
      </c>
      <c r="K17" t="str">
        <f t="shared" si="3"/>
        <v>016 Dark Grand AC.PIANO</v>
      </c>
      <c r="L17" t="str">
        <f t="shared" si="4"/>
        <v>016 R&amp;B Organ 2 ORGAN</v>
      </c>
      <c r="M17" t="str">
        <f t="shared" si="5"/>
        <v>016 MC-TB Bass SYNTH BASS</v>
      </c>
      <c r="N17" t="str">
        <f t="shared" si="6"/>
        <v>016 Xpand Brass SYNTH BRASS</v>
      </c>
      <c r="O17" t="str">
        <f t="shared" si="7"/>
        <v>016 Flazzy Lead TECHNO SYNTH</v>
      </c>
      <c r="P17" t="str">
        <f t="shared" si="8"/>
        <v>016 Cosmic Drops SYNTH FX</v>
      </c>
      <c r="Q17" t="str">
        <f t="shared" si="9"/>
        <v>016 Syn Strings SOFT PAD</v>
      </c>
      <c r="R17" t="str">
        <f t="shared" si="1"/>
        <v>016</v>
      </c>
    </row>
    <row r="18" spans="1:18" x14ac:dyDescent="0.25">
      <c r="A18" s="23" t="s">
        <v>4647</v>
      </c>
      <c r="B18" s="27" t="s">
        <v>4775</v>
      </c>
      <c r="C18" s="23" t="s">
        <v>4903</v>
      </c>
      <c r="D18" s="23" t="s">
        <v>5031</v>
      </c>
      <c r="E18" s="23" t="s">
        <v>5159</v>
      </c>
      <c r="F18" s="23" t="s">
        <v>5287</v>
      </c>
      <c r="G18" s="23" t="s">
        <v>5416</v>
      </c>
      <c r="H18" s="23" t="s">
        <v>5545</v>
      </c>
      <c r="I18" s="23" t="str">
        <f t="shared" si="0"/>
        <v>17 INIT PATCH</v>
      </c>
      <c r="J18" t="str">
        <f t="shared" si="2"/>
        <v>017 VntgClav KEYBOARDS</v>
      </c>
      <c r="K18" t="str">
        <f t="shared" si="3"/>
        <v>017 SC Grand+Pad AC.PIANO</v>
      </c>
      <c r="L18" t="str">
        <f t="shared" si="4"/>
        <v>017 SC Dist Bee ORGAN</v>
      </c>
      <c r="M18" t="str">
        <f t="shared" si="5"/>
        <v>017 Acdg Bass SYNTH BASS</v>
      </c>
      <c r="N18" t="str">
        <f t="shared" si="6"/>
        <v>017 Xpand Brass2 SYNTH BRASS</v>
      </c>
      <c r="O18" t="str">
        <f t="shared" si="7"/>
        <v>017 Coffee Bee TECHNO SYNTH</v>
      </c>
      <c r="P18" t="str">
        <f t="shared" si="8"/>
        <v>017 Space Echo SYNTH FX</v>
      </c>
      <c r="Q18" t="str">
        <f t="shared" si="9"/>
        <v>017 OB Slow Str SOFT PAD</v>
      </c>
      <c r="R18" t="str">
        <f t="shared" si="1"/>
        <v>017</v>
      </c>
    </row>
    <row r="19" spans="1:18" x14ac:dyDescent="0.25">
      <c r="A19" s="23" t="s">
        <v>4648</v>
      </c>
      <c r="B19" s="27" t="s">
        <v>4776</v>
      </c>
      <c r="C19" s="23" t="s">
        <v>4904</v>
      </c>
      <c r="D19" s="23" t="s">
        <v>5032</v>
      </c>
      <c r="E19" s="23" t="s">
        <v>5160</v>
      </c>
      <c r="F19" s="23" t="s">
        <v>5288</v>
      </c>
      <c r="G19" s="23" t="s">
        <v>5417</v>
      </c>
      <c r="H19" s="23" t="s">
        <v>5546</v>
      </c>
      <c r="I19" s="23" t="str">
        <f t="shared" si="0"/>
        <v>18 INIT PATCH</v>
      </c>
      <c r="J19" t="str">
        <f t="shared" si="2"/>
        <v>018 Phase Clavi KEYBOARDS</v>
      </c>
      <c r="K19" t="str">
        <f t="shared" si="3"/>
        <v>018 Warm Pad Pno AC.PIANO</v>
      </c>
      <c r="L19" t="str">
        <f t="shared" si="4"/>
        <v>018 60´s Org 1 ORGAN</v>
      </c>
      <c r="M19" t="str">
        <f t="shared" si="5"/>
        <v>018 Loco Voco SYNTH BASS</v>
      </c>
      <c r="N19" t="str">
        <f t="shared" si="6"/>
        <v>018 Super Saw SYNTH BRASS</v>
      </c>
      <c r="O19" t="str">
        <f t="shared" si="7"/>
        <v>018 SC-303 TECHNO SYNTH</v>
      </c>
      <c r="P19" t="str">
        <f t="shared" si="8"/>
        <v>018 Robot Sci-Fi SYNTH FX</v>
      </c>
      <c r="Q19" t="str">
        <f t="shared" si="9"/>
        <v>018 Strings Pad SOFT PAD</v>
      </c>
      <c r="R19" t="str">
        <f t="shared" si="1"/>
        <v>018</v>
      </c>
    </row>
    <row r="20" spans="1:18" x14ac:dyDescent="0.25">
      <c r="A20" s="23" t="s">
        <v>4649</v>
      </c>
      <c r="B20" s="27" t="s">
        <v>4777</v>
      </c>
      <c r="C20" s="23" t="s">
        <v>4905</v>
      </c>
      <c r="D20" s="23" t="s">
        <v>5033</v>
      </c>
      <c r="E20" s="23" t="s">
        <v>5161</v>
      </c>
      <c r="F20" s="23" t="s">
        <v>5289</v>
      </c>
      <c r="G20" s="23" t="s">
        <v>5418</v>
      </c>
      <c r="H20" s="23" t="s">
        <v>5547</v>
      </c>
      <c r="I20" s="23" t="str">
        <f t="shared" si="0"/>
        <v>19 INIT PATCH</v>
      </c>
      <c r="J20" t="str">
        <f t="shared" si="2"/>
        <v>019 Funky Line KEYBOARDS</v>
      </c>
      <c r="K20" t="str">
        <f t="shared" si="3"/>
        <v>019 SC Grand+Vox AC.PIANO</v>
      </c>
      <c r="L20" t="str">
        <f t="shared" si="4"/>
        <v>019 60´s Org 2 ORGAN</v>
      </c>
      <c r="M20" t="str">
        <f t="shared" si="5"/>
        <v>019 Unplug it! SYNTH BASS</v>
      </c>
      <c r="N20" t="str">
        <f t="shared" si="6"/>
        <v>019 SoftSynBrass SYNTH BRASS</v>
      </c>
      <c r="O20" t="str">
        <f t="shared" si="7"/>
        <v>019 Dance Saws TECHNO SYNTH</v>
      </c>
      <c r="P20" t="str">
        <f t="shared" si="8"/>
        <v>019 Stacc Heaven OTHER SYNTH</v>
      </c>
      <c r="Q20" t="str">
        <f t="shared" si="9"/>
        <v>019 R&amp;B SoftPad SOFT PAD</v>
      </c>
      <c r="R20" t="str">
        <f t="shared" si="1"/>
        <v>019</v>
      </c>
    </row>
    <row r="21" spans="1:18" x14ac:dyDescent="0.25">
      <c r="A21" s="23" t="s">
        <v>4650</v>
      </c>
      <c r="B21" s="27" t="s">
        <v>4778</v>
      </c>
      <c r="C21" s="23" t="s">
        <v>4906</v>
      </c>
      <c r="D21" s="23" t="s">
        <v>5034</v>
      </c>
      <c r="E21" s="23" t="s">
        <v>5162</v>
      </c>
      <c r="F21" s="23" t="s">
        <v>5290</v>
      </c>
      <c r="G21" s="23" t="s">
        <v>5419</v>
      </c>
      <c r="H21" s="23" t="s">
        <v>5548</v>
      </c>
      <c r="I21" s="23" t="str">
        <f t="shared" si="0"/>
        <v>20 INIT PATCH</v>
      </c>
      <c r="J21" t="str">
        <f t="shared" si="2"/>
        <v>020 Harpsy Clavi KEYBOARDS</v>
      </c>
      <c r="K21" t="str">
        <f t="shared" si="3"/>
        <v>020 Cicada Piano AC.PIANO</v>
      </c>
      <c r="L21" t="str">
        <f t="shared" si="4"/>
        <v>020 Smoky Organ ORGAN</v>
      </c>
      <c r="M21" t="str">
        <f t="shared" si="5"/>
        <v>020 S&amp;H Bass SYNTH BASS</v>
      </c>
      <c r="N21" t="str">
        <f t="shared" si="6"/>
        <v>020 Silky JP SYNTH BRASS</v>
      </c>
      <c r="O21" t="str">
        <f t="shared" si="7"/>
        <v>020 AluminmWires TECHNO SYNTH</v>
      </c>
      <c r="P21" t="str">
        <f t="shared" si="8"/>
        <v>020 Juno Poly OTHER SYNTH</v>
      </c>
      <c r="Q21" t="str">
        <f t="shared" si="9"/>
        <v>020 Reso Pad SOFT PAD</v>
      </c>
      <c r="R21" t="str">
        <f t="shared" si="1"/>
        <v>020</v>
      </c>
    </row>
    <row r="22" spans="1:18" x14ac:dyDescent="0.25">
      <c r="A22" s="23" t="s">
        <v>4651</v>
      </c>
      <c r="B22" s="27" t="s">
        <v>4779</v>
      </c>
      <c r="C22" s="23" t="s">
        <v>4907</v>
      </c>
      <c r="D22" s="23" t="s">
        <v>5035</v>
      </c>
      <c r="E22" s="23" t="s">
        <v>5163</v>
      </c>
      <c r="F22" s="23" t="s">
        <v>5291</v>
      </c>
      <c r="G22" s="23" t="s">
        <v>5420</v>
      </c>
      <c r="H22" s="23" t="s">
        <v>5549</v>
      </c>
      <c r="I22" s="23" t="str">
        <f t="shared" si="0"/>
        <v>21 INIT PATCH</v>
      </c>
      <c r="J22" t="str">
        <f t="shared" si="2"/>
        <v>021 SonicStrings STRINGS</v>
      </c>
      <c r="K22" t="str">
        <f t="shared" si="3"/>
        <v>021 X Piano +Str AC.PIANO</v>
      </c>
      <c r="L22" t="str">
        <f t="shared" si="4"/>
        <v>021 SC SoapOpera ORGAN</v>
      </c>
      <c r="M22" t="str">
        <f t="shared" si="5"/>
        <v>021 Destroyed Bs SYNTH BASS</v>
      </c>
      <c r="N22" t="str">
        <f t="shared" si="6"/>
        <v>021 Silk Brs Pad SYNTH BRASS</v>
      </c>
      <c r="O22" t="str">
        <f t="shared" si="7"/>
        <v>021 Fred&amp;Barney TECHNO SYNTH</v>
      </c>
      <c r="P22" t="str">
        <f t="shared" si="8"/>
        <v>021 DigitalDream OTHER SYNTH</v>
      </c>
      <c r="Q22" t="str">
        <f t="shared" si="9"/>
        <v>021 Phat Pad SOFT PAD</v>
      </c>
      <c r="R22" t="str">
        <f t="shared" si="1"/>
        <v>021</v>
      </c>
    </row>
    <row r="23" spans="1:18" x14ac:dyDescent="0.25">
      <c r="A23" s="23" t="s">
        <v>4652</v>
      </c>
      <c r="B23" s="27" t="s">
        <v>4780</v>
      </c>
      <c r="C23" s="23" t="s">
        <v>4908</v>
      </c>
      <c r="D23" s="23" t="s">
        <v>5036</v>
      </c>
      <c r="E23" s="23" t="s">
        <v>5164</v>
      </c>
      <c r="F23" s="23" t="s">
        <v>5292</v>
      </c>
      <c r="G23" s="23" t="s">
        <v>5421</v>
      </c>
      <c r="H23" s="23" t="s">
        <v>5550</v>
      </c>
      <c r="I23" s="23" t="str">
        <f t="shared" si="0"/>
        <v>22 INIT PATCH</v>
      </c>
      <c r="J23" t="str">
        <f t="shared" si="2"/>
        <v>022 String Ens STRINGS</v>
      </c>
      <c r="K23" t="str">
        <f t="shared" si="3"/>
        <v>022 Warm Str Pno AC.PIANO</v>
      </c>
      <c r="L23" t="str">
        <f t="shared" si="4"/>
        <v>022 Crummy Organ ORGAN</v>
      </c>
      <c r="M23" t="str">
        <f t="shared" si="5"/>
        <v>022 SC Acid Bs SYNTH BASS</v>
      </c>
      <c r="N23" t="str">
        <f t="shared" si="6"/>
        <v>022 80s Brass 3 SYNTH BRASS</v>
      </c>
      <c r="O23" t="str">
        <f t="shared" si="7"/>
        <v>022 Electrostars TECHNO SYNTH</v>
      </c>
      <c r="P23" t="str">
        <f t="shared" si="8"/>
        <v>022 Jucy Saw OTHER SYNTH</v>
      </c>
      <c r="Q23" t="str">
        <f t="shared" si="9"/>
        <v>022 SC PhaserPad SOFT PAD</v>
      </c>
      <c r="R23" t="str">
        <f t="shared" si="1"/>
        <v>022</v>
      </c>
    </row>
    <row r="24" spans="1:18" x14ac:dyDescent="0.25">
      <c r="A24" s="23" t="s">
        <v>4653</v>
      </c>
      <c r="B24" s="27" t="s">
        <v>4781</v>
      </c>
      <c r="C24" s="23" t="s">
        <v>4909</v>
      </c>
      <c r="D24" s="23" t="s">
        <v>5037</v>
      </c>
      <c r="E24" s="23" t="s">
        <v>5165</v>
      </c>
      <c r="F24" s="23" t="s">
        <v>5293</v>
      </c>
      <c r="G24" s="23" t="s">
        <v>5422</v>
      </c>
      <c r="H24" s="23" t="s">
        <v>5551</v>
      </c>
      <c r="I24" s="23" t="str">
        <f t="shared" si="0"/>
        <v>23 INIT PATCH</v>
      </c>
      <c r="J24" t="str">
        <f t="shared" si="2"/>
        <v>023 Wind &amp; Str 1 ORCHESTRA</v>
      </c>
      <c r="K24" t="str">
        <f t="shared" si="3"/>
        <v>023 Grand Hall AC.PIANO</v>
      </c>
      <c r="L24" t="str">
        <f t="shared" si="4"/>
        <v>023 Chapel Organ ORGAN</v>
      </c>
      <c r="M24" t="str">
        <f t="shared" si="5"/>
        <v>023 Lo-Fi TB SYNTH BASS</v>
      </c>
      <c r="N24" t="str">
        <f t="shared" si="6"/>
        <v>023 X-Saw Brass1 SYNTH BRASS</v>
      </c>
      <c r="O24" t="str">
        <f t="shared" si="7"/>
        <v>023 LoFiSequence TECHNO SYNTH</v>
      </c>
      <c r="P24" t="str">
        <f t="shared" si="8"/>
        <v>023 Cue Tip OTHER SYNTH</v>
      </c>
      <c r="Q24" t="str">
        <f t="shared" si="9"/>
        <v>023 Mystic Str SOFT PAD</v>
      </c>
      <c r="R24" t="str">
        <f t="shared" si="1"/>
        <v>023</v>
      </c>
    </row>
    <row r="25" spans="1:18" x14ac:dyDescent="0.25">
      <c r="A25" s="23" t="s">
        <v>4654</v>
      </c>
      <c r="B25" s="27" t="s">
        <v>4782</v>
      </c>
      <c r="C25" s="23" t="s">
        <v>4910</v>
      </c>
      <c r="D25" s="23" t="s">
        <v>5038</v>
      </c>
      <c r="E25" s="23" t="s">
        <v>5166</v>
      </c>
      <c r="F25" s="23" t="s">
        <v>5294</v>
      </c>
      <c r="G25" s="23" t="s">
        <v>5423</v>
      </c>
      <c r="H25" s="23" t="s">
        <v>5552</v>
      </c>
      <c r="I25" s="23" t="str">
        <f t="shared" si="0"/>
        <v>24 INIT PATCH</v>
      </c>
      <c r="J25" t="str">
        <f t="shared" si="2"/>
        <v>024 Soft Orch 2 ORCHESTRA</v>
      </c>
      <c r="K25" t="str">
        <f t="shared" si="3"/>
        <v>024 Rapsody AC.PIANO</v>
      </c>
      <c r="L25" t="str">
        <f t="shared" si="4"/>
        <v>024 Grand Pipe ORGAN</v>
      </c>
      <c r="M25" t="str">
        <f t="shared" si="5"/>
        <v>024 Drop Bass SYNTH BASS</v>
      </c>
      <c r="N25" t="str">
        <f t="shared" si="6"/>
        <v>024 Cheesy Brass SYNTH BRASS</v>
      </c>
      <c r="O25" t="str">
        <f t="shared" si="7"/>
        <v>024 MelodicDrums TECHNO SYNTH</v>
      </c>
      <c r="P25" t="str">
        <f t="shared" si="8"/>
        <v>024 Waspy Synth OTHER SYNTH</v>
      </c>
      <c r="Q25" t="str">
        <f t="shared" si="9"/>
        <v>024 Glass Organ SOFT PAD</v>
      </c>
      <c r="R25" t="str">
        <f t="shared" si="1"/>
        <v>024</v>
      </c>
    </row>
    <row r="26" spans="1:18" x14ac:dyDescent="0.25">
      <c r="A26" s="23" t="s">
        <v>4655</v>
      </c>
      <c r="B26" s="27" t="s">
        <v>4783</v>
      </c>
      <c r="C26" s="23" t="s">
        <v>4911</v>
      </c>
      <c r="D26" s="23" t="s">
        <v>5039</v>
      </c>
      <c r="E26" s="23" t="s">
        <v>5167</v>
      </c>
      <c r="F26" s="23" t="s">
        <v>5295</v>
      </c>
      <c r="G26" s="23" t="s">
        <v>5424</v>
      </c>
      <c r="H26" s="23" t="s">
        <v>5553</v>
      </c>
      <c r="I26" s="23" t="str">
        <f t="shared" si="0"/>
        <v>25 INIT PATCH</v>
      </c>
      <c r="J26" t="str">
        <f t="shared" si="2"/>
        <v>025 SC Hollow SOFT PAD</v>
      </c>
      <c r="K26" t="str">
        <f t="shared" si="3"/>
        <v>025 JD-800 Piano AC.PIANO</v>
      </c>
      <c r="L26" t="str">
        <f t="shared" si="4"/>
        <v>025 Pipe Org/Mod ORGAN</v>
      </c>
      <c r="M26" t="str">
        <f t="shared" si="5"/>
        <v>025 Big Mini SYNTH BASS</v>
      </c>
      <c r="N26" t="str">
        <f t="shared" si="6"/>
        <v>025 Dual Saw Brs SYNTH BRASS</v>
      </c>
      <c r="O26" t="str">
        <f t="shared" si="7"/>
        <v>025 TB Wah TECHNO SYNTH</v>
      </c>
      <c r="P26" t="str">
        <f t="shared" si="8"/>
        <v>025 TB-Sequence OTHER SYNTH</v>
      </c>
      <c r="Q26" t="str">
        <f t="shared" si="9"/>
        <v>025 Wind Pad SOFT PAD</v>
      </c>
      <c r="R26" t="str">
        <f t="shared" si="1"/>
        <v>025</v>
      </c>
    </row>
    <row r="27" spans="1:18" x14ac:dyDescent="0.25">
      <c r="A27" s="23" t="s">
        <v>4656</v>
      </c>
      <c r="B27" s="27" t="s">
        <v>4784</v>
      </c>
      <c r="C27" s="23" t="s">
        <v>4912</v>
      </c>
      <c r="D27" s="23" t="s">
        <v>5040</v>
      </c>
      <c r="E27" s="23" t="s">
        <v>5168</v>
      </c>
      <c r="F27" s="23" t="s">
        <v>5296</v>
      </c>
      <c r="G27" s="23" t="s">
        <v>5425</v>
      </c>
      <c r="H27" s="23" t="s">
        <v>5554</v>
      </c>
      <c r="I27" s="23" t="str">
        <f t="shared" si="0"/>
        <v>26 INIT PATCH</v>
      </c>
      <c r="J27" t="str">
        <f t="shared" si="2"/>
        <v>026 Heaven Pad SOFT PAD</v>
      </c>
      <c r="K27" t="str">
        <f t="shared" si="3"/>
        <v>026 SA Dance Pno AC.PIANO</v>
      </c>
      <c r="L27" t="str">
        <f t="shared" si="4"/>
        <v>026 Masked Opera ORGAN</v>
      </c>
      <c r="M27" t="str">
        <f t="shared" si="5"/>
        <v>026 Muffled MG SYNTH BASS</v>
      </c>
      <c r="N27" t="str">
        <f t="shared" si="6"/>
        <v>026 Juno-106 Brs SYNTH BRASS</v>
      </c>
      <c r="O27" t="str">
        <f t="shared" si="7"/>
        <v>026 Waving TB303 TECHNO SYNTH</v>
      </c>
      <c r="P27" t="str">
        <f t="shared" si="8"/>
        <v>026 Europe Xpres OTHER SYNTH</v>
      </c>
      <c r="Q27" t="str">
        <f t="shared" si="9"/>
        <v>026 Combination SOFT PAD</v>
      </c>
      <c r="R27" t="str">
        <f t="shared" si="1"/>
        <v>026</v>
      </c>
    </row>
    <row r="28" spans="1:18" x14ac:dyDescent="0.25">
      <c r="A28" s="23" t="s">
        <v>4657</v>
      </c>
      <c r="B28" s="27" t="s">
        <v>4785</v>
      </c>
      <c r="C28" s="23" t="s">
        <v>4913</v>
      </c>
      <c r="D28" s="23" t="s">
        <v>5041</v>
      </c>
      <c r="E28" s="23" t="s">
        <v>5169</v>
      </c>
      <c r="F28" s="23" t="s">
        <v>5297</v>
      </c>
      <c r="G28" s="23" t="s">
        <v>5426</v>
      </c>
      <c r="H28" s="23" t="s">
        <v>5555</v>
      </c>
      <c r="I28" s="23" t="str">
        <f t="shared" si="0"/>
        <v>27 INIT PATCH</v>
      </c>
      <c r="J28" t="str">
        <f t="shared" si="2"/>
        <v>027 Soft OB Pad SOFT PAD</v>
      </c>
      <c r="K28" t="str">
        <f t="shared" si="3"/>
        <v>027 SC E-Grand AC.PIANO</v>
      </c>
      <c r="L28" t="str">
        <f t="shared" si="4"/>
        <v>027 Mid Pipe Org ORGAN</v>
      </c>
      <c r="M28" t="str">
        <f t="shared" si="5"/>
        <v>027 Intrusive Bs SYNTH BASS</v>
      </c>
      <c r="N28" t="str">
        <f t="shared" si="6"/>
        <v>027 Poly Brass SYNTH BRASS</v>
      </c>
      <c r="O28" t="str">
        <f t="shared" si="7"/>
        <v>027 Digi Seq TECHNO SYNTH</v>
      </c>
      <c r="P28" t="str">
        <f t="shared" si="8"/>
        <v>027 Squeepy OTHER SYNTH</v>
      </c>
      <c r="Q28" t="str">
        <f t="shared" si="9"/>
        <v>027 HumanKindnes SOFT PAD</v>
      </c>
      <c r="R28" t="str">
        <f t="shared" si="1"/>
        <v>027</v>
      </c>
    </row>
    <row r="29" spans="1:18" x14ac:dyDescent="0.25">
      <c r="A29" s="23" t="s">
        <v>4658</v>
      </c>
      <c r="B29" s="27" t="s">
        <v>4786</v>
      </c>
      <c r="C29" s="23" t="s">
        <v>4914</v>
      </c>
      <c r="D29" s="23" t="s">
        <v>5042</v>
      </c>
      <c r="E29" s="23" t="s">
        <v>5170</v>
      </c>
      <c r="F29" s="23" t="s">
        <v>5298</v>
      </c>
      <c r="G29" s="23" t="s">
        <v>5427</v>
      </c>
      <c r="H29" s="23" t="s">
        <v>5556</v>
      </c>
      <c r="I29" s="23" t="str">
        <f t="shared" si="0"/>
        <v>28 INIT PATCH</v>
      </c>
      <c r="J29" t="str">
        <f t="shared" si="2"/>
        <v>028 Reso Pad SOFT PAD</v>
      </c>
      <c r="K29" t="str">
        <f t="shared" si="3"/>
        <v>028 Back E-Grand AC.PIANO</v>
      </c>
      <c r="L29" t="str">
        <f t="shared" si="4"/>
        <v>028 Vodkakordion ACCRDION 3</v>
      </c>
      <c r="M29" t="str">
        <f t="shared" si="5"/>
        <v>028 Alpha SynBs SYNTH BASS</v>
      </c>
      <c r="N29" t="str">
        <f t="shared" si="6"/>
        <v>028 Stacked Brs SYNTH BRASS</v>
      </c>
      <c r="O29" t="str">
        <f t="shared" si="7"/>
        <v>028 Seq Saw TECHNO SYNTH</v>
      </c>
      <c r="P29" t="str">
        <f t="shared" si="8"/>
        <v>028 DOC Stack OTHER SYNTH</v>
      </c>
      <c r="Q29" t="str">
        <f t="shared" si="9"/>
        <v>028 BeautyPad SOFT PAD</v>
      </c>
      <c r="R29" t="str">
        <f t="shared" si="1"/>
        <v>028</v>
      </c>
    </row>
    <row r="30" spans="1:18" x14ac:dyDescent="0.25">
      <c r="A30" s="23" t="s">
        <v>4659</v>
      </c>
      <c r="B30" s="27" t="s">
        <v>4787</v>
      </c>
      <c r="C30" s="23" t="s">
        <v>4915</v>
      </c>
      <c r="D30" s="23" t="s">
        <v>5043</v>
      </c>
      <c r="E30" s="23" t="s">
        <v>5171</v>
      </c>
      <c r="F30" s="23" t="s">
        <v>5299</v>
      </c>
      <c r="G30" s="23" t="s">
        <v>5428</v>
      </c>
      <c r="H30" s="23" t="s">
        <v>5557</v>
      </c>
      <c r="I30" s="23" t="str">
        <f t="shared" si="0"/>
        <v>29 INIT PATCH</v>
      </c>
      <c r="J30" t="str">
        <f t="shared" si="2"/>
        <v>029 Slow Saw Str SOFT PAD</v>
      </c>
      <c r="K30" t="str">
        <f t="shared" si="3"/>
        <v>029 SC Grand+FM AC.PIANO</v>
      </c>
      <c r="L30" t="str">
        <f t="shared" si="4"/>
        <v>029 Squeeze Me! ACCRDION 4</v>
      </c>
      <c r="M30" t="str">
        <f t="shared" si="5"/>
        <v>029 TransistorBs SYNTH BASS</v>
      </c>
      <c r="N30" t="str">
        <f t="shared" si="6"/>
        <v>029 Soprano Sax SAX</v>
      </c>
      <c r="O30" t="str">
        <f t="shared" si="7"/>
        <v>029 Reso Seq Saw TECHNO SYNTH</v>
      </c>
      <c r="P30" t="str">
        <f t="shared" si="8"/>
        <v>029 Sweep Lead OTHER SYNTH</v>
      </c>
      <c r="Q30" t="str">
        <f t="shared" si="9"/>
        <v>029 Atmospherics SOFT PAD</v>
      </c>
      <c r="R30" t="str">
        <f t="shared" si="1"/>
        <v>029</v>
      </c>
    </row>
    <row r="31" spans="1:18" x14ac:dyDescent="0.25">
      <c r="A31" s="23" t="s">
        <v>4660</v>
      </c>
      <c r="B31" s="27" t="s">
        <v>4788</v>
      </c>
      <c r="C31" s="23" t="s">
        <v>4916</v>
      </c>
      <c r="D31" s="23" t="s">
        <v>5044</v>
      </c>
      <c r="E31" s="23" t="s">
        <v>5172</v>
      </c>
      <c r="F31" s="23" t="s">
        <v>5300</v>
      </c>
      <c r="G31" s="23" t="s">
        <v>5429</v>
      </c>
      <c r="H31" s="23" t="s">
        <v>5558</v>
      </c>
      <c r="I31" s="23" t="str">
        <f t="shared" si="0"/>
        <v>30 INIT PATCH</v>
      </c>
      <c r="J31" t="str">
        <f t="shared" si="2"/>
        <v>030 JP Strings 2 SOFT PAD</v>
      </c>
      <c r="K31" t="str">
        <f t="shared" si="3"/>
        <v>030 SC Blend Pno AC.PIANO</v>
      </c>
      <c r="L31" t="str">
        <f t="shared" si="4"/>
        <v>030 Guinguette ACCRDION 3</v>
      </c>
      <c r="M31" t="str">
        <f t="shared" si="5"/>
        <v>030 Juno-60 Bass SYNTH BASS</v>
      </c>
      <c r="N31" t="str">
        <f t="shared" si="6"/>
        <v>030 Solo Sop Sax SAX</v>
      </c>
      <c r="O31" t="str">
        <f t="shared" si="7"/>
        <v>030 DetuneSeqSaw TECHNO SYNTH</v>
      </c>
      <c r="P31" t="str">
        <f t="shared" si="8"/>
        <v>030 80s Saws 1 OTHER SYNTH</v>
      </c>
      <c r="Q31" t="str">
        <f t="shared" si="9"/>
        <v>030 Terra Nostra SOFT PAD</v>
      </c>
      <c r="R31" t="str">
        <f t="shared" si="1"/>
        <v>030</v>
      </c>
    </row>
    <row r="32" spans="1:18" x14ac:dyDescent="0.25">
      <c r="A32" s="23" t="s">
        <v>4661</v>
      </c>
      <c r="B32" s="27" t="s">
        <v>4789</v>
      </c>
      <c r="C32" s="23" t="s">
        <v>4917</v>
      </c>
      <c r="D32" s="23" t="s">
        <v>5045</v>
      </c>
      <c r="E32" s="23" t="s">
        <v>5173</v>
      </c>
      <c r="F32" s="23" t="s">
        <v>5301</v>
      </c>
      <c r="G32" s="23" t="s">
        <v>5430</v>
      </c>
      <c r="H32" s="23" t="s">
        <v>5559</v>
      </c>
      <c r="I32" s="23" t="str">
        <f t="shared" si="0"/>
        <v>31 INIT PATCH</v>
      </c>
      <c r="J32" t="str">
        <f t="shared" si="2"/>
        <v>031 Cell Comb BRIGHT PAD</v>
      </c>
      <c r="K32" t="str">
        <f t="shared" si="3"/>
        <v>031 Piano Oz AC.PIANO</v>
      </c>
      <c r="L32" t="str">
        <f t="shared" si="4"/>
        <v>031 HarWonderca HARMONICA</v>
      </c>
      <c r="M32" t="str">
        <f t="shared" si="5"/>
        <v>031 Storm Bass SYNTH BASS</v>
      </c>
      <c r="N32" t="str">
        <f t="shared" si="6"/>
        <v>031 Alto mp SAX</v>
      </c>
      <c r="O32" t="str">
        <f t="shared" si="7"/>
        <v>031 Technotribe TECHNO SYNTH</v>
      </c>
      <c r="P32" t="str">
        <f t="shared" si="8"/>
        <v>031 80s Saws 2 OTHER SYNTH</v>
      </c>
      <c r="Q32" t="str">
        <f t="shared" si="9"/>
        <v>031 OB Aaahs SOFT PAD</v>
      </c>
      <c r="R32" t="str">
        <f t="shared" si="1"/>
        <v>031</v>
      </c>
    </row>
    <row r="33" spans="1:18" x14ac:dyDescent="0.25">
      <c r="A33" s="23" t="s">
        <v>4662</v>
      </c>
      <c r="B33" s="27" t="s">
        <v>4790</v>
      </c>
      <c r="C33" s="23" t="s">
        <v>4918</v>
      </c>
      <c r="D33" s="23" t="s">
        <v>5046</v>
      </c>
      <c r="E33" s="23" t="s">
        <v>5174</v>
      </c>
      <c r="F33" s="23" t="s">
        <v>5302</v>
      </c>
      <c r="G33" s="23" t="s">
        <v>5431</v>
      </c>
      <c r="H33" s="23" t="s">
        <v>5560</v>
      </c>
      <c r="I33" s="23" t="str">
        <f t="shared" si="0"/>
        <v>32 INIT PATCH</v>
      </c>
      <c r="J33" t="str">
        <f t="shared" si="2"/>
        <v>032 Super SynStr BRIGHT PAD</v>
      </c>
      <c r="K33" t="str">
        <f t="shared" si="3"/>
        <v>032 FX Piano AC.PIANO</v>
      </c>
      <c r="L33" t="str">
        <f t="shared" si="4"/>
        <v>032 BluesHrp V/S HARMONICA</v>
      </c>
      <c r="M33" t="str">
        <f t="shared" si="5"/>
        <v>032 Alpha ResoBs SYNTH BASS</v>
      </c>
      <c r="N33" t="str">
        <f t="shared" si="6"/>
        <v>032 Alto Sax SAX</v>
      </c>
      <c r="O33" t="str">
        <f t="shared" si="7"/>
        <v>032 Teethy Grit TECHNO SYNTH</v>
      </c>
      <c r="P33" t="str">
        <f t="shared" si="8"/>
        <v>032 80s Saws 3 OTHER SYNTH</v>
      </c>
      <c r="Q33" t="str">
        <f t="shared" si="9"/>
        <v>032 Vulcano Pad SOFT PAD</v>
      </c>
      <c r="R33" t="str">
        <f t="shared" si="1"/>
        <v>032</v>
      </c>
    </row>
    <row r="34" spans="1:18" x14ac:dyDescent="0.25">
      <c r="A34" s="23" t="s">
        <v>4663</v>
      </c>
      <c r="B34" s="27" t="s">
        <v>4791</v>
      </c>
      <c r="C34" s="23" t="s">
        <v>4919</v>
      </c>
      <c r="D34" s="23" t="s">
        <v>5047</v>
      </c>
      <c r="E34" s="23" t="s">
        <v>5175</v>
      </c>
      <c r="F34" s="23" t="s">
        <v>5303</v>
      </c>
      <c r="G34" s="23" t="s">
        <v>5432</v>
      </c>
      <c r="H34" s="23" t="s">
        <v>5561</v>
      </c>
      <c r="I34" s="23" t="str">
        <f t="shared" si="0"/>
        <v>33 INIT PATCH</v>
      </c>
      <c r="J34" t="str">
        <f t="shared" si="2"/>
        <v>033 80s Str BRIGHT PAD</v>
      </c>
      <c r="K34" t="str">
        <f t="shared" si="3"/>
        <v>033 AmbientPiano AC.PIANO</v>
      </c>
      <c r="L34" t="str">
        <f t="shared" si="4"/>
        <v>033 Green Bullet HARMONICA</v>
      </c>
      <c r="M34" t="str">
        <f t="shared" si="5"/>
        <v>033 SH-101 Vibe SYNTH BASS</v>
      </c>
      <c r="N34" t="str">
        <f t="shared" si="6"/>
        <v>033 Solo AltoSax SAX</v>
      </c>
      <c r="O34" t="str">
        <f t="shared" si="7"/>
        <v>033 Repertition TECHNO SYNTH</v>
      </c>
      <c r="P34" t="str">
        <f t="shared" si="8"/>
        <v>033 Digitaless OTHER SYNTH</v>
      </c>
      <c r="Q34" t="str">
        <f t="shared" si="9"/>
        <v>033 Cloud #9 SOFT PAD</v>
      </c>
      <c r="R34" t="str">
        <f t="shared" si="1"/>
        <v>033</v>
      </c>
    </row>
    <row r="35" spans="1:18" x14ac:dyDescent="0.25">
      <c r="A35" s="23" t="s">
        <v>4664</v>
      </c>
      <c r="B35" s="27" t="s">
        <v>4792</v>
      </c>
      <c r="C35" s="23" t="s">
        <v>4920</v>
      </c>
      <c r="D35" s="23" t="s">
        <v>5048</v>
      </c>
      <c r="E35" s="23" t="s">
        <v>5176</v>
      </c>
      <c r="F35" s="23" t="s">
        <v>5304</v>
      </c>
      <c r="G35" s="23" t="s">
        <v>5433</v>
      </c>
      <c r="H35" s="23" t="s">
        <v>5562</v>
      </c>
      <c r="I35" s="23" t="str">
        <f t="shared" si="0"/>
        <v>34 INIT PATCH</v>
      </c>
      <c r="J35" t="str">
        <f t="shared" si="2"/>
        <v>034 Polar Night BRIGHT PAD</v>
      </c>
      <c r="K35" t="str">
        <f t="shared" si="3"/>
        <v>034 SC Pure EP EL.PIANO</v>
      </c>
      <c r="L35" t="str">
        <f t="shared" si="4"/>
        <v>034 SC Brt Nylon AC.GUITAR</v>
      </c>
      <c r="M35" t="str">
        <f t="shared" si="5"/>
        <v>034 Fazee Bass SYNTH BASS</v>
      </c>
      <c r="N35" t="str">
        <f t="shared" si="6"/>
        <v>034 AltoLead Sax SAX</v>
      </c>
      <c r="O35" t="str">
        <f t="shared" si="7"/>
        <v>034 Killerbeez TECHNO SYNTH</v>
      </c>
      <c r="P35" t="str">
        <f t="shared" si="8"/>
        <v>034 Flip Pad OTHER SYNTH</v>
      </c>
      <c r="Q35" t="str">
        <f t="shared" si="9"/>
        <v>034 Organic Pad SOFT PAD</v>
      </c>
      <c r="R35" t="str">
        <f t="shared" si="1"/>
        <v>034</v>
      </c>
    </row>
    <row r="36" spans="1:18" x14ac:dyDescent="0.25">
      <c r="A36" s="23" t="s">
        <v>4665</v>
      </c>
      <c r="B36" s="27" t="s">
        <v>4793</v>
      </c>
      <c r="C36" s="23" t="s">
        <v>4921</v>
      </c>
      <c r="D36" s="23" t="s">
        <v>5049</v>
      </c>
      <c r="E36" s="23" t="s">
        <v>5177</v>
      </c>
      <c r="F36" s="23" t="s">
        <v>5305</v>
      </c>
      <c r="G36" s="23" t="s">
        <v>5434</v>
      </c>
      <c r="H36" s="23" t="s">
        <v>5563</v>
      </c>
      <c r="I36" s="23" t="str">
        <f t="shared" si="0"/>
        <v>35 INIT PATCH</v>
      </c>
      <c r="J36" t="str">
        <f t="shared" si="2"/>
        <v>035 Distant Sun BRIGHT PAD</v>
      </c>
      <c r="K36" t="str">
        <f t="shared" si="3"/>
        <v>035 SC Trem EP EL.PIANO</v>
      </c>
      <c r="L36" t="str">
        <f t="shared" si="4"/>
        <v>035 SoftNyln Gtr AC.GUITAR</v>
      </c>
      <c r="M36" t="str">
        <f t="shared" si="5"/>
        <v>035 Hi-Energy Bs SYNTH BASS</v>
      </c>
      <c r="N36" t="str">
        <f t="shared" si="6"/>
        <v>035 XP TnrBrethy SAX</v>
      </c>
      <c r="O36" t="str">
        <f t="shared" si="7"/>
        <v>035 Acid Lead TECHNO SYNTH</v>
      </c>
      <c r="P36" t="str">
        <f t="shared" si="8"/>
        <v>035 Short Detune OTHER SYNTH</v>
      </c>
      <c r="Q36" t="str">
        <f t="shared" si="9"/>
        <v>035 Hum Pad SOFT PAD</v>
      </c>
      <c r="R36" t="str">
        <f t="shared" si="1"/>
        <v>035</v>
      </c>
    </row>
    <row r="37" spans="1:18" x14ac:dyDescent="0.25">
      <c r="A37" s="23" t="s">
        <v>4666</v>
      </c>
      <c r="B37" s="27" t="s">
        <v>4794</v>
      </c>
      <c r="C37" s="23" t="s">
        <v>4922</v>
      </c>
      <c r="D37" s="23" t="s">
        <v>5050</v>
      </c>
      <c r="E37" s="23" t="s">
        <v>5178</v>
      </c>
      <c r="F37" s="23" t="s">
        <v>5306</v>
      </c>
      <c r="G37" s="23" t="s">
        <v>5435</v>
      </c>
      <c r="H37" s="23" t="s">
        <v>5564</v>
      </c>
      <c r="I37" s="23" t="str">
        <f t="shared" si="0"/>
        <v>36 INIT PATCH</v>
      </c>
      <c r="J37" t="str">
        <f t="shared" si="2"/>
        <v>036 SC Brt Brass AC.BRASS</v>
      </c>
      <c r="K37" t="str">
        <f t="shared" si="3"/>
        <v>036 SC Phase EP EL.PIANO</v>
      </c>
      <c r="L37" t="str">
        <f t="shared" si="4"/>
        <v>036 SC Nylon Gt AC.GUITAR</v>
      </c>
      <c r="M37" t="str">
        <f t="shared" si="5"/>
        <v>036 SC Violin STRINGS</v>
      </c>
      <c r="N37" t="str">
        <f t="shared" si="6"/>
        <v>036 Tenor Sax SAX</v>
      </c>
      <c r="O37" t="str">
        <f t="shared" si="7"/>
        <v>036 Tranceformer TECHNO SYNTH</v>
      </c>
      <c r="P37" t="str">
        <f t="shared" si="8"/>
        <v>036 forSequence OTHER SYNTH</v>
      </c>
      <c r="Q37" t="str">
        <f t="shared" si="9"/>
        <v>036 Vox Pad SOFT PAD</v>
      </c>
      <c r="R37" t="str">
        <f t="shared" si="1"/>
        <v>036</v>
      </c>
    </row>
    <row r="38" spans="1:18" x14ac:dyDescent="0.25">
      <c r="A38" s="23" t="s">
        <v>4667</v>
      </c>
      <c r="B38" s="27" t="s">
        <v>4795</v>
      </c>
      <c r="C38" s="23" t="s">
        <v>4923</v>
      </c>
      <c r="D38" s="23" t="s">
        <v>5051</v>
      </c>
      <c r="E38" s="23" t="s">
        <v>5179</v>
      </c>
      <c r="F38" s="23" t="s">
        <v>5307</v>
      </c>
      <c r="G38" s="23" t="s">
        <v>5436</v>
      </c>
      <c r="H38" s="23" t="s">
        <v>5565</v>
      </c>
      <c r="I38" s="23" t="str">
        <f t="shared" si="0"/>
        <v>37 INIT PATCH</v>
      </c>
      <c r="J38" t="str">
        <f t="shared" si="2"/>
        <v>037 Horny Sax SAX</v>
      </c>
      <c r="K38" t="str">
        <f t="shared" si="3"/>
        <v>037 PhaseEPLayer EL.PIANO</v>
      </c>
      <c r="L38" t="str">
        <f t="shared" si="4"/>
        <v>037 Wet Nyln Gtr AC.GUITAR</v>
      </c>
      <c r="M38" t="str">
        <f t="shared" si="5"/>
        <v>037 Violin STRINGS</v>
      </c>
      <c r="N38" t="str">
        <f t="shared" si="6"/>
        <v>037 Fat TenorSax SAX</v>
      </c>
      <c r="O38" t="str">
        <f t="shared" si="7"/>
        <v>037 Anadroid TECHNO SYNTH</v>
      </c>
      <c r="P38" t="str">
        <f t="shared" si="8"/>
        <v>037 Memory Pluck OTHER SYNTH</v>
      </c>
      <c r="Q38" t="str">
        <f t="shared" si="9"/>
        <v>037 Digital Aahs SOFT PAD</v>
      </c>
      <c r="R38" t="str">
        <f t="shared" si="1"/>
        <v>037</v>
      </c>
    </row>
    <row r="39" spans="1:18" x14ac:dyDescent="0.25">
      <c r="A39" s="23" t="s">
        <v>4668</v>
      </c>
      <c r="B39" s="27" t="s">
        <v>4796</v>
      </c>
      <c r="C39" s="23" t="s">
        <v>4924</v>
      </c>
      <c r="D39" s="23" t="s">
        <v>5052</v>
      </c>
      <c r="E39" s="23" t="s">
        <v>5180</v>
      </c>
      <c r="F39" s="23" t="s">
        <v>5308</v>
      </c>
      <c r="G39" s="23" t="s">
        <v>5437</v>
      </c>
      <c r="H39" s="23" t="s">
        <v>5566</v>
      </c>
      <c r="I39" s="23" t="str">
        <f t="shared" si="0"/>
        <v>38 INIT PATCH</v>
      </c>
      <c r="J39" t="str">
        <f t="shared" si="2"/>
        <v>038 80s Brass 1 SYNTH BRASS</v>
      </c>
      <c r="K39" t="str">
        <f t="shared" si="3"/>
        <v>038 SC E.Piano EL.PIANO</v>
      </c>
      <c r="L39" t="str">
        <f t="shared" si="4"/>
        <v>038 Pre Mass Hum AC.GUITAR</v>
      </c>
      <c r="M39" t="str">
        <f t="shared" si="5"/>
        <v>038 Viola STRINGS</v>
      </c>
      <c r="N39" t="str">
        <f t="shared" si="6"/>
        <v>038 Baritone Sax SAX</v>
      </c>
      <c r="O39" t="str">
        <f t="shared" si="7"/>
        <v>038 Shroomy TECHNO SYNTH</v>
      </c>
      <c r="P39" t="str">
        <f t="shared" si="8"/>
        <v>038 Metalic Bass OTHER SYNTH</v>
      </c>
      <c r="Q39" t="str">
        <f t="shared" si="9"/>
        <v>038 Tri 5th Pad SOFT PAD</v>
      </c>
      <c r="R39" t="str">
        <f t="shared" si="1"/>
        <v>038</v>
      </c>
    </row>
    <row r="40" spans="1:18" x14ac:dyDescent="0.25">
      <c r="A40" s="23" t="s">
        <v>4669</v>
      </c>
      <c r="B40" s="27" t="s">
        <v>4797</v>
      </c>
      <c r="C40" s="23" t="s">
        <v>4925</v>
      </c>
      <c r="D40" s="23" t="s">
        <v>5053</v>
      </c>
      <c r="E40" s="23" t="s">
        <v>5181</v>
      </c>
      <c r="F40" s="23" t="s">
        <v>5309</v>
      </c>
      <c r="G40" s="23" t="s">
        <v>5438</v>
      </c>
      <c r="H40" s="23" t="s">
        <v>5567</v>
      </c>
      <c r="I40" s="23" t="str">
        <f t="shared" si="0"/>
        <v>39 INIT PATCH</v>
      </c>
      <c r="J40" t="str">
        <f t="shared" si="2"/>
        <v>039 Juno-106 Brs SYNTH BRASS</v>
      </c>
      <c r="K40" t="str">
        <f t="shared" si="3"/>
        <v>039 StageEP Trem EL.PIANO</v>
      </c>
      <c r="L40" t="str">
        <f t="shared" si="4"/>
        <v>039 Thick Steel AC.GUITAR</v>
      </c>
      <c r="M40" t="str">
        <f t="shared" si="5"/>
        <v>039 SC Cello STRINGS</v>
      </c>
      <c r="N40" t="str">
        <f t="shared" si="6"/>
        <v>039 Sax Sect. 1 SAX</v>
      </c>
      <c r="O40" t="str">
        <f t="shared" si="7"/>
        <v>039 Noize R us TECHNO SYNTH</v>
      </c>
      <c r="P40" t="str">
        <f t="shared" si="8"/>
        <v>039 Aqua OTHER SYNTH</v>
      </c>
      <c r="Q40" t="str">
        <f t="shared" si="9"/>
        <v>039 SC MovinPad SOFT PAD</v>
      </c>
      <c r="R40" t="str">
        <f t="shared" si="1"/>
        <v>039</v>
      </c>
    </row>
    <row r="41" spans="1:18" x14ac:dyDescent="0.25">
      <c r="A41" s="23" t="s">
        <v>4670</v>
      </c>
      <c r="B41" s="27" t="s">
        <v>4798</v>
      </c>
      <c r="C41" s="23" t="s">
        <v>4926</v>
      </c>
      <c r="D41" s="23" t="s">
        <v>5054</v>
      </c>
      <c r="E41" s="23" t="s">
        <v>5182</v>
      </c>
      <c r="F41" s="23" t="s">
        <v>5310</v>
      </c>
      <c r="G41" s="23" t="s">
        <v>5439</v>
      </c>
      <c r="H41" s="23" t="s">
        <v>5568</v>
      </c>
      <c r="I41" s="23" t="str">
        <f t="shared" si="0"/>
        <v>40 INIT PATCH</v>
      </c>
      <c r="J41" t="str">
        <f t="shared" si="2"/>
        <v>040 Poly Brass SYNTH BRASS</v>
      </c>
      <c r="K41" t="str">
        <f t="shared" si="3"/>
        <v>040 Back2the60s EL.PIANO</v>
      </c>
      <c r="L41" t="str">
        <f t="shared" si="4"/>
        <v>040 Uncle Martin AC.GUITAR</v>
      </c>
      <c r="M41" t="str">
        <f t="shared" si="5"/>
        <v>040 Cello STRINGS</v>
      </c>
      <c r="N41" t="str">
        <f t="shared" si="6"/>
        <v>040 Sax Sect. 2 SAX</v>
      </c>
      <c r="O41" t="str">
        <f t="shared" si="7"/>
        <v>040 Beep Melodie TECHNO SYNTH</v>
      </c>
      <c r="P41" t="str">
        <f t="shared" si="8"/>
        <v>040 Big Planet OTHER SYNTH</v>
      </c>
      <c r="Q41" t="str">
        <f t="shared" si="9"/>
        <v>040 Seq-Pad 1 SOFT PAD</v>
      </c>
      <c r="R41" t="str">
        <f t="shared" si="1"/>
        <v>040</v>
      </c>
    </row>
    <row r="42" spans="1:18" x14ac:dyDescent="0.25">
      <c r="A42" s="23" t="s">
        <v>4671</v>
      </c>
      <c r="B42" s="27" t="s">
        <v>4799</v>
      </c>
      <c r="C42" s="23" t="s">
        <v>4927</v>
      </c>
      <c r="D42" s="23" t="s">
        <v>5055</v>
      </c>
      <c r="E42" s="23" t="s">
        <v>5183</v>
      </c>
      <c r="F42" s="23" t="s">
        <v>5311</v>
      </c>
      <c r="G42" s="23" t="s">
        <v>5440</v>
      </c>
      <c r="H42" s="23" t="s">
        <v>5569</v>
      </c>
      <c r="I42" s="23" t="str">
        <f t="shared" si="0"/>
        <v>41 INIT PATCH</v>
      </c>
      <c r="J42" t="str">
        <f t="shared" si="2"/>
        <v>041 JP8000 Brass SYNTH BRASS</v>
      </c>
      <c r="K42" t="str">
        <f t="shared" si="3"/>
        <v>041 Stage EP EL.PIANO</v>
      </c>
      <c r="L42" t="str">
        <f t="shared" si="4"/>
        <v>041 Wide Ac Gtr AC.GUITAR</v>
      </c>
      <c r="M42" t="str">
        <f t="shared" si="5"/>
        <v>041 Contrabass STRINGS</v>
      </c>
      <c r="N42" t="str">
        <f t="shared" si="6"/>
        <v>041 Horny Sax SAX</v>
      </c>
      <c r="O42" t="str">
        <f t="shared" si="7"/>
        <v>041 Morpher TECHNO SYNTH</v>
      </c>
      <c r="P42" t="str">
        <f t="shared" si="8"/>
        <v>041 Wet Atax OTHER SYNTH</v>
      </c>
      <c r="Q42" t="str">
        <f t="shared" si="9"/>
        <v>041 Follow SOFT PAD</v>
      </c>
      <c r="R42" t="str">
        <f t="shared" si="1"/>
        <v>041</v>
      </c>
    </row>
    <row r="43" spans="1:18" x14ac:dyDescent="0.25">
      <c r="A43" s="23" t="s">
        <v>4672</v>
      </c>
      <c r="B43" s="27" t="s">
        <v>4800</v>
      </c>
      <c r="C43" s="23" t="s">
        <v>4928</v>
      </c>
      <c r="D43" s="23" t="s">
        <v>5056</v>
      </c>
      <c r="E43" s="23" t="s">
        <v>5184</v>
      </c>
      <c r="F43" s="23" t="s">
        <v>5312</v>
      </c>
      <c r="G43" s="23" t="s">
        <v>5441</v>
      </c>
      <c r="H43" s="23" t="s">
        <v>5570</v>
      </c>
      <c r="I43" s="23" t="str">
        <f t="shared" si="0"/>
        <v>42 INIT PATCH</v>
      </c>
      <c r="J43" t="str">
        <f t="shared" si="2"/>
        <v>042 Sonic Brass SYNTH BRASS</v>
      </c>
      <c r="K43" t="str">
        <f t="shared" si="3"/>
        <v>042 Stage Phazer EL.PIANO</v>
      </c>
      <c r="L43" t="str">
        <f t="shared" si="4"/>
        <v>042 Comp Stl Gtr AC.GUITAR</v>
      </c>
      <c r="M43" t="str">
        <f t="shared" si="5"/>
        <v>042 Dolce Qrt STRINGS</v>
      </c>
      <c r="N43" t="str">
        <f t="shared" si="6"/>
        <v>042 FXM Alto Sax SAX</v>
      </c>
      <c r="O43" t="str">
        <f t="shared" si="7"/>
        <v>042 Uni-G TECHNO SYNTH</v>
      </c>
      <c r="P43" t="str">
        <f t="shared" si="8"/>
        <v>042 Houze Clavi OTHER SYNTH</v>
      </c>
      <c r="Q43" t="str">
        <f t="shared" si="9"/>
        <v>042 Consolament SOFT PAD</v>
      </c>
      <c r="R43" t="str">
        <f t="shared" si="1"/>
        <v>042</v>
      </c>
    </row>
    <row r="44" spans="1:18" x14ac:dyDescent="0.25">
      <c r="A44" s="23" t="s">
        <v>4673</v>
      </c>
      <c r="B44" s="27" t="s">
        <v>4801</v>
      </c>
      <c r="C44" s="23" t="s">
        <v>4929</v>
      </c>
      <c r="D44" s="23" t="s">
        <v>5057</v>
      </c>
      <c r="E44" s="23" t="s">
        <v>5185</v>
      </c>
      <c r="F44" s="23" t="s">
        <v>5313</v>
      </c>
      <c r="G44" s="23" t="s">
        <v>5442</v>
      </c>
      <c r="H44" s="23" t="s">
        <v>5571</v>
      </c>
      <c r="I44" s="23" t="str">
        <f t="shared" si="0"/>
        <v>43 INIT PATCH</v>
      </c>
      <c r="J44" t="str">
        <f t="shared" si="2"/>
        <v>043 SuperSawSlow OTHER SYNTH</v>
      </c>
      <c r="K44" t="str">
        <f t="shared" si="3"/>
        <v>043 StageCabinet EL.PIANO</v>
      </c>
      <c r="L44" t="str">
        <f t="shared" si="4"/>
        <v>043 Stl Gtr Duo AC.GUITAR</v>
      </c>
      <c r="M44" t="str">
        <f t="shared" si="5"/>
        <v>043 Chamber Str STRINGS</v>
      </c>
      <c r="N44" t="str">
        <f t="shared" si="6"/>
        <v>043 Porta SoloLd HARD LEAD</v>
      </c>
      <c r="O44" t="str">
        <f t="shared" si="7"/>
        <v>043 Power Synth TECHNO SYNTH</v>
      </c>
      <c r="P44" t="str">
        <f t="shared" si="8"/>
        <v>043 SuperSawSlow OTHER SYNTH</v>
      </c>
      <c r="Q44" t="str">
        <f t="shared" si="9"/>
        <v>043 Spacious Pad SOFT PAD</v>
      </c>
      <c r="R44" t="str">
        <f t="shared" si="1"/>
        <v>043</v>
      </c>
    </row>
    <row r="45" spans="1:18" x14ac:dyDescent="0.25">
      <c r="A45" s="23" t="s">
        <v>4674</v>
      </c>
      <c r="B45" s="27" t="s">
        <v>4802</v>
      </c>
      <c r="C45" s="23" t="s">
        <v>4930</v>
      </c>
      <c r="D45" s="23" t="s">
        <v>5058</v>
      </c>
      <c r="E45" s="23" t="s">
        <v>5186</v>
      </c>
      <c r="F45" s="23" t="s">
        <v>5314</v>
      </c>
      <c r="G45" s="23" t="s">
        <v>5443</v>
      </c>
      <c r="H45" s="23" t="s">
        <v>5572</v>
      </c>
      <c r="I45" s="23" t="str">
        <f t="shared" si="0"/>
        <v>44 INIT PATCH</v>
      </c>
      <c r="J45" t="str">
        <f t="shared" si="2"/>
        <v>044 Cell Trance OTHER SYNTH</v>
      </c>
      <c r="K45" t="str">
        <f t="shared" si="3"/>
        <v>044 Tine EP EL.PIANO</v>
      </c>
      <c r="L45" t="str">
        <f t="shared" si="4"/>
        <v>044 SC 12str Gtr AC.GUITAR</v>
      </c>
      <c r="M45" t="str">
        <f t="shared" si="5"/>
        <v>044 Small Str STRINGS</v>
      </c>
      <c r="N45" t="str">
        <f t="shared" si="6"/>
        <v>044 Porta Lead HARD LEAD</v>
      </c>
      <c r="O45" t="str">
        <f t="shared" si="7"/>
        <v>044 Hoover Again TECHNO SYNTH</v>
      </c>
      <c r="P45" t="str">
        <f t="shared" si="8"/>
        <v>044 Cell Trance OTHER SYNTH</v>
      </c>
      <c r="Q45" t="str">
        <f t="shared" si="9"/>
        <v>044 JD Pop Pad SOFT PAD</v>
      </c>
      <c r="R45" t="str">
        <f t="shared" si="1"/>
        <v>044</v>
      </c>
    </row>
    <row r="46" spans="1:18" x14ac:dyDescent="0.25">
      <c r="A46" s="23" t="s">
        <v>4675</v>
      </c>
      <c r="B46" s="27" t="s">
        <v>4803</v>
      </c>
      <c r="C46" s="23" t="s">
        <v>4931</v>
      </c>
      <c r="D46" s="23" t="s">
        <v>5059</v>
      </c>
      <c r="E46" s="23" t="s">
        <v>5187</v>
      </c>
      <c r="F46" s="23" t="s">
        <v>5315</v>
      </c>
      <c r="G46" s="23" t="s">
        <v>5444</v>
      </c>
      <c r="H46" s="23" t="s">
        <v>5573</v>
      </c>
      <c r="I46" s="23" t="str">
        <f t="shared" si="0"/>
        <v>45 INIT PATCH</v>
      </c>
      <c r="J46" t="str">
        <f t="shared" si="2"/>
        <v>045 Trancy Synth OTHER SYNTH</v>
      </c>
      <c r="K46" t="str">
        <f t="shared" si="3"/>
        <v>045 LEO EP EL.PIANO</v>
      </c>
      <c r="L46" t="str">
        <f t="shared" si="4"/>
        <v>045 So good ! AC.GUITAR</v>
      </c>
      <c r="M46" t="str">
        <f t="shared" si="5"/>
        <v>045 Marcato STRINGS</v>
      </c>
      <c r="N46" t="str">
        <f t="shared" si="6"/>
        <v>045 Wind Syn Ld HARD LEAD</v>
      </c>
      <c r="O46" t="str">
        <f t="shared" si="7"/>
        <v>045 Alpha Said.. TECHNO SYNTH</v>
      </c>
      <c r="P46" t="str">
        <f t="shared" si="8"/>
        <v>045 Trancy X OTHER SYNTH</v>
      </c>
      <c r="Q46" t="str">
        <f t="shared" si="9"/>
        <v>045 JP-8 Phase SOFT PAD</v>
      </c>
      <c r="R46" t="str">
        <f t="shared" si="1"/>
        <v>045</v>
      </c>
    </row>
    <row r="47" spans="1:18" x14ac:dyDescent="0.25">
      <c r="A47" s="23" t="s">
        <v>4676</v>
      </c>
      <c r="B47" s="27" t="s">
        <v>4804</v>
      </c>
      <c r="C47" s="23" t="s">
        <v>4932</v>
      </c>
      <c r="D47" s="23" t="s">
        <v>5060</v>
      </c>
      <c r="E47" s="23" t="s">
        <v>5188</v>
      </c>
      <c r="F47" s="23" t="s">
        <v>5316</v>
      </c>
      <c r="G47" s="23" t="s">
        <v>5445</v>
      </c>
      <c r="H47" s="23" t="s">
        <v>5574</v>
      </c>
      <c r="I47" s="23" t="str">
        <f t="shared" si="0"/>
        <v>46 INIT PATCH</v>
      </c>
      <c r="J47" t="str">
        <f t="shared" si="2"/>
        <v>046 Stacc Heaven OTHER SYNTH</v>
      </c>
      <c r="K47" t="str">
        <f t="shared" si="3"/>
        <v>046 LonesomeRoad EL.PIANO</v>
      </c>
      <c r="L47" t="str">
        <f t="shared" si="4"/>
        <v>046 StratSeq´nce EL.GUITAR</v>
      </c>
      <c r="M47" t="str">
        <f t="shared" si="5"/>
        <v>046 Bright Str STRINGS</v>
      </c>
      <c r="N47" t="str">
        <f t="shared" si="6"/>
        <v>046 SC Saw Ld 1 HARD LEAD</v>
      </c>
      <c r="O47" t="str">
        <f t="shared" si="7"/>
        <v>046 Ravers Awake TECHNO SYNTH</v>
      </c>
      <c r="P47" t="str">
        <f t="shared" si="8"/>
        <v>046 Trancy Synth OTHER SYNTH</v>
      </c>
      <c r="Q47" t="str">
        <f t="shared" si="9"/>
        <v>046 Nu Epic Pad SOFT PAD</v>
      </c>
      <c r="R47" t="str">
        <f t="shared" si="1"/>
        <v>046</v>
      </c>
    </row>
    <row r="48" spans="1:18" x14ac:dyDescent="0.25">
      <c r="A48" s="23" t="s">
        <v>4677</v>
      </c>
      <c r="B48" s="27" t="s">
        <v>4805</v>
      </c>
      <c r="C48" s="23" t="s">
        <v>4933</v>
      </c>
      <c r="D48" s="23" t="s">
        <v>5061</v>
      </c>
      <c r="E48" s="23" t="s">
        <v>5189</v>
      </c>
      <c r="F48" s="23" t="s">
        <v>5317</v>
      </c>
      <c r="G48" s="23" t="s">
        <v>5446</v>
      </c>
      <c r="H48" s="23" t="s">
        <v>5575</v>
      </c>
      <c r="I48" s="23" t="str">
        <f t="shared" si="0"/>
        <v>47 INIT PATCH</v>
      </c>
      <c r="J48" t="str">
        <f t="shared" si="2"/>
        <v>047 Sugar Synth OTHER SYNTH</v>
      </c>
      <c r="K48" t="str">
        <f t="shared" si="3"/>
        <v>047 Age´n´Tines EL.PIANO</v>
      </c>
      <c r="L48" t="str">
        <f t="shared" si="4"/>
        <v>047 Jazz Guitar EL.GUITAR</v>
      </c>
      <c r="M48" t="str">
        <f t="shared" si="5"/>
        <v>047 String Ens STRINGS</v>
      </c>
      <c r="N48" t="str">
        <f t="shared" si="6"/>
        <v>047 SC Saw Ld 2 HARD LEAD</v>
      </c>
      <c r="O48" t="str">
        <f t="shared" si="7"/>
        <v>047 Tekno Gargle TECHNO SYNTH</v>
      </c>
      <c r="P48" t="str">
        <f t="shared" si="8"/>
        <v>047 Juno Trnce OTHER SYNTH</v>
      </c>
      <c r="Q48" t="str">
        <f t="shared" si="9"/>
        <v>047 Forever SOFT PAD</v>
      </c>
      <c r="R48" t="str">
        <f t="shared" si="1"/>
        <v>047</v>
      </c>
    </row>
    <row r="49" spans="1:18" x14ac:dyDescent="0.25">
      <c r="A49" s="23" t="s">
        <v>4678</v>
      </c>
      <c r="B49" s="27" t="s">
        <v>4806</v>
      </c>
      <c r="C49" s="23" t="s">
        <v>4934</v>
      </c>
      <c r="D49" s="23" t="s">
        <v>5062</v>
      </c>
      <c r="E49" s="23" t="s">
        <v>5190</v>
      </c>
      <c r="F49" s="23" t="s">
        <v>5318</v>
      </c>
      <c r="G49" s="23" t="s">
        <v>5447</v>
      </c>
      <c r="H49" s="23" t="s">
        <v>5576</v>
      </c>
      <c r="I49" s="23" t="str">
        <f t="shared" si="0"/>
        <v>48 INIT PATCH</v>
      </c>
      <c r="J49" t="str">
        <f t="shared" si="2"/>
        <v>048 Himalaya Ice BELL</v>
      </c>
      <c r="K49" t="str">
        <f t="shared" si="3"/>
        <v>048 Brill TremEP EL.PIANO</v>
      </c>
      <c r="L49" t="str">
        <f t="shared" si="4"/>
        <v>048 DynoJazz Gtr EL.GUITAR</v>
      </c>
      <c r="M49" t="str">
        <f t="shared" si="5"/>
        <v>048 SonicStrings STRINGS</v>
      </c>
      <c r="N49" t="str">
        <f t="shared" si="6"/>
        <v>048 Juno Lead HARD LEAD</v>
      </c>
      <c r="O49" t="str">
        <f t="shared" si="7"/>
        <v>048 Tranceiver TECHNO SYNTH</v>
      </c>
      <c r="P49" t="str">
        <f t="shared" si="8"/>
        <v>048 Saw Stack OTHER SYNTH</v>
      </c>
      <c r="Q49" t="str">
        <f t="shared" si="9"/>
        <v>048 Flange Dream SOFT PAD</v>
      </c>
      <c r="R49" t="str">
        <f t="shared" si="1"/>
        <v>048</v>
      </c>
    </row>
    <row r="50" spans="1:18" x14ac:dyDescent="0.25">
      <c r="A50" s="23" t="s">
        <v>4679</v>
      </c>
      <c r="B50" s="27" t="s">
        <v>4807</v>
      </c>
      <c r="C50" s="23" t="s">
        <v>4935</v>
      </c>
      <c r="D50" s="23" t="s">
        <v>5063</v>
      </c>
      <c r="E50" s="23" t="s">
        <v>5191</v>
      </c>
      <c r="F50" s="23" t="s">
        <v>5319</v>
      </c>
      <c r="G50" s="23" t="s">
        <v>5448</v>
      </c>
      <c r="H50" s="23" t="s">
        <v>5577</v>
      </c>
      <c r="I50" s="23" t="str">
        <f t="shared" si="0"/>
        <v>49 INIT PATCH</v>
      </c>
      <c r="J50" t="str">
        <f t="shared" si="2"/>
        <v>049 Wine Glass BELL</v>
      </c>
      <c r="K50" t="str">
        <f t="shared" si="3"/>
        <v>049 Crystal EP EL.PIANO</v>
      </c>
      <c r="L50" t="str">
        <f t="shared" si="4"/>
        <v>049 Clean Gtr EL.GUITAR</v>
      </c>
      <c r="M50" t="str">
        <f t="shared" si="5"/>
        <v>049 Stringz 101 STRINGS</v>
      </c>
      <c r="N50" t="str">
        <f t="shared" si="6"/>
        <v>049 Follow Me HARD LEAD</v>
      </c>
      <c r="O50" t="str">
        <f t="shared" si="7"/>
        <v>049 Techno Dream TECHNO SYNTH</v>
      </c>
      <c r="P50" t="str">
        <f t="shared" si="8"/>
        <v>049 Frgile Saws OTHER SYNTH</v>
      </c>
      <c r="Q50" t="str">
        <f t="shared" si="9"/>
        <v>049 Evolution X SOFT PAD</v>
      </c>
      <c r="R50" t="str">
        <f t="shared" si="1"/>
        <v>049</v>
      </c>
    </row>
    <row r="51" spans="1:18" x14ac:dyDescent="0.25">
      <c r="A51" s="23" t="s">
        <v>4680</v>
      </c>
      <c r="B51" s="27" t="s">
        <v>4808</v>
      </c>
      <c r="C51" s="23" t="s">
        <v>4936</v>
      </c>
      <c r="D51" s="23" t="s">
        <v>5064</v>
      </c>
      <c r="E51" s="23" t="s">
        <v>5192</v>
      </c>
      <c r="F51" s="23" t="s">
        <v>5320</v>
      </c>
      <c r="G51" s="23" t="s">
        <v>5449</v>
      </c>
      <c r="H51" s="23" t="s">
        <v>5578</v>
      </c>
      <c r="I51" s="23" t="str">
        <f t="shared" si="0"/>
        <v>50 INIT PATCH</v>
      </c>
      <c r="J51" t="str">
        <f t="shared" si="2"/>
        <v>050 Synergy MLT MALLET</v>
      </c>
      <c r="K51" t="str">
        <f t="shared" si="3"/>
        <v>050 Vintage Tine EL.PIANO</v>
      </c>
      <c r="L51" t="str">
        <f t="shared" si="4"/>
        <v>050 Crimson Gtr EL.GUITAR</v>
      </c>
      <c r="M51" t="str">
        <f t="shared" si="5"/>
        <v>050 Crossed Bows STRINGS</v>
      </c>
      <c r="N51" t="str">
        <f t="shared" si="6"/>
        <v>050 DC Triangle HARD LEAD</v>
      </c>
      <c r="O51" t="str">
        <f t="shared" si="7"/>
        <v>050 Techno Pizz TECHNO SYNTH</v>
      </c>
      <c r="P51" t="str">
        <f t="shared" si="8"/>
        <v>050 Steamed Sawz OTHER SYNTH</v>
      </c>
      <c r="Q51" t="str">
        <f t="shared" si="9"/>
        <v>050 Heaven Pad SOFT PAD</v>
      </c>
      <c r="R51" t="str">
        <f t="shared" si="1"/>
        <v>050</v>
      </c>
    </row>
    <row r="52" spans="1:18" x14ac:dyDescent="0.25">
      <c r="A52" s="23" t="s">
        <v>4681</v>
      </c>
      <c r="B52" s="27" t="s">
        <v>4809</v>
      </c>
      <c r="C52" s="23" t="s">
        <v>4937</v>
      </c>
      <c r="D52" s="23" t="s">
        <v>5065</v>
      </c>
      <c r="E52" s="23" t="s">
        <v>5193</v>
      </c>
      <c r="F52" s="23" t="s">
        <v>5321</v>
      </c>
      <c r="G52" s="23" t="s">
        <v>5450</v>
      </c>
      <c r="H52" s="23" t="s">
        <v>5579</v>
      </c>
      <c r="I52" s="23" t="str">
        <f t="shared" si="0"/>
        <v>51 INIT PATCH</v>
      </c>
      <c r="J52" t="str">
        <f t="shared" si="2"/>
        <v>051 AirPluck MALLET</v>
      </c>
      <c r="K52" t="str">
        <f t="shared" si="3"/>
        <v>051 Celestial EP EL.PIANO</v>
      </c>
      <c r="L52" t="str">
        <f t="shared" si="4"/>
        <v>051 Plug n´ Gig EL.GUITAR</v>
      </c>
      <c r="M52" t="str">
        <f t="shared" si="5"/>
        <v>051 Warm Strings STRINGS</v>
      </c>
      <c r="N52" t="str">
        <f t="shared" si="6"/>
        <v>051 Sqr-Seqence HARD LEAD</v>
      </c>
      <c r="O52" t="str">
        <f t="shared" si="7"/>
        <v>051 VirtualHuman PULSATING</v>
      </c>
      <c r="P52" t="str">
        <f t="shared" si="8"/>
        <v>051 RAVtune OTHER SYNTH</v>
      </c>
      <c r="Q52" t="str">
        <f t="shared" si="9"/>
        <v>051 Angelis Pad SOFT PAD</v>
      </c>
      <c r="R52" t="str">
        <f t="shared" si="1"/>
        <v>051</v>
      </c>
    </row>
    <row r="53" spans="1:18" x14ac:dyDescent="0.25">
      <c r="A53" s="23" t="s">
        <v>4682</v>
      </c>
      <c r="B53" s="27" t="s">
        <v>4810</v>
      </c>
      <c r="C53" s="23" t="s">
        <v>4938</v>
      </c>
      <c r="D53" s="23" t="s">
        <v>5066</v>
      </c>
      <c r="E53" s="23" t="s">
        <v>5194</v>
      </c>
      <c r="F53" s="23" t="s">
        <v>5322</v>
      </c>
      <c r="G53" s="23" t="s">
        <v>5451</v>
      </c>
      <c r="H53" s="23" t="s">
        <v>5580</v>
      </c>
      <c r="I53" s="23" t="str">
        <f t="shared" si="0"/>
        <v>52 INIT PATCH</v>
      </c>
      <c r="J53" t="str">
        <f t="shared" si="2"/>
        <v>052 SC Marimba MALLET</v>
      </c>
      <c r="K53" t="str">
        <f t="shared" si="3"/>
        <v>052 Psycho EP EL.PIANO</v>
      </c>
      <c r="L53" t="str">
        <f t="shared" si="4"/>
        <v>052 Kinda Kurt EL.GUITAR</v>
      </c>
      <c r="M53" t="str">
        <f t="shared" si="5"/>
        <v>052 Stacc mp Str STRINGS</v>
      </c>
      <c r="N53" t="str">
        <f t="shared" si="6"/>
        <v>052 Pure Square HARD LEAD</v>
      </c>
      <c r="O53" t="str">
        <f t="shared" si="7"/>
        <v>052 Strobot PULSATING</v>
      </c>
      <c r="P53" t="str">
        <f t="shared" si="8"/>
        <v>052 Bustranza OTHER SYNTH</v>
      </c>
      <c r="Q53" t="str">
        <f t="shared" si="9"/>
        <v>052 Juno-106 Str SOFT PAD</v>
      </c>
      <c r="R53" t="str">
        <f t="shared" si="1"/>
        <v>052</v>
      </c>
    </row>
    <row r="54" spans="1:18" x14ac:dyDescent="0.25">
      <c r="A54" s="23" t="s">
        <v>4683</v>
      </c>
      <c r="B54" s="27" t="s">
        <v>4811</v>
      </c>
      <c r="C54" s="23" t="s">
        <v>4939</v>
      </c>
      <c r="D54" s="23" t="s">
        <v>5067</v>
      </c>
      <c r="E54" s="23" t="s">
        <v>5195</v>
      </c>
      <c r="F54" s="23" t="s">
        <v>5323</v>
      </c>
      <c r="G54" s="23" t="s">
        <v>5452</v>
      </c>
      <c r="H54" s="23" t="s">
        <v>5581</v>
      </c>
      <c r="I54" s="23" t="str">
        <f t="shared" si="0"/>
        <v>53 INIT PATCH</v>
      </c>
      <c r="J54" t="str">
        <f t="shared" si="2"/>
        <v>053 Cmp´d Fng Bs BASS</v>
      </c>
      <c r="K54" t="str">
        <f t="shared" si="3"/>
        <v>053 Mk2 Stg phsr EL.PIANO</v>
      </c>
      <c r="L54" t="str">
        <f t="shared" si="4"/>
        <v>053 Nice Oct Gtr EL.GUITAR</v>
      </c>
      <c r="M54" t="str">
        <f t="shared" si="5"/>
        <v>053 Movie Scene STRINGS</v>
      </c>
      <c r="N54" t="str">
        <f t="shared" si="6"/>
        <v>053 Griggley HARD LEAD</v>
      </c>
      <c r="O54" t="str">
        <f t="shared" si="7"/>
        <v>053 SC Strobe PULSATING</v>
      </c>
      <c r="P54" t="str">
        <f t="shared" si="8"/>
        <v>053 AftTch Ji-n OTHER SYNTH</v>
      </c>
      <c r="Q54" t="str">
        <f t="shared" si="9"/>
        <v>053 JupiterMoves SOFT PAD</v>
      </c>
      <c r="R54" t="str">
        <f t="shared" si="1"/>
        <v>053</v>
      </c>
    </row>
    <row r="55" spans="1:18" x14ac:dyDescent="0.25">
      <c r="A55" s="23" t="s">
        <v>4684</v>
      </c>
      <c r="B55" s="27" t="s">
        <v>4812</v>
      </c>
      <c r="C55" s="23" t="s">
        <v>4940</v>
      </c>
      <c r="D55" s="23" t="s">
        <v>5068</v>
      </c>
      <c r="E55" s="23" t="s">
        <v>5196</v>
      </c>
      <c r="F55" s="23" t="s">
        <v>5324</v>
      </c>
      <c r="G55" s="23" t="s">
        <v>5453</v>
      </c>
      <c r="H55" s="23" t="s">
        <v>5582</v>
      </c>
      <c r="I55" s="23" t="str">
        <f t="shared" si="0"/>
        <v>54 INIT PATCH</v>
      </c>
      <c r="J55" t="str">
        <f t="shared" si="2"/>
        <v>054 FingerMaster BASS</v>
      </c>
      <c r="K55" t="str">
        <f t="shared" si="3"/>
        <v>054 Dreaming EP EL.PIANO</v>
      </c>
      <c r="L55" t="str">
        <f t="shared" si="4"/>
        <v>054 Strat Gtr EL.GUITAR</v>
      </c>
      <c r="M55" t="str">
        <f t="shared" si="5"/>
        <v>054 Hybrid Str 1 STRINGS</v>
      </c>
      <c r="N55" t="str">
        <f t="shared" si="6"/>
        <v>054 SC LegatoSaw HARD LEAD</v>
      </c>
      <c r="O55" t="str">
        <f t="shared" si="7"/>
        <v>054 Strobe X PULSATING</v>
      </c>
      <c r="P55" t="str">
        <f t="shared" si="8"/>
        <v>054 JP OctAttack OTHER SYNTH</v>
      </c>
      <c r="Q55" t="str">
        <f t="shared" si="9"/>
        <v>054 Oceanic Pad SOFT PAD</v>
      </c>
      <c r="R55" t="str">
        <f t="shared" si="1"/>
        <v>054</v>
      </c>
    </row>
    <row r="56" spans="1:18" x14ac:dyDescent="0.25">
      <c r="A56" s="23" t="s">
        <v>4685</v>
      </c>
      <c r="B56" s="27" t="s">
        <v>4813</v>
      </c>
      <c r="C56" s="23" t="s">
        <v>4941</v>
      </c>
      <c r="D56" s="23" t="s">
        <v>5069</v>
      </c>
      <c r="E56" s="23" t="s">
        <v>5197</v>
      </c>
      <c r="F56" s="23" t="s">
        <v>5325</v>
      </c>
      <c r="G56" s="23" t="s">
        <v>5454</v>
      </c>
      <c r="H56" s="23" t="s">
        <v>5583</v>
      </c>
      <c r="I56" s="23" t="str">
        <f t="shared" si="0"/>
        <v>55 INIT PATCH</v>
      </c>
      <c r="J56" t="str">
        <f t="shared" si="2"/>
        <v>055 Return2Base! BASS</v>
      </c>
      <c r="K56" t="str">
        <f t="shared" si="3"/>
        <v>055 Balladeer EL.PIANO</v>
      </c>
      <c r="L56" t="str">
        <f t="shared" si="4"/>
        <v>055 Touch Drive DIST.GUITAR</v>
      </c>
      <c r="M56" t="str">
        <f t="shared" si="5"/>
        <v>055 Gang Strangs STRINGS</v>
      </c>
      <c r="N56" t="str">
        <f t="shared" si="6"/>
        <v>055 Lone Prophat HARD LEAD</v>
      </c>
      <c r="O56" t="str">
        <f t="shared" si="7"/>
        <v>055 Rhythmic 5th PULSATING</v>
      </c>
      <c r="P56" t="str">
        <f t="shared" si="8"/>
        <v>055 Oct Unison OTHER SYNTH</v>
      </c>
      <c r="Q56" t="str">
        <f t="shared" si="9"/>
        <v>055 Fairy´s Song SOFT PAD</v>
      </c>
      <c r="R56" t="str">
        <f t="shared" si="1"/>
        <v>055</v>
      </c>
    </row>
    <row r="57" spans="1:18" x14ac:dyDescent="0.25">
      <c r="A57" s="23" t="s">
        <v>4686</v>
      </c>
      <c r="B57" s="27" t="s">
        <v>4814</v>
      </c>
      <c r="C57" s="23" t="s">
        <v>4942</v>
      </c>
      <c r="D57" s="23" t="s">
        <v>5070</v>
      </c>
      <c r="E57" s="23" t="s">
        <v>5198</v>
      </c>
      <c r="F57" s="23" t="s">
        <v>5326</v>
      </c>
      <c r="G57" s="23" t="s">
        <v>5455</v>
      </c>
      <c r="H57" s="23" t="s">
        <v>5584</v>
      </c>
      <c r="I57" s="23" t="str">
        <f t="shared" si="0"/>
        <v>56 INIT PATCH</v>
      </c>
      <c r="J57" t="str">
        <f t="shared" si="2"/>
        <v>056 Chicken Bass BASS</v>
      </c>
      <c r="K57" t="str">
        <f t="shared" si="3"/>
        <v>056 Remember EL.PIANO</v>
      </c>
      <c r="L57" t="str">
        <f t="shared" si="4"/>
        <v>056 SC Chunk DIST.GUITAR</v>
      </c>
      <c r="M57" t="str">
        <f t="shared" si="5"/>
        <v>056 Clustered!?! STRINGS</v>
      </c>
      <c r="N57" t="str">
        <f t="shared" si="6"/>
        <v>056 Dual Profs HARD LEAD</v>
      </c>
      <c r="O57" t="str">
        <f t="shared" si="7"/>
        <v>056 Cell Pad PULSATING</v>
      </c>
      <c r="P57" t="str">
        <f t="shared" si="8"/>
        <v>056 Xtatic OTHER SYNTH</v>
      </c>
      <c r="Q57" t="str">
        <f t="shared" si="9"/>
        <v>056 Borealis SOFT PAD</v>
      </c>
      <c r="R57" t="str">
        <f t="shared" si="1"/>
        <v>056</v>
      </c>
    </row>
    <row r="58" spans="1:18" x14ac:dyDescent="0.25">
      <c r="A58" s="23" t="s">
        <v>4687</v>
      </c>
      <c r="B58" s="27" t="s">
        <v>4815</v>
      </c>
      <c r="C58" s="23" t="s">
        <v>4943</v>
      </c>
      <c r="D58" s="23" t="s">
        <v>5071</v>
      </c>
      <c r="E58" s="23" t="s">
        <v>5199</v>
      </c>
      <c r="F58" s="23" t="s">
        <v>5327</v>
      </c>
      <c r="G58" s="23" t="s">
        <v>5456</v>
      </c>
      <c r="H58" s="23" t="s">
        <v>5585</v>
      </c>
      <c r="I58" s="23" t="str">
        <f t="shared" si="0"/>
        <v>57 INIT PATCH</v>
      </c>
      <c r="J58" t="str">
        <f t="shared" si="2"/>
        <v>057 SC Fretnot 1 BASS</v>
      </c>
      <c r="K58" t="str">
        <f t="shared" si="3"/>
        <v>057 Vibe EP EL.PIANO</v>
      </c>
      <c r="L58" t="str">
        <f t="shared" si="4"/>
        <v>057 Trem-o-Vibe DIST.GUITAR</v>
      </c>
      <c r="M58" t="str">
        <f t="shared" si="5"/>
        <v>057 Full Strings STRINGS</v>
      </c>
      <c r="N58" t="str">
        <f t="shared" si="6"/>
        <v>057 Gwyo Press HARD LEAD</v>
      </c>
      <c r="O58" t="str">
        <f t="shared" si="7"/>
        <v>057 DarknessSide PULSATING</v>
      </c>
      <c r="P58" t="str">
        <f t="shared" si="8"/>
        <v>057 Dirty Combo OTHER SYNTH</v>
      </c>
      <c r="Q58" t="str">
        <f t="shared" si="9"/>
        <v>057 JX Warm Pad SOFT PAD</v>
      </c>
      <c r="R58" t="str">
        <f t="shared" si="1"/>
        <v>057</v>
      </c>
    </row>
    <row r="59" spans="1:18" x14ac:dyDescent="0.25">
      <c r="A59" s="23" t="s">
        <v>4688</v>
      </c>
      <c r="B59" s="27" t="s">
        <v>4816</v>
      </c>
      <c r="C59" s="23" t="s">
        <v>4944</v>
      </c>
      <c r="D59" s="23" t="s">
        <v>5072</v>
      </c>
      <c r="E59" s="23" t="s">
        <v>5200</v>
      </c>
      <c r="F59" s="23" t="s">
        <v>5328</v>
      </c>
      <c r="G59" s="23" t="s">
        <v>5457</v>
      </c>
      <c r="H59" s="23" t="s">
        <v>5586</v>
      </c>
      <c r="I59" s="23" t="str">
        <f t="shared" si="0"/>
        <v>58 INIT PATCH</v>
      </c>
      <c r="J59" t="str">
        <f t="shared" si="2"/>
        <v>058 Got Pop? BASS</v>
      </c>
      <c r="K59" t="str">
        <f t="shared" si="3"/>
        <v>058 sin(EP) EL.PIANO</v>
      </c>
      <c r="L59" t="str">
        <f t="shared" si="4"/>
        <v>058 LP Dist DIST.GUITAR</v>
      </c>
      <c r="M59" t="str">
        <f t="shared" si="5"/>
        <v>058 X StrSection STRINGS</v>
      </c>
      <c r="N59" t="str">
        <f t="shared" si="6"/>
        <v>058 "Q" DualSaws HARD LEAD</v>
      </c>
      <c r="O59" t="str">
        <f t="shared" si="7"/>
        <v>058 Shape of X PULSATING</v>
      </c>
      <c r="P59" t="str">
        <f t="shared" si="8"/>
        <v>058 FM´s Attack OTHER SYNTH</v>
      </c>
      <c r="Q59" t="str">
        <f t="shared" si="9"/>
        <v>058 Analog Bgrnd SOFT PAD</v>
      </c>
      <c r="R59" t="str">
        <f t="shared" si="1"/>
        <v>058</v>
      </c>
    </row>
    <row r="60" spans="1:18" x14ac:dyDescent="0.25">
      <c r="A60" s="23" t="s">
        <v>4689</v>
      </c>
      <c r="B60" s="27" t="s">
        <v>4817</v>
      </c>
      <c r="C60" s="23" t="s">
        <v>4945</v>
      </c>
      <c r="D60" s="23" t="s">
        <v>5073</v>
      </c>
      <c r="E60" s="23" t="s">
        <v>5201</v>
      </c>
      <c r="F60" s="23" t="s">
        <v>5329</v>
      </c>
      <c r="G60" s="23" t="s">
        <v>5458</v>
      </c>
      <c r="H60" s="23" t="s">
        <v>5587</v>
      </c>
      <c r="I60" s="23" t="str">
        <f t="shared" si="0"/>
        <v>59 INIT PATCH</v>
      </c>
      <c r="J60" t="str">
        <f t="shared" si="2"/>
        <v>059 Sonic Ac Bs BASS</v>
      </c>
      <c r="K60" t="str">
        <f t="shared" si="3"/>
        <v>059 SC Pure Wuly EL.PIANO</v>
      </c>
      <c r="L60" t="str">
        <f t="shared" si="4"/>
        <v>059 Hurtling Gtr DIST.GUITAR</v>
      </c>
      <c r="M60" t="str">
        <f t="shared" si="5"/>
        <v>059 Oct Strings STRINGS</v>
      </c>
      <c r="N60" t="str">
        <f t="shared" si="6"/>
        <v>059 Mogulator Ld HARD LEAD</v>
      </c>
      <c r="O60" t="str">
        <f t="shared" si="7"/>
        <v>059 Sonic Dance PULSATING</v>
      </c>
      <c r="P60" t="str">
        <f t="shared" si="8"/>
        <v>059 Digi-vox Syn OTHER SYNTH</v>
      </c>
      <c r="Q60" t="str">
        <f t="shared" si="9"/>
        <v>059 Choir Aahs 1 VOX</v>
      </c>
      <c r="R60" t="str">
        <f t="shared" si="1"/>
        <v>059</v>
      </c>
    </row>
    <row r="61" spans="1:18" x14ac:dyDescent="0.25">
      <c r="A61" s="23" t="s">
        <v>4690</v>
      </c>
      <c r="B61" s="27" t="s">
        <v>4818</v>
      </c>
      <c r="C61" s="23" t="s">
        <v>4946</v>
      </c>
      <c r="D61" s="23" t="s">
        <v>5074</v>
      </c>
      <c r="E61" s="23" t="s">
        <v>5202</v>
      </c>
      <c r="F61" s="23" t="s">
        <v>5330</v>
      </c>
      <c r="G61" s="23" t="s">
        <v>5459</v>
      </c>
      <c r="H61" s="23" t="s">
        <v>5588</v>
      </c>
      <c r="I61" s="23" t="str">
        <f t="shared" si="0"/>
        <v>60 INIT PATCH</v>
      </c>
      <c r="J61" t="str">
        <f t="shared" si="2"/>
        <v>060 Low Bass SYNTH BASS</v>
      </c>
      <c r="K61" t="str">
        <f t="shared" si="3"/>
        <v>060 SC Trem Wuly EL.PIANO</v>
      </c>
      <c r="L61" t="str">
        <f t="shared" si="4"/>
        <v>060 Searing COSM DIST.GUITAR</v>
      </c>
      <c r="M61" t="str">
        <f t="shared" si="5"/>
        <v>060 Sahara Str STRINGS</v>
      </c>
      <c r="N61" t="str">
        <f t="shared" si="6"/>
        <v>060 DirtyVoltage HARD LEAD</v>
      </c>
      <c r="O61" t="str">
        <f t="shared" si="7"/>
        <v>060 ShapeURMusic PULSATING</v>
      </c>
      <c r="P61" t="str">
        <f t="shared" si="8"/>
        <v>060 Fairy Factor OTHER SYNTH</v>
      </c>
      <c r="Q61" t="str">
        <f t="shared" si="9"/>
        <v>060 Choir Aahs 2 VOX</v>
      </c>
      <c r="R61" t="str">
        <f t="shared" si="1"/>
        <v>060</v>
      </c>
    </row>
    <row r="62" spans="1:18" x14ac:dyDescent="0.25">
      <c r="A62" s="23" t="s">
        <v>4691</v>
      </c>
      <c r="B62" s="27" t="s">
        <v>4819</v>
      </c>
      <c r="C62" s="23" t="s">
        <v>4947</v>
      </c>
      <c r="D62" s="23" t="s">
        <v>5075</v>
      </c>
      <c r="E62" s="23" t="s">
        <v>5203</v>
      </c>
      <c r="F62" s="23" t="s">
        <v>5331</v>
      </c>
      <c r="G62" s="23" t="s">
        <v>5460</v>
      </c>
      <c r="H62" s="23" t="s">
        <v>5589</v>
      </c>
      <c r="I62" s="23" t="str">
        <f t="shared" si="0"/>
        <v>61 INIT PATCH</v>
      </c>
      <c r="J62" t="str">
        <f t="shared" si="2"/>
        <v>061 Foundation SYNTH BASS</v>
      </c>
      <c r="K62" t="str">
        <f t="shared" si="3"/>
        <v>061 Super Wurly EL.PIANO</v>
      </c>
      <c r="L62" t="str">
        <f t="shared" si="4"/>
        <v>061 SC Loud Gtr DIST.GUITAR</v>
      </c>
      <c r="M62" t="str">
        <f t="shared" si="5"/>
        <v>061 Random Mood STRINGS</v>
      </c>
      <c r="N62" t="str">
        <f t="shared" si="6"/>
        <v>061 Clean? HARD LEAD</v>
      </c>
      <c r="O62" t="str">
        <f t="shared" si="7"/>
        <v>061 Synth Force PULSATING</v>
      </c>
      <c r="P62" t="str">
        <f t="shared" si="8"/>
        <v>061 Tempest OTHER SYNTH</v>
      </c>
      <c r="Q62" t="str">
        <f t="shared" si="9"/>
        <v>061 ChoirOoh/Aft VOX</v>
      </c>
      <c r="R62" t="str">
        <f t="shared" si="1"/>
        <v>061</v>
      </c>
    </row>
    <row r="63" spans="1:18" x14ac:dyDescent="0.25">
      <c r="A63" s="23" t="s">
        <v>4692</v>
      </c>
      <c r="B63" s="27" t="s">
        <v>4820</v>
      </c>
      <c r="C63" s="23" t="s">
        <v>4948</v>
      </c>
      <c r="D63" s="23" t="s">
        <v>5076</v>
      </c>
      <c r="E63" s="23" t="s">
        <v>5204</v>
      </c>
      <c r="F63" s="23" t="s">
        <v>5332</v>
      </c>
      <c r="G63" s="23" t="s">
        <v>5461</v>
      </c>
      <c r="H63" s="23" t="s">
        <v>5590</v>
      </c>
      <c r="I63" s="23" t="str">
        <f t="shared" si="0"/>
        <v>62 INIT PATCH</v>
      </c>
      <c r="J63" t="str">
        <f t="shared" si="2"/>
        <v>062 SC Rubber Bs SYNTH BASS</v>
      </c>
      <c r="K63" t="str">
        <f t="shared" si="3"/>
        <v>062 Wurly Trem EL.PIANO</v>
      </c>
      <c r="L63" t="str">
        <f t="shared" si="4"/>
        <v>062 SC Plugged!! DIST.GUITAR</v>
      </c>
      <c r="M63" t="str">
        <f t="shared" si="5"/>
        <v>062 X Hall Str STRINGS</v>
      </c>
      <c r="N63" t="str">
        <f t="shared" si="6"/>
        <v>062 Distortion HARD LEAD</v>
      </c>
      <c r="O63" t="str">
        <f t="shared" si="7"/>
        <v>062 Trance Split PULSATING</v>
      </c>
      <c r="P63" t="str">
        <f t="shared" si="8"/>
        <v>062 X-Racer OTHER SYNTH</v>
      </c>
      <c r="Q63" t="str">
        <f t="shared" si="9"/>
        <v>062 Angels Choir VOX</v>
      </c>
      <c r="R63" t="str">
        <f t="shared" si="1"/>
        <v>062</v>
      </c>
    </row>
    <row r="64" spans="1:18" x14ac:dyDescent="0.25">
      <c r="A64" s="23" t="s">
        <v>4693</v>
      </c>
      <c r="B64" s="27" t="s">
        <v>4821</v>
      </c>
      <c r="C64" s="23" t="s">
        <v>4949</v>
      </c>
      <c r="D64" s="23" t="s">
        <v>5077</v>
      </c>
      <c r="E64" s="23" t="s">
        <v>5205</v>
      </c>
      <c r="F64" s="23" t="s">
        <v>5333</v>
      </c>
      <c r="G64" s="23" t="s">
        <v>5462</v>
      </c>
      <c r="H64" s="23" t="s">
        <v>5591</v>
      </c>
      <c r="I64" s="23" t="str">
        <f t="shared" si="0"/>
        <v>63 INIT PATCH</v>
      </c>
      <c r="J64" t="str">
        <f t="shared" si="2"/>
        <v>063 Punch MG 2 SYNTH BASS</v>
      </c>
      <c r="K64" t="str">
        <f t="shared" si="3"/>
        <v>063 VelSpdWurly EL.PIANO</v>
      </c>
      <c r="L64" t="str">
        <f t="shared" si="4"/>
        <v>063 Punker 1 DIST.GUITAR</v>
      </c>
      <c r="M64" t="str">
        <f t="shared" si="5"/>
        <v>063 SC Slow Str STRINGS</v>
      </c>
      <c r="N64" t="str">
        <f t="shared" si="6"/>
        <v>063 SC Syn Ld HARD LEAD</v>
      </c>
      <c r="O64" t="str">
        <f t="shared" si="7"/>
        <v>063 Step Trance PULSATING</v>
      </c>
      <c r="P64" t="str">
        <f t="shared" si="8"/>
        <v>063 TB Booster OTHER SYNTH</v>
      </c>
      <c r="Q64" t="str">
        <f t="shared" si="9"/>
        <v>063 Angelique VOX</v>
      </c>
      <c r="R64" t="str">
        <f t="shared" si="1"/>
        <v>063</v>
      </c>
    </row>
    <row r="65" spans="1:18" x14ac:dyDescent="0.25">
      <c r="A65" s="23" t="s">
        <v>4694</v>
      </c>
      <c r="B65" s="27" t="s">
        <v>4822</v>
      </c>
      <c r="C65" s="23" t="s">
        <v>4950</v>
      </c>
      <c r="D65" s="23" t="s">
        <v>5078</v>
      </c>
      <c r="E65" s="23" t="s">
        <v>5206</v>
      </c>
      <c r="F65" s="23" t="s">
        <v>5334</v>
      </c>
      <c r="G65" s="23" t="s">
        <v>5463</v>
      </c>
      <c r="H65" s="23" t="s">
        <v>5592</v>
      </c>
      <c r="I65" s="23" t="str">
        <f t="shared" si="0"/>
        <v>64 INIT PATCH</v>
      </c>
      <c r="J65" t="str">
        <f t="shared" si="2"/>
        <v>064 SC GarageBs2 SYNTH BASS</v>
      </c>
      <c r="K65" t="str">
        <f t="shared" si="3"/>
        <v>064 Fonky Fonky EL.PIANO</v>
      </c>
      <c r="L65" t="str">
        <f t="shared" si="4"/>
        <v>064 SC PowerChd DIST.GUITAR</v>
      </c>
      <c r="M65" t="str">
        <f t="shared" si="5"/>
        <v>064 Hybrid Str 2 STRINGS</v>
      </c>
      <c r="N65" t="str">
        <f t="shared" si="6"/>
        <v>064 SynLead 0322 HARD LEAD</v>
      </c>
      <c r="O65" t="str">
        <f t="shared" si="7"/>
        <v>064 Chop Synth PULSATING</v>
      </c>
      <c r="P65" t="str">
        <f t="shared" si="8"/>
        <v>064 Syn-Orch/Mod OTHER SYNTH</v>
      </c>
      <c r="Q65" t="str">
        <f t="shared" si="9"/>
        <v>064 Gospel Oohs VOX</v>
      </c>
      <c r="R65" t="str">
        <f t="shared" si="1"/>
        <v>064</v>
      </c>
    </row>
    <row r="66" spans="1:18" x14ac:dyDescent="0.25">
      <c r="A66" s="23" t="s">
        <v>4695</v>
      </c>
      <c r="B66" s="27" t="s">
        <v>4823</v>
      </c>
      <c r="C66" s="23" t="s">
        <v>4951</v>
      </c>
      <c r="D66" s="23" t="s">
        <v>5079</v>
      </c>
      <c r="E66" s="23" t="s">
        <v>5207</v>
      </c>
      <c r="F66" s="23" t="s">
        <v>5335</v>
      </c>
      <c r="G66" s="23" t="s">
        <v>5464</v>
      </c>
      <c r="H66" s="23" t="s">
        <v>5593</v>
      </c>
      <c r="I66" s="23" t="str">
        <f t="shared" ref="I66:I129" si="10">_xlfn.VALUETOTEXT(ROW()-1)&amp;" INIT PATCH"</f>
        <v>65 INIT PATCH</v>
      </c>
      <c r="J66" t="str">
        <f t="shared" si="2"/>
        <v>065 SC AcidPunch SYNTH BASS</v>
      </c>
      <c r="K66" t="str">
        <f t="shared" si="3"/>
        <v>065 FM EP mix EL.PIANO</v>
      </c>
      <c r="L66" t="str">
        <f t="shared" si="4"/>
        <v>065 Punker 2 DIST.GUITAR</v>
      </c>
      <c r="M66" t="str">
        <f t="shared" si="5"/>
        <v>065 Biggie Bows STRINGS</v>
      </c>
      <c r="N66" t="str">
        <f t="shared" si="6"/>
        <v>065 X-Sink Delay HARD LEAD</v>
      </c>
      <c r="O66" t="str">
        <f t="shared" si="7"/>
        <v>065 Euro Teuro PULSATING</v>
      </c>
      <c r="P66" t="str">
        <f t="shared" si="8"/>
        <v>065 Pressyn OTHER SYNTH</v>
      </c>
      <c r="Q66" t="str">
        <f t="shared" si="9"/>
        <v>065 Choir&amp;Str VOX</v>
      </c>
      <c r="R66" t="str">
        <f t="shared" ref="R66:R129" si="11">IF(ROW()-1 &gt; 99,_xlfn.VALUETOTEXT(ROW()-1),IF(ROW()-1 &gt; 9, "0"&amp;_xlfn.VALUETOTEXT(ROW()-1),"00"&amp;_xlfn.VALUETOTEXT(ROW()-1)))</f>
        <v>065</v>
      </c>
    </row>
    <row r="67" spans="1:18" x14ac:dyDescent="0.25">
      <c r="A67" s="23" t="s">
        <v>4696</v>
      </c>
      <c r="B67" s="27" t="s">
        <v>4824</v>
      </c>
      <c r="C67" s="23" t="s">
        <v>4952</v>
      </c>
      <c r="D67" s="23" t="s">
        <v>5080</v>
      </c>
      <c r="E67" s="23" t="s">
        <v>5208</v>
      </c>
      <c r="F67" s="23" t="s">
        <v>5336</v>
      </c>
      <c r="G67" s="23" t="s">
        <v>5465</v>
      </c>
      <c r="H67" s="23" t="s">
        <v>5594</v>
      </c>
      <c r="I67" s="23" t="str">
        <f t="shared" si="10"/>
        <v>66 INIT PATCH</v>
      </c>
      <c r="J67" t="str">
        <f t="shared" ref="J67:J130" si="12">R67&amp;" "&amp;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SUBSTITUTE(A67,"'","´"),"AC.PIANO [0-9]","AC.PIANO",-1),"PULSATING [0-9]","PULSATING"),"KEYBOARDS [0-9]","KEYBOARDS"),"EL.PIANO [0-9]","EL.PIANO"),"BELL [0-9]","BELL"),"MALLET [0-9]","MALLET"),"ORGAN [0-9]","ORGAN"),"ACCORDION [0-9]","ACCORDION"),"HARMONICA [0-9]","HARMONICA"),"AC.GUITAR [0-9]","AC.GUITAR"),"EL.GUITAR [0-9]","EL.GUITAR"),"DIST.GUITAR [0-9]","DIST.GUITAR"),"BASS [0-9]","BASS"),"STRINGS [0-9]","STRINGS"),"SYNTH BASS [0-9]","SYNTH BASS"),"ORCHESTRA [0-9]","ORCHESTRA"),"WIND [0-9]","WIND"),"FLUTE [0-9]","FLUTE"),"AC.BRASS [0-9]","AC.BRASS"),"SYNTH BRASS [0-9]","SYNTH BRASS"),"SAX [0-9]","SAX"),"SOFT LEAD [0-9]","SOFT LEAD"),"HARD LEAD [0-9]","HARD LEAD"),"HIT&amp;STAB [0-9]","HIT&amp;STAB"),"TECHNO SYNTH [0-9]","TECHNO SYNTH"),"OTHER SYNTH [0-9]","OTHER SYNTH"),"VOX [0-9]","VOX"),"SOFT PAD [0-9]","SOFT PAD"),"BRIGHT PAD [0-9]","BRIGHT PAD"),"PLUCKED [0-9]","PLUCKED"),"ETHNIC [0-9]","ETHNIC"),"FRETTED [0-9]","FRETTED"),"SYNTH FX [0-9]","SYNTH FX"),"BEAT&amp;GROOVE [0-9]","BEAT&amp;GROOVE"),"PERCUSSION [0-9]","PERCUSSION"),"COMBINATION [0-9]","COMBINATION")," PR-A[0-9][0-9][0-9]",""),"[0-9]* ","",1)</f>
        <v>066 Loco Voco SYNTH BASS</v>
      </c>
      <c r="K67" t="str">
        <f t="shared" ref="K67:K129" si="13">R67&amp;" "&amp;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SUBSTITUTE(B67,"'","´"),"AC.PIANO [0-9]","AC.PIANO",-1),"PULSATING [0-9]","PULSATING"),"KEYBOARDS [0-9]","KEYBOARDS"),"EL.PIANO [0-9]","EL.PIANO"),"BELL [0-9]","BELL"),"MALLET [0-9]","MALLET"),"ORGAN [0-9]","ORGAN"),"ACCORDION [0-9]","ACCORDION"),"HARMONICA [0-9]","HARMONICA"),"AC.GUITAR [0-9]","AC.GUITAR"),"EL.GUITAR [0-9]","EL.GUITAR"),"DIST.GUITAR [0-9]","DIST.GUITAR"),"BASS [0-9]","BASS"),"STRINGS [0-9]","STRINGS"),"SYNTH BASS [0-9]","SYNTH BASS"),"ORCHESTRA [0-9]","ORCHESTRA"),"WIND [0-9]","WIND"),"FLUTE [0-9]","FLUTE"),"AC.BRASS [0-9]","AC.BRASS"),"SYNTH BRASS [0-9]","SYNTH BRASS"),"SAX [0-9]","SAX"),"SOFT LEAD [0-9]","SOFT LEAD"),"HARD LEAD [0-9]","HARD LEAD"),"HIT&amp;STAB [0-9]","HIT&amp;STAB"),"TECHNO SYNTH [0-9]","TECHNO SYNTH"),"OTHER SYNTH [0-9]","OTHER SYNTH"),"VOX [0-9]","VOX"),"SOFT PAD [0-9]","SOFT PAD"),"BRIGHT PAD [0-9]","BRIGHT PAD"),"PLUCKED [0-9]","PLUCKED"),"ETHNIC [0-9]","ETHNIC"),"FRETTED [0-9]","FRETTED"),"SYNTH FX [0-9]","SYNTH FX"),"BEAT&amp;GROOVE [0-9]","BEAT&amp;GROOVE"),"PERCUSSION [0-9]","PERCUSSION"),"COMBINATION [0-9]","COMBINATION")," PR-A[0-9][0-9][0-9]",""),"[0-9]* ","",1)</f>
        <v>066 FM-777 EL.PIANO</v>
      </c>
      <c r="L67" t="str">
        <f t="shared" ref="L67:L129" si="14">R67&amp;" "&amp;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SUBSTITUTE(C67,"'","´"),"AC.PIANO [0-9]","AC.PIANO",-1),"PULSATING [0-9]","PULSATING"),"KEYBOARDS [0-9]","KEYBOARDS"),"EL.PIANO [0-9]","EL.PIANO"),"BELL [0-9]","BELL"),"MALLET [0-9]","MALLET"),"ORGAN [0-9]","ORGAN"),"ACCORDION [0-9]","ACCORDION"),"HARMONICA [0-9]","HARMONICA"),"AC.GUITAR [0-9]","AC.GUITAR"),"EL.GUITAR [0-9]","EL.GUITAR"),"DIST.GUITAR [0-9]","DIST.GUITAR"),"BASS [0-9]","BASS"),"STRINGS [0-9]","STRINGS"),"SYNTH BASS [0-9]","SYNTH BASS"),"ORCHESTRA [0-9]","ORCHESTRA"),"WIND [0-9]","WIND"),"FLUTE [0-9]","FLUTE"),"AC.BRASS [0-9]","AC.BRASS"),"SYNTH BRASS [0-9]","SYNTH BRASS"),"SAX [0-9]","SAX"),"SOFT LEAD [0-9]","SOFT LEAD"),"HARD LEAD [0-9]","HARD LEAD"),"HIT&amp;STAB [0-9]","HIT&amp;STAB"),"TECHNO SYNTH [0-9]","TECHNO SYNTH"),"OTHER SYNTH [0-9]","OTHER SYNTH"),"VOX [0-9]","VOX"),"SOFT PAD [0-9]","SOFT PAD"),"BRIGHT PAD [0-9]","BRIGHT PAD"),"PLUCKED [0-9]","PLUCKED"),"ETHNIC [0-9]","ETHNIC"),"FRETTED [0-9]","FRETTED"),"SYNTH FX [0-9]","SYNTH FX"),"BEAT&amp;GROOVE [0-9]","BEAT&amp;GROOVE"),"PERCUSSION [0-9]","PERCUSSION"),"COMBINATION [0-9]","COMBINATION")," PR-B[0-9][0-9][0-9]",""),"[0-9]* ","",1)</f>
        <v>066 Larsen /Aft DIST.GUITAR</v>
      </c>
      <c r="M67" t="str">
        <f t="shared" ref="M67:M129" si="15">R67&amp;" "&amp;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SUBSTITUTE(D67,"'","´"),"AC.PIANO [0-9]","AC.PIANO",-1),"PULSATING [0-9]","PULSATING"),"KEYBOARDS [0-9]","KEYBOARDS"),"EL.PIANO [0-9]","EL.PIANO"),"BELL [0-9]","BELL"),"MALLET [0-9]","MALLET"),"ORGAN [0-9]","ORGAN"),"ACCORDION [0-9]","ACCORDION"),"HARMONICA [0-9]","HARMONICA"),"AC.GUITAR [0-9]","AC.GUITAR"),"EL.GUITAR [0-9]","EL.GUITAR"),"DIST.GUITAR [0-9]","DIST.GUITAR"),"BASS [0-9]","BASS"),"STRINGS [0-9]","STRINGS"),"SYNTH BASS [0-9]","SYNTH BASS"),"ORCHESTRA [0-9]","ORCHESTRA"),"WIND [0-9]","WIND"),"FLUTE [0-9]","FLUTE"),"AC.BRASS [0-9]","AC.BRASS"),"SYNTH BRASS [0-9]","SYNTH BRASS"),"SAX [0-9]","SAX"),"SOFT LEAD [0-9]","SOFT LEAD"),"HARD LEAD [0-9]","HARD LEAD"),"HIT&amp;STAB [0-9]","HIT&amp;STAB"),"TECHNO SYNTH [0-9]","TECHNO SYNTH"),"OTHER SYNTH [0-9]","OTHER SYNTH"),"VOX [0-9]","VOX"),"SOFT PAD [0-9]","SOFT PAD"),"BRIGHT PAD [0-9]","BRIGHT PAD"),"PLUCKED [0-9]","PLUCKED"),"ETHNIC [0-9]","ETHNIC"),"FRETTED [0-9]","FRETTED"),"SYNTH FX [0-9]","SYNTH FX"),"BEAT&amp;GROOVE [0-9]","BEAT&amp;GROOVE"),"PERCUSSION [0-9]","PERCUSSION"),"COMBINATION [0-9]","COMBINATION")," PR-C[0-9][0-9][0-9]",""),"[0-9]* ","",1)</f>
        <v>066 Staccato VS STRINGS</v>
      </c>
      <c r="N67" t="str">
        <f t="shared" ref="N67:N129" si="16">R67&amp;" "&amp;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SUBSTITUTE(E67,"'","´"),"AC.PIANO [0-9]","AC.PIANO",-1),"PULSATING [0-9]","PULSATING"),"KEYBOARDS [0-9]","KEYBOARDS"),"EL.PIANO [0-9]","EL.PIANO"),"BELL [0-9]","BELL"),"MALLET [0-9]","MALLET"),"ORGAN [0-9]","ORGAN"),"ACCORDION [0-9]","ACCORDION"),"HARMONICA [0-9]","HARMONICA"),"AC.GUITAR [0-9]","AC.GUITAR"),"EL.GUITAR [0-9]","EL.GUITAR"),"DIST.GUITAR [0-9]","DIST.GUITAR"),"BASS [0-9]","BASS"),"STRINGS [0-9]","STRINGS"),"SYNTH BASS [0-9]","SYNTH BASS"),"ORCHESTRA [0-9]","ORCHESTRA"),"WIND [0-9]","WIND"),"FLUTE [0-9]","FLUTE"),"AC.BRASS [0-9]","AC.BRASS"),"SYNTH BRASS [0-9]","SYNTH BRASS"),"SAX [0-9]","SAX"),"SOFT LEAD [0-9]","SOFT LEAD"),"HARD LEAD [0-9]","HARD LEAD"),"HIT&amp;STAB [0-9]","HIT&amp;STAB"),"TECHNO SYNTH [0-9]","TECHNO SYNTH"),"OTHER SYNTH [0-9]","OTHER SYNTH"),"VOX [0-9]","VOX"),"SOFT PAD [0-9]","SOFT PAD"),"BRIGHT PAD [0-9]","BRIGHT PAD"),"PLUCKED [0-9]","PLUCKED"),"ETHNIC [0-9]","ETHNIC"),"FRETTED [0-9]","FRETTED"),"SYNTH FX [0-9]","SYNTH FX"),"BEAT&amp;GROOVE [0-9]","BEAT&amp;GROOVE"),"PERCUSSION [0-9]","PERCUSSION"),"COMBINATION [0-9]","COMBINATION")," PR-D[0-9][0-9][0-9]",""),"[0-9]* ","",1)</f>
        <v>066 Destroyed Ld HARD LEAD</v>
      </c>
      <c r="O67" t="str">
        <f t="shared" ref="O67:O129" si="17">R67&amp;" "&amp;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SUBSTITUTE(F67,"'","´"),"AC.PIANO [0-9]","AC.PIANO",-1),"PULSATING [0-9]","PULSATING"),"KEYBOARDS [0-9]","KEYBOARDS"),"EL.PIANO [0-9]","EL.PIANO"),"BELL [0-9]","BELL"),"MALLET [0-9]","MALLET"),"ORGAN [0-9]","ORGAN"),"ACCORDION [0-9]","ACCORDION"),"HARMONICA [0-9]","HARMONICA"),"AC.GUITAR [0-9]","AC.GUITAR"),"EL.GUITAR [0-9]","EL.GUITAR"),"DIST.GUITAR [0-9]","DIST.GUITAR"),"BASS [0-9]","BASS"),"STRINGS [0-9]","STRINGS"),"SYNTH BASS [0-9]","SYNTH BASS"),"ORCHESTRA [0-9]","ORCHESTRA"),"WIND [0-9]","WIND"),"FLUTE [0-9]","FLUTE"),"AC.BRASS [0-9]","AC.BRASS"),"SYNTH BRASS [0-9]","SYNTH BRASS"),"SAX [0-9]","SAX"),"SOFT LEAD [0-9]","SOFT LEAD"),"HARD LEAD [0-9]","HARD LEAD"),"HIT&amp;STAB [0-9]","HIT&amp;STAB"),"TECHNO SYNTH [0-9]","TECHNO SYNTH"),"OTHER SYNTH [0-9]","OTHER SYNTH"),"VOX [0-9]","VOX"),"SOFT PAD [0-9]","SOFT PAD"),"BRIGHT PAD [0-9]","BRIGHT PAD"),"PLUCKED [0-9]","PLUCKED"),"ETHNIC [0-9]","ETHNIC"),"FRETTED [0-9]","FRETTED"),"SYNTH FX [0-9]","SYNTH FX"),"BEAT&amp;GROOVE [0-9]","BEAT&amp;GROOVE"),"PERCUSSION [0-9]","PERCUSSION"),"COMBINATION [0-9]","COMBINATION")," PR-E[0-9][0-9][0-9]",""),"[0-9]* ","",1)</f>
        <v>066 Auto Trance PULSATING</v>
      </c>
      <c r="P67" t="str">
        <f t="shared" ref="P67:P129" si="18">R67&amp;" "&amp;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SUBSTITUTE(G67,"'","´"),"AC.PIANO [0-9]","AC.PIANO",-1),"PULSATING [0-9]","PULSATING"),"KEYBOARDS [0-9]","KEYBOARDS"),"EL.PIANO [0-9]","EL.PIANO"),"BELL [0-9]","BELL"),"MALLET [0-9]","MALLET"),"ORGAN [0-9]","ORGAN"),"ACCORDION [0-9]","ACCORDION"),"HARMONICA [0-9]","HARMONICA"),"AC.GUITAR [0-9]","AC.GUITAR"),"EL.GUITAR [0-9]","EL.GUITAR"),"DIST.GUITAR [0-9]","DIST.GUITAR"),"BASS [0-9]","BASS"),"STRINGS [0-9]","STRINGS"),"SYNTH BASS [0-9]","SYNTH BASS"),"ORCHESTRA [0-9]","ORCHESTRA"),"WIND [0-9]","WIND"),"FLUTE [0-9]","FLUTE"),"AC.BRASS [0-9]","AC.BRASS"),"SYNTH BRASS [0-9]","SYNTH BRASS"),"SAX [0-9]","SAX"),"SOFT LEAD [0-9]","SOFT LEAD"),"HARD LEAD [0-9]","HARD LEAD"),"HIT&amp;STAB [0-9]","HIT&amp;STAB"),"TECHNO SYNTH [0-9]","TECHNO SYNTH"),"OTHER SYNTH [0-9]","OTHER SYNTH"),"VOX [0-9]","VOX"),"SOFT PAD [0-9]","SOFT PAD"),"BRIGHT PAD [0-9]","BRIGHT PAD"),"PLUCKED [0-9]","PLUCKED"),"ETHNIC [0-9]","ETHNIC"),"FRETTED [0-9]","FRETTED"),"SYNTH FX [0-9]","SYNTH FX"),"BEAT&amp;GROOVE [0-9]","BEAT&amp;GROOVE"),"PERCUSSION [0-9]","PERCUSSION"),"COMBINATION [0-9]","COMBINATION")," PR-F[0-9][0-9][0-9]",""),"[0-9]* ","",1)</f>
        <v>066 High Five OTHER SYNTH</v>
      </c>
      <c r="Q67" t="str">
        <f t="shared" ref="Q67:Q129" si="19">R67&amp;" "&amp;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SUBSTITUTE(H67,"'","´"),"AC.PIANO [0-9]","AC.PIANO",-1),"PULSATING [0-9]","PULSATING"),"KEYBOARDS [0-9]","KEYBOARDS"),"EL.PIANO [0-9]","EL.PIANO"),"BELL [0-9]","BELL"),"MALLET [0-9]","MALLET"),"ORGAN [0-9]","ORGAN"),"ACCORDION [0-9]","ACCORDION"),"HARMONICA [0-9]","HARMONICA"),"AC.GUITAR [0-9]","AC.GUITAR"),"EL.GUITAR [0-9]","EL.GUITAR"),"DIST.GUITAR [0-9]","DIST.GUITAR"),"BASS [0-9]","BASS"),"STRINGS [0-9]","STRINGS"),"SYNTH BASS [0-9]","SYNTH BASS"),"ORCHESTRA [0-9]","ORCHESTRA"),"WIND [0-9]","WIND"),"FLUTE [0-9]","FLUTE"),"AC.BRASS [0-9]","AC.BRASS"),"SYNTH BRASS [0-9]","SYNTH BRASS"),"SAX [0-9]","SAX"),"SOFT LEAD [0-9]","SOFT LEAD"),"HARD LEAD [0-9]","HARD LEAD"),"HIT&amp;STAB [0-9]","HIT&amp;STAB"),"TECHNO SYNTH [0-9]","TECHNO SYNTH"),"OTHER SYNTH [0-9]","OTHER SYNTH"),"VOX [0-9]","VOX"),"SOFT PAD [0-9]","SOFT PAD"),"BRIGHT PAD [0-9]","BRIGHT PAD"),"PLUCKED [0-9]","PLUCKED"),"ETHNIC [0-9]","ETHNIC"),"FRETTED [0-9]","FRETTED"),"SYNTH FX [0-9]","SYNTH FX"),"BEAT&amp;GROOVE [0-9]","BEAT&amp;GROOVE"),"PERCUSSION [0-9]","PERCUSSION"),"COMBINATION [0-9]","COMBINATION")," PR-G[0-9][0-9][0-9]",""),"[0-9]* ","",1)</f>
        <v>066 Aah Vox VOX</v>
      </c>
      <c r="R67" t="str">
        <f t="shared" si="11"/>
        <v>066</v>
      </c>
    </row>
    <row r="68" spans="1:18" x14ac:dyDescent="0.25">
      <c r="A68" s="23" t="s">
        <v>4697</v>
      </c>
      <c r="B68" s="27" t="s">
        <v>4825</v>
      </c>
      <c r="C68" s="23" t="s">
        <v>4953</v>
      </c>
      <c r="D68" s="23" t="s">
        <v>5081</v>
      </c>
      <c r="E68" s="23" t="s">
        <v>5209</v>
      </c>
      <c r="F68" s="23" t="s">
        <v>5337</v>
      </c>
      <c r="G68" s="23" t="s">
        <v>5466</v>
      </c>
      <c r="H68" s="23" t="s">
        <v>5595</v>
      </c>
      <c r="I68" s="23" t="str">
        <f t="shared" si="10"/>
        <v>67 INIT PATCH</v>
      </c>
      <c r="J68" t="str">
        <f t="shared" si="12"/>
        <v>067 VirtualHuman PULSATING</v>
      </c>
      <c r="K68" t="str">
        <f t="shared" si="13"/>
        <v>067 FM EPad EL.PIANO</v>
      </c>
      <c r="L68" t="str">
        <f t="shared" si="14"/>
        <v>067 Rockin´ Dly DIST.GUITAR</v>
      </c>
      <c r="M68" t="str">
        <f t="shared" si="15"/>
        <v>067 So Staccato STRINGS</v>
      </c>
      <c r="N68" t="str">
        <f t="shared" si="16"/>
        <v>067 Synchro Lead HARD LEAD</v>
      </c>
      <c r="O68" t="str">
        <f t="shared" si="17"/>
        <v>067 Eureggae PULSATING</v>
      </c>
      <c r="P68" t="str">
        <f t="shared" si="18"/>
        <v>067 4DaCommonManOTHER SYNTH</v>
      </c>
      <c r="Q68" t="str">
        <f t="shared" si="19"/>
        <v>067 Synvox VOX</v>
      </c>
      <c r="R68" t="str">
        <f t="shared" si="11"/>
        <v>067</v>
      </c>
    </row>
    <row r="69" spans="1:18" x14ac:dyDescent="0.25">
      <c r="A69" s="23" t="s">
        <v>4698</v>
      </c>
      <c r="B69" s="27" t="s">
        <v>4826</v>
      </c>
      <c r="C69" s="23" t="s">
        <v>4954</v>
      </c>
      <c r="D69" s="23" t="s">
        <v>5082</v>
      </c>
      <c r="E69" s="23" t="s">
        <v>5210</v>
      </c>
      <c r="F69" s="23" t="s">
        <v>5338</v>
      </c>
      <c r="G69" s="23" t="s">
        <v>5467</v>
      </c>
      <c r="H69" s="23" t="s">
        <v>5596</v>
      </c>
      <c r="I69" s="23" t="str">
        <f t="shared" si="10"/>
        <v>68 INIT PATCH</v>
      </c>
      <c r="J69" t="str">
        <f t="shared" si="12"/>
        <v>068 Strobot PULSATING</v>
      </c>
      <c r="K69" t="str">
        <f t="shared" si="13"/>
        <v>068 EP Stack EL.PIANO</v>
      </c>
      <c r="L69" t="str">
        <f t="shared" si="14"/>
        <v>068 Sonic Ac Bs BASS</v>
      </c>
      <c r="M69" t="str">
        <f t="shared" si="15"/>
        <v>068 DelicatePizz STRINGS</v>
      </c>
      <c r="N69" t="str">
        <f t="shared" si="16"/>
        <v>068 Sync Ld Mono HARD LEAD</v>
      </c>
      <c r="O69" t="str">
        <f t="shared" si="17"/>
        <v>068 Sorry4theDLY PULSATING</v>
      </c>
      <c r="P69" t="str">
        <f t="shared" si="18"/>
        <v>068 Orgaenia OTHER SYNTH</v>
      </c>
      <c r="Q69" t="str">
        <f t="shared" si="19"/>
        <v>068 Uhmmm VOX</v>
      </c>
      <c r="R69" t="str">
        <f t="shared" si="11"/>
        <v>068</v>
      </c>
    </row>
    <row r="70" spans="1:18" x14ac:dyDescent="0.25">
      <c r="A70" s="23" t="s">
        <v>4699</v>
      </c>
      <c r="B70" s="27" t="s">
        <v>4827</v>
      </c>
      <c r="C70" s="23" t="s">
        <v>4955</v>
      </c>
      <c r="D70" s="23" t="s">
        <v>5083</v>
      </c>
      <c r="E70" s="23" t="s">
        <v>5211</v>
      </c>
      <c r="F70" s="23" t="s">
        <v>5339</v>
      </c>
      <c r="G70" s="23" t="s">
        <v>5468</v>
      </c>
      <c r="H70" s="23" t="s">
        <v>5597</v>
      </c>
      <c r="I70" s="23" t="str">
        <f t="shared" si="10"/>
        <v>69 INIT PATCH</v>
      </c>
      <c r="J70" t="str">
        <f t="shared" si="12"/>
        <v>069 SC Strobe PULSATING</v>
      </c>
      <c r="K70" t="str">
        <f t="shared" si="13"/>
        <v>069 EP Belle EL.PIANO</v>
      </c>
      <c r="L70" t="str">
        <f t="shared" si="14"/>
        <v>069 Ulti Ac Bass BASS</v>
      </c>
      <c r="M70" t="str">
        <f t="shared" si="15"/>
        <v>069 Vls PizzHall STRINGS</v>
      </c>
      <c r="N70" t="str">
        <f t="shared" si="16"/>
        <v>069 SyncModulate HARD LEAD</v>
      </c>
      <c r="O70" t="str">
        <f t="shared" si="17"/>
        <v>069 Beat Pad PULSATING</v>
      </c>
      <c r="P70" t="str">
        <f t="shared" si="18"/>
        <v>069 Sleeper OTHER SYNTH</v>
      </c>
      <c r="Q70" t="str">
        <f t="shared" si="19"/>
        <v>069 Morning Star VOX</v>
      </c>
      <c r="R70" t="str">
        <f t="shared" si="11"/>
        <v>069</v>
      </c>
    </row>
    <row r="71" spans="1:18" x14ac:dyDescent="0.25">
      <c r="A71" s="23" t="s">
        <v>4700</v>
      </c>
      <c r="B71" s="27" t="s">
        <v>4828</v>
      </c>
      <c r="C71" s="23" t="s">
        <v>4956</v>
      </c>
      <c r="D71" s="23" t="s">
        <v>5084</v>
      </c>
      <c r="E71" s="23" t="s">
        <v>5212</v>
      </c>
      <c r="F71" s="23" t="s">
        <v>5340</v>
      </c>
      <c r="G71" s="23" t="s">
        <v>5469</v>
      </c>
      <c r="H71" s="23" t="s">
        <v>5598</v>
      </c>
      <c r="I71" s="23" t="str">
        <f t="shared" si="10"/>
        <v>70 INIT PATCH</v>
      </c>
      <c r="J71" t="str">
        <f t="shared" si="12"/>
        <v>070 HPF Slicer PULSATING</v>
      </c>
      <c r="K71" t="str">
        <f t="shared" si="13"/>
        <v>070 80s EP EL.PIANO</v>
      </c>
      <c r="L71" t="str">
        <f t="shared" si="14"/>
        <v>070 Downright Bs BASS</v>
      </c>
      <c r="M71" t="str">
        <f t="shared" si="15"/>
        <v>070 Orch Pizz STRINGS</v>
      </c>
      <c r="N71" t="str">
        <f t="shared" si="16"/>
        <v>070 Distorted MG HARD LEAD</v>
      </c>
      <c r="O71" t="str">
        <f t="shared" si="17"/>
        <v>070 TMT Seq Pad PULSATING</v>
      </c>
      <c r="P71" t="str">
        <f t="shared" si="18"/>
        <v>070 Sugar Synth OTHER SYNTH</v>
      </c>
      <c r="Q71" t="str">
        <f t="shared" si="19"/>
        <v>070 Syn Opera VOX</v>
      </c>
      <c r="R71" t="str">
        <f t="shared" si="11"/>
        <v>070</v>
      </c>
    </row>
    <row r="72" spans="1:18" x14ac:dyDescent="0.25">
      <c r="A72" s="23" t="s">
        <v>4701</v>
      </c>
      <c r="B72" s="27" t="s">
        <v>4829</v>
      </c>
      <c r="C72" s="23" t="s">
        <v>4957</v>
      </c>
      <c r="D72" s="23" t="s">
        <v>5085</v>
      </c>
      <c r="E72" s="23" t="s">
        <v>5213</v>
      </c>
      <c r="F72" s="23" t="s">
        <v>5341</v>
      </c>
      <c r="G72" s="23" t="s">
        <v>5470</v>
      </c>
      <c r="H72" s="23" t="s">
        <v>5599</v>
      </c>
      <c r="I72" s="23" t="str">
        <f t="shared" si="10"/>
        <v>71 INIT PATCH</v>
      </c>
      <c r="J72" t="str">
        <f t="shared" si="12"/>
        <v>071 Choir Aahs 1 VOX</v>
      </c>
      <c r="K72" t="str">
        <f t="shared" si="13"/>
        <v>071 SA EPiano EL.PIANO</v>
      </c>
      <c r="L72" t="str">
        <f t="shared" si="14"/>
        <v>071 Cmp´d Fng Bs BASS</v>
      </c>
      <c r="M72" t="str">
        <f t="shared" si="15"/>
        <v>071 Pizz´Stac VS STRINGS</v>
      </c>
      <c r="N72" t="str">
        <f t="shared" si="16"/>
        <v>071 SonicVampire HARD LEAD</v>
      </c>
      <c r="O72" t="str">
        <f t="shared" si="17"/>
        <v>071 ForYourBreak PULSATING</v>
      </c>
      <c r="P72" t="str">
        <f t="shared" si="18"/>
        <v>071 Ice Palace OTHER SYNTH</v>
      </c>
      <c r="Q72" t="str">
        <f t="shared" si="19"/>
        <v>071 BeautifulOne VOX</v>
      </c>
      <c r="R72" t="str">
        <f t="shared" si="11"/>
        <v>071</v>
      </c>
    </row>
    <row r="73" spans="1:18" x14ac:dyDescent="0.25">
      <c r="A73" s="23" t="s">
        <v>4702</v>
      </c>
      <c r="B73" s="27" t="s">
        <v>4830</v>
      </c>
      <c r="C73" s="23" t="s">
        <v>4958</v>
      </c>
      <c r="D73" s="23" t="s">
        <v>5086</v>
      </c>
      <c r="E73" s="23" t="s">
        <v>5214</v>
      </c>
      <c r="F73" s="23" t="s">
        <v>5342</v>
      </c>
      <c r="G73" s="23" t="s">
        <v>5471</v>
      </c>
      <c r="H73" s="23" t="s">
        <v>5600</v>
      </c>
      <c r="I73" s="23" t="str">
        <f t="shared" si="10"/>
        <v>72 INIT PATCH</v>
      </c>
      <c r="J73" t="str">
        <f t="shared" si="12"/>
        <v>072 Choir Aahs 2 VOX</v>
      </c>
      <c r="K73" t="str">
        <f t="shared" si="13"/>
        <v>072 BrillClav DB KEYBOARDS</v>
      </c>
      <c r="L73" t="str">
        <f t="shared" si="14"/>
        <v>072 Sonic Fng Bs BASS</v>
      </c>
      <c r="M73" t="str">
        <f t="shared" si="15"/>
        <v>072 Mellow Tron STRINGS</v>
      </c>
      <c r="N73" t="str">
        <f t="shared" si="16"/>
        <v>072 Blue Meanie HARD LEAD</v>
      </c>
      <c r="O73" t="str">
        <f t="shared" si="17"/>
        <v>072 HPF Slicer PULSATING</v>
      </c>
      <c r="P73" t="str">
        <f t="shared" si="18"/>
        <v>072 Story Harp OTHER SYNTH</v>
      </c>
      <c r="Q73" t="str">
        <f t="shared" si="19"/>
        <v>072 Ooze VOX</v>
      </c>
      <c r="R73" t="str">
        <f t="shared" si="11"/>
        <v>072</v>
      </c>
    </row>
    <row r="74" spans="1:18" x14ac:dyDescent="0.25">
      <c r="A74" s="23" t="s">
        <v>4703</v>
      </c>
      <c r="B74" s="27" t="s">
        <v>4831</v>
      </c>
      <c r="C74" s="23" t="s">
        <v>4959</v>
      </c>
      <c r="D74" s="23" t="s">
        <v>5087</v>
      </c>
      <c r="E74" s="23" t="s">
        <v>5215</v>
      </c>
      <c r="F74" s="23" t="s">
        <v>5343</v>
      </c>
      <c r="G74" s="23" t="s">
        <v>5472</v>
      </c>
      <c r="H74" s="23" t="s">
        <v>5601</v>
      </c>
      <c r="I74" s="23" t="str">
        <f t="shared" si="10"/>
        <v>73 INIT PATCH</v>
      </c>
      <c r="J74" t="str">
        <f t="shared" si="12"/>
        <v>073 Angels Choir VOX</v>
      </c>
      <c r="K74" t="str">
        <f t="shared" si="13"/>
        <v>073 Cell Clav KEYBOARDS</v>
      </c>
      <c r="L74" t="str">
        <f t="shared" si="14"/>
        <v>073 Ultimo Bass BASS</v>
      </c>
      <c r="M74" t="str">
        <f t="shared" si="15"/>
        <v>073 Tronic Str STRINGS</v>
      </c>
      <c r="N74" t="str">
        <f t="shared" si="16"/>
        <v>073 SC Dist Lead HARD LEAD</v>
      </c>
      <c r="O74" t="str">
        <f t="shared" si="17"/>
        <v>073 Sliced Choir PULSATING</v>
      </c>
      <c r="P74" t="str">
        <f t="shared" si="18"/>
        <v>073 LostParadise OTHER SYNTH</v>
      </c>
      <c r="Q74" t="str">
        <f t="shared" si="19"/>
        <v>073 Aerial Choir VOX</v>
      </c>
      <c r="R74" t="str">
        <f t="shared" si="11"/>
        <v>073</v>
      </c>
    </row>
    <row r="75" spans="1:18" x14ac:dyDescent="0.25">
      <c r="A75" s="23" t="s">
        <v>4704</v>
      </c>
      <c r="B75" s="27" t="s">
        <v>4832</v>
      </c>
      <c r="C75" s="23" t="s">
        <v>4960</v>
      </c>
      <c r="D75" s="23" t="s">
        <v>5088</v>
      </c>
      <c r="E75" s="23" t="s">
        <v>5216</v>
      </c>
      <c r="F75" s="23" t="s">
        <v>5344</v>
      </c>
      <c r="G75" s="23" t="s">
        <v>5473</v>
      </c>
      <c r="H75" s="23" t="s">
        <v>5602</v>
      </c>
      <c r="I75" s="23" t="str">
        <f t="shared" si="10"/>
        <v>74 INIT PATCH</v>
      </c>
      <c r="J75" t="str">
        <f t="shared" si="12"/>
        <v>074 Syn Opera VOX</v>
      </c>
      <c r="K75" t="str">
        <f t="shared" si="13"/>
        <v>074 VntgClav KEYBOARDS</v>
      </c>
      <c r="L75" t="str">
        <f t="shared" si="14"/>
        <v>074 Roomy Bass BASS</v>
      </c>
      <c r="M75" t="str">
        <f t="shared" si="15"/>
        <v>074 Tape Memory STRINGS</v>
      </c>
      <c r="N75" t="str">
        <f t="shared" si="16"/>
        <v>074 Ringmod Lead HARD LEAD</v>
      </c>
      <c r="O75" t="str">
        <f t="shared" si="17"/>
        <v>074 Digi-Doo PULSATING</v>
      </c>
      <c r="P75" t="str">
        <f t="shared" si="18"/>
        <v>074 Magnetic 5th OTHER SYNTH</v>
      </c>
      <c r="Q75" t="str">
        <f t="shared" si="19"/>
        <v>074 3D Vox VOX</v>
      </c>
      <c r="R75" t="str">
        <f t="shared" si="11"/>
        <v>074</v>
      </c>
    </row>
    <row r="76" spans="1:18" x14ac:dyDescent="0.25">
      <c r="A76" s="23" t="s">
        <v>4705</v>
      </c>
      <c r="B76" s="27" t="s">
        <v>4833</v>
      </c>
      <c r="C76" s="23" t="s">
        <v>4961</v>
      </c>
      <c r="D76" s="23" t="s">
        <v>5089</v>
      </c>
      <c r="E76" s="23" t="s">
        <v>5217</v>
      </c>
      <c r="F76" s="23" t="s">
        <v>5345</v>
      </c>
      <c r="G76" s="23" t="s">
        <v>5474</v>
      </c>
      <c r="H76" s="23" t="s">
        <v>5603</v>
      </c>
      <c r="I76" s="23" t="str">
        <f t="shared" si="10"/>
        <v>75 INIT PATCH</v>
      </c>
      <c r="J76" t="str">
        <f t="shared" si="12"/>
        <v>075 Choir&amp;Str VOX</v>
      </c>
      <c r="K76" t="str">
        <f t="shared" si="13"/>
        <v>075 Cutter Clavi KEYBOARDS</v>
      </c>
      <c r="L76" t="str">
        <f t="shared" si="14"/>
        <v>075 FingerMaster BASS</v>
      </c>
      <c r="M76" t="str">
        <f t="shared" si="15"/>
        <v>075 Wind &amp; Str 1 ORCHESTRA</v>
      </c>
      <c r="N76" t="str">
        <f t="shared" si="16"/>
        <v>075 Stimulation HARD LEAD</v>
      </c>
      <c r="O76" t="str">
        <f t="shared" si="17"/>
        <v>075 PanningFrmnt PULSATING</v>
      </c>
      <c r="P76" t="str">
        <f t="shared" si="18"/>
        <v>075 DigimaX OTHER SYNTH</v>
      </c>
      <c r="Q76" t="str">
        <f t="shared" si="19"/>
        <v>075 Film Cue VOX</v>
      </c>
      <c r="R76" t="str">
        <f t="shared" si="11"/>
        <v>075</v>
      </c>
    </row>
    <row r="77" spans="1:18" x14ac:dyDescent="0.25">
      <c r="A77" s="23" t="s">
        <v>4706</v>
      </c>
      <c r="B77" s="27" t="s">
        <v>4834</v>
      </c>
      <c r="C77" s="23" t="s">
        <v>4962</v>
      </c>
      <c r="D77" s="23" t="s">
        <v>5090</v>
      </c>
      <c r="E77" s="23" t="s">
        <v>5218</v>
      </c>
      <c r="F77" s="23" t="s">
        <v>5346</v>
      </c>
      <c r="G77" s="23" t="s">
        <v>5475</v>
      </c>
      <c r="H77" s="23" t="s">
        <v>5604</v>
      </c>
      <c r="I77" s="23" t="str">
        <f t="shared" si="10"/>
        <v>76 INIT PATCH</v>
      </c>
      <c r="J77" t="str">
        <f t="shared" si="12"/>
        <v>076 Terra Nostra SOFT PAD</v>
      </c>
      <c r="K77" t="str">
        <f t="shared" si="13"/>
        <v>076 Funky D KEYBOARDS</v>
      </c>
      <c r="L77" t="str">
        <f t="shared" si="14"/>
        <v>076 All Round Bs BASS</v>
      </c>
      <c r="M77" t="str">
        <f t="shared" si="15"/>
        <v>076 Wind &amp; Str 2 ORCHESTRA</v>
      </c>
      <c r="N77" t="str">
        <f t="shared" si="16"/>
        <v>076 BodyElectric HARD LEAD</v>
      </c>
      <c r="O77" t="str">
        <f t="shared" si="17"/>
        <v>076 Dirty Beat PULSATING</v>
      </c>
      <c r="P77" t="str">
        <f t="shared" si="18"/>
        <v>076 Exhale OTHER SYNTH</v>
      </c>
      <c r="Q77" t="str">
        <f t="shared" si="19"/>
        <v>076 Paradise VOX</v>
      </c>
      <c r="R77" t="str">
        <f t="shared" si="11"/>
        <v>076</v>
      </c>
    </row>
    <row r="78" spans="1:18" x14ac:dyDescent="0.25">
      <c r="A78" s="23" t="s">
        <v>4707</v>
      </c>
      <c r="B78" s="27" t="s">
        <v>4835</v>
      </c>
      <c r="C78" s="23" t="s">
        <v>4963</v>
      </c>
      <c r="D78" s="23" t="s">
        <v>5091</v>
      </c>
      <c r="E78" s="23" t="s">
        <v>5219</v>
      </c>
      <c r="F78" s="23" t="s">
        <v>5347</v>
      </c>
      <c r="G78" s="23" t="s">
        <v>5476</v>
      </c>
      <c r="H78" s="23" t="s">
        <v>5605</v>
      </c>
      <c r="I78" s="23" t="str">
        <f t="shared" si="10"/>
        <v>77 INIT PATCH</v>
      </c>
      <c r="J78" t="str">
        <f t="shared" si="12"/>
        <v>077 Aah Vox VOX</v>
      </c>
      <c r="K78" t="str">
        <f t="shared" si="13"/>
        <v>077 Phase Clavi KEYBOARDS</v>
      </c>
      <c r="L78" t="str">
        <f t="shared" si="14"/>
        <v>077 R&amp;B Bs/Slide BASS</v>
      </c>
      <c r="M78" t="str">
        <f t="shared" si="15"/>
        <v>077 Farewell ORCHESTRA</v>
      </c>
      <c r="N78" t="str">
        <f t="shared" si="16"/>
        <v>077 Classic Lead HARD LEAD</v>
      </c>
      <c r="O78" t="str">
        <f t="shared" si="17"/>
        <v>077 Electrons PULSATING</v>
      </c>
      <c r="P78" t="str">
        <f t="shared" si="18"/>
        <v>077 X-panda OTHER SYNTH</v>
      </c>
      <c r="Q78" t="str">
        <f t="shared" si="19"/>
        <v>077 Sad ceremony VOX</v>
      </c>
      <c r="R78" t="str">
        <f t="shared" si="11"/>
        <v>077</v>
      </c>
    </row>
    <row r="79" spans="1:18" x14ac:dyDescent="0.25">
      <c r="A79" s="23" t="s">
        <v>4708</v>
      </c>
      <c r="B79" s="27" t="s">
        <v>4836</v>
      </c>
      <c r="C79" s="23" t="s">
        <v>4964</v>
      </c>
      <c r="D79" s="23" t="s">
        <v>5092</v>
      </c>
      <c r="E79" s="23" t="s">
        <v>5220</v>
      </c>
      <c r="F79" s="23" t="s">
        <v>5348</v>
      </c>
      <c r="G79" s="23" t="s">
        <v>5477</v>
      </c>
      <c r="H79" s="23" t="s">
        <v>5606</v>
      </c>
      <c r="I79" s="23" t="str">
        <f t="shared" si="10"/>
        <v>78 INIT PATCH</v>
      </c>
      <c r="J79" t="str">
        <f t="shared" si="12"/>
        <v>078 Cell SquLead SOFT LEAD</v>
      </c>
      <c r="K79" t="str">
        <f t="shared" si="13"/>
        <v>078 BPF Clavi Ph KEYBOARDS</v>
      </c>
      <c r="L79" t="str">
        <f t="shared" si="14"/>
        <v>078 Sonic Pck Bs BASS</v>
      </c>
      <c r="M79" t="str">
        <f t="shared" si="15"/>
        <v>078 Orch &amp; Horns ORCHESTRA</v>
      </c>
      <c r="N79" t="str">
        <f t="shared" si="16"/>
        <v>078 Feat Lead HARD LEAD</v>
      </c>
      <c r="O79" t="str">
        <f t="shared" si="17"/>
        <v>078 Protons PULSATING</v>
      </c>
      <c r="P79" t="str">
        <f t="shared" si="18"/>
        <v>078 Saw Keystep OTHER SYNTH</v>
      </c>
      <c r="Q79" t="str">
        <f t="shared" si="19"/>
        <v>078 Lost Voices VOX</v>
      </c>
      <c r="R79" t="str">
        <f t="shared" si="11"/>
        <v>078</v>
      </c>
    </row>
    <row r="80" spans="1:18" x14ac:dyDescent="0.25">
      <c r="A80" s="23" t="s">
        <v>4709</v>
      </c>
      <c r="B80" s="27" t="s">
        <v>4837</v>
      </c>
      <c r="C80" s="23" t="s">
        <v>4965</v>
      </c>
      <c r="D80" s="23" t="s">
        <v>5093</v>
      </c>
      <c r="E80" s="23" t="s">
        <v>5221</v>
      </c>
      <c r="F80" s="23" t="s">
        <v>5349</v>
      </c>
      <c r="G80" s="23" t="s">
        <v>5478</v>
      </c>
      <c r="H80" s="23" t="s">
        <v>5607</v>
      </c>
      <c r="I80" s="23" t="str">
        <f t="shared" si="10"/>
        <v>79 INIT PATCH</v>
      </c>
      <c r="J80" t="str">
        <f t="shared" si="12"/>
        <v>079 Howards Lead SOFT LEAD</v>
      </c>
      <c r="K80" t="str">
        <f t="shared" si="13"/>
        <v>079 Pulse Clavi KEYBOARDS</v>
      </c>
      <c r="L80" t="str">
        <f t="shared" si="14"/>
        <v>079 Thumb Up! BASS</v>
      </c>
      <c r="M80" t="str">
        <f t="shared" si="15"/>
        <v>079 Soft Orch 1 ORCHESTRA</v>
      </c>
      <c r="N80" t="str">
        <f t="shared" si="16"/>
        <v>079 Wire Sync HARD LEAD</v>
      </c>
      <c r="O80" t="str">
        <f t="shared" si="17"/>
        <v>079 Brisk Vortex PULSATING</v>
      </c>
      <c r="P80" t="str">
        <f t="shared" si="18"/>
        <v>079 4mant Cycle OTHER SYNTH</v>
      </c>
      <c r="Q80" t="str">
        <f t="shared" si="19"/>
        <v>079 Jazz Doos VOX</v>
      </c>
      <c r="R80" t="str">
        <f t="shared" si="11"/>
        <v>079</v>
      </c>
    </row>
    <row r="81" spans="1:18" x14ac:dyDescent="0.25">
      <c r="A81" s="23" t="s">
        <v>4710</v>
      </c>
      <c r="B81" s="27" t="s">
        <v>4838</v>
      </c>
      <c r="C81" s="23" t="s">
        <v>4966</v>
      </c>
      <c r="D81" s="23" t="s">
        <v>5094</v>
      </c>
      <c r="E81" s="23" t="s">
        <v>5222</v>
      </c>
      <c r="F81" s="23" t="s">
        <v>5350</v>
      </c>
      <c r="G81" s="23" t="s">
        <v>5479</v>
      </c>
      <c r="H81" s="23" t="s">
        <v>5608</v>
      </c>
      <c r="I81" s="23" t="str">
        <f t="shared" si="10"/>
        <v>80 INIT PATCH</v>
      </c>
      <c r="J81" t="str">
        <f t="shared" si="12"/>
        <v>080 Windy Synth SOFT LEAD</v>
      </c>
      <c r="K81" t="str">
        <f t="shared" si="13"/>
        <v>080 PWM Clav KEYBOARDS</v>
      </c>
      <c r="L81" t="str">
        <f t="shared" si="14"/>
        <v>080 Tubby Mute BASS</v>
      </c>
      <c r="M81" t="str">
        <f t="shared" si="15"/>
        <v>080 Soft Orch 2 ORCHESTRA</v>
      </c>
      <c r="N81" t="str">
        <f t="shared" si="16"/>
        <v>080 Epic Lead HARD LEAD</v>
      </c>
      <c r="O81" t="str">
        <f t="shared" si="17"/>
        <v>080 SC Throbulax PULSATING</v>
      </c>
      <c r="P81" t="str">
        <f t="shared" si="18"/>
        <v>080 Modular OTHER SYNTH</v>
      </c>
      <c r="Q81" t="str">
        <f t="shared" si="19"/>
        <v>080 Beat Vox VOX</v>
      </c>
      <c r="R81" t="str">
        <f t="shared" si="11"/>
        <v>080</v>
      </c>
    </row>
    <row r="82" spans="1:18" x14ac:dyDescent="0.25">
      <c r="A82" s="23" t="s">
        <v>4711</v>
      </c>
      <c r="B82" s="27" t="s">
        <v>4839</v>
      </c>
      <c r="C82" s="23" t="s">
        <v>4967</v>
      </c>
      <c r="D82" s="23" t="s">
        <v>5095</v>
      </c>
      <c r="E82" s="23" t="s">
        <v>5223</v>
      </c>
      <c r="F82" s="23" t="s">
        <v>5351</v>
      </c>
      <c r="G82" s="23" t="s">
        <v>5480</v>
      </c>
      <c r="H82" s="23" t="s">
        <v>5609</v>
      </c>
      <c r="I82" s="23" t="str">
        <f t="shared" si="10"/>
        <v>81 INIT PATCH</v>
      </c>
      <c r="J82" t="str">
        <f t="shared" si="12"/>
        <v>081 Sinetific SOFT LEAD</v>
      </c>
      <c r="K82" t="str">
        <f t="shared" si="13"/>
        <v>081 Funky Line KEYBOARDS</v>
      </c>
      <c r="L82" t="str">
        <f t="shared" si="14"/>
        <v>081 Chicken Bass BASS</v>
      </c>
      <c r="M82" t="str">
        <f t="shared" si="15"/>
        <v>081 Henry IX ORCHESTRA</v>
      </c>
      <c r="N82" t="str">
        <f t="shared" si="16"/>
        <v>081 Bag Lead HARD LEAD</v>
      </c>
      <c r="O82" t="str">
        <f t="shared" si="17"/>
        <v>081 SC Lonizer PULSATING</v>
      </c>
      <c r="P82" t="str">
        <f t="shared" si="18"/>
        <v>081 Angel Pipes OTHER SYNTH</v>
      </c>
      <c r="Q82" t="str">
        <f t="shared" si="19"/>
        <v>081 Talk 2 Me VOX</v>
      </c>
      <c r="R82" t="str">
        <f t="shared" si="11"/>
        <v>081</v>
      </c>
    </row>
    <row r="83" spans="1:18" x14ac:dyDescent="0.25">
      <c r="A83" s="23" t="s">
        <v>4712</v>
      </c>
      <c r="B83" s="27" t="s">
        <v>4840</v>
      </c>
      <c r="C83" s="23" t="s">
        <v>4968</v>
      </c>
      <c r="D83" s="23" t="s">
        <v>5096</v>
      </c>
      <c r="E83" s="23" t="s">
        <v>5224</v>
      </c>
      <c r="F83" s="23" t="s">
        <v>5352</v>
      </c>
      <c r="G83" s="23" t="s">
        <v>5481</v>
      </c>
      <c r="H83" s="23" t="s">
        <v>5610</v>
      </c>
      <c r="I83" s="23" t="str">
        <f t="shared" si="10"/>
        <v>82 INIT PATCH</v>
      </c>
      <c r="J83" t="str">
        <f t="shared" si="12"/>
        <v>082 SoloNzPeaker SOFT LEAD</v>
      </c>
      <c r="K83" t="str">
        <f t="shared" si="13"/>
        <v>082 Biting Clav KEYBOARDS</v>
      </c>
      <c r="L83" t="str">
        <f t="shared" si="14"/>
        <v>082 Snug Bass BASS</v>
      </c>
      <c r="M83" t="str">
        <f t="shared" si="15"/>
        <v>082 Ending Scene ORCHESTRA</v>
      </c>
      <c r="N83" t="str">
        <f t="shared" si="16"/>
        <v>082 Wezcoast HARD LEAD</v>
      </c>
      <c r="O83" t="str">
        <f t="shared" si="17"/>
        <v>082 diGital Pad PULSATING</v>
      </c>
      <c r="P83" t="str">
        <f t="shared" si="18"/>
        <v>082 Wired Synth OTHER SYNTH</v>
      </c>
      <c r="Q83" t="str">
        <f t="shared" si="19"/>
        <v>082 FM Vox VOX</v>
      </c>
      <c r="R83" t="str">
        <f t="shared" si="11"/>
        <v>082</v>
      </c>
    </row>
    <row r="84" spans="1:18" x14ac:dyDescent="0.25">
      <c r="A84" s="23" t="s">
        <v>4713</v>
      </c>
      <c r="B84" s="27" t="s">
        <v>4841</v>
      </c>
      <c r="C84" s="23" t="s">
        <v>4969</v>
      </c>
      <c r="D84" s="23" t="s">
        <v>5097</v>
      </c>
      <c r="E84" s="23" t="s">
        <v>5225</v>
      </c>
      <c r="F84" s="23" t="s">
        <v>5353</v>
      </c>
      <c r="G84" s="23" t="s">
        <v>5482</v>
      </c>
      <c r="H84" s="23" t="s">
        <v>5611</v>
      </c>
      <c r="I84" s="23" t="str">
        <f t="shared" si="10"/>
        <v>83 INIT PATCH</v>
      </c>
      <c r="J84" t="str">
        <f t="shared" si="12"/>
        <v>083 Juno SftLd SOFT LEAD</v>
      </c>
      <c r="K84" t="str">
        <f t="shared" si="13"/>
        <v>083 Analog Clavi KEYBOARDS</v>
      </c>
      <c r="L84" t="str">
        <f t="shared" si="14"/>
        <v>083 Return2Base! BASS</v>
      </c>
      <c r="M84" t="str">
        <f t="shared" si="15"/>
        <v>083 Symphonika ORCHESTRA</v>
      </c>
      <c r="N84" t="str">
        <f t="shared" si="16"/>
        <v>083 HyperJupiter HARD LEAD</v>
      </c>
      <c r="O84" t="str">
        <f t="shared" si="17"/>
        <v>083 StepPitShift PULSATING</v>
      </c>
      <c r="P84" t="str">
        <f t="shared" si="18"/>
        <v>083 Analog Dream OTHER SYNTH</v>
      </c>
      <c r="Q84" t="str">
        <f t="shared" si="19"/>
        <v>083 Let´s Talk! VOX</v>
      </c>
      <c r="R84" t="str">
        <f t="shared" si="11"/>
        <v>083</v>
      </c>
    </row>
    <row r="85" spans="1:18" x14ac:dyDescent="0.25">
      <c r="A85" s="23" t="s">
        <v>4714</v>
      </c>
      <c r="B85" s="27" t="s">
        <v>4842</v>
      </c>
      <c r="C85" s="23" t="s">
        <v>4970</v>
      </c>
      <c r="D85" s="23" t="s">
        <v>5098</v>
      </c>
      <c r="E85" s="23" t="s">
        <v>5226</v>
      </c>
      <c r="F85" s="23" t="s">
        <v>5354</v>
      </c>
      <c r="G85" s="23" t="s">
        <v>5483</v>
      </c>
      <c r="H85" s="23" t="s">
        <v>5612</v>
      </c>
      <c r="I85" s="23" t="str">
        <f t="shared" si="10"/>
        <v>84 INIT PATCH</v>
      </c>
      <c r="J85" t="str">
        <f t="shared" si="12"/>
        <v>084 R&amp;B TriLead SOFT LEAD</v>
      </c>
      <c r="K85" t="str">
        <f t="shared" si="13"/>
        <v>084 Reso Clavi KEYBOARDS</v>
      </c>
      <c r="L85" t="str">
        <f t="shared" si="14"/>
        <v>084 Chorus Bass BASS</v>
      </c>
      <c r="M85" t="str">
        <f t="shared" si="15"/>
        <v>084 Mix Hit 2 HIT&amp;STAB</v>
      </c>
      <c r="N85" t="str">
        <f t="shared" si="16"/>
        <v>084 Vintagolizer HARD LEAD</v>
      </c>
      <c r="O85" t="str">
        <f t="shared" si="17"/>
        <v>084 Pad Pulses PULSATING</v>
      </c>
      <c r="P85" t="str">
        <f t="shared" si="18"/>
        <v>084 DCO Bell Pad OTHER SYNTH</v>
      </c>
      <c r="Q85" t="str">
        <f t="shared" si="19"/>
        <v>084 Nice Kalimba PLUCKED</v>
      </c>
      <c r="R85" t="str">
        <f t="shared" si="11"/>
        <v>084</v>
      </c>
    </row>
    <row r="86" spans="1:18" x14ac:dyDescent="0.25">
      <c r="A86" s="23" t="s">
        <v>4715</v>
      </c>
      <c r="B86" s="27" t="s">
        <v>4843</v>
      </c>
      <c r="C86" s="23" t="s">
        <v>4971</v>
      </c>
      <c r="D86" s="23" t="s">
        <v>5099</v>
      </c>
      <c r="E86" s="23" t="s">
        <v>5227</v>
      </c>
      <c r="F86" s="23" t="s">
        <v>5355</v>
      </c>
      <c r="G86" s="23" t="s">
        <v>5484</v>
      </c>
      <c r="H86" s="23" t="s">
        <v>5613</v>
      </c>
      <c r="I86" s="23" t="str">
        <f t="shared" si="10"/>
        <v>85 INIT PATCH</v>
      </c>
      <c r="J86" t="str">
        <f t="shared" si="12"/>
        <v>085 X-Pulse Lead SOFT LEAD</v>
      </c>
      <c r="K86" t="str">
        <f t="shared" si="13"/>
        <v>085 Snappy Clav KEYBOARDS</v>
      </c>
      <c r="L86" t="str">
        <f t="shared" si="14"/>
        <v>085 A Big Pick BASS</v>
      </c>
      <c r="M86" t="str">
        <f t="shared" si="15"/>
        <v>085 Cheezy Movie HIT&amp;STAB</v>
      </c>
      <c r="N86" t="str">
        <f t="shared" si="16"/>
        <v>085 C64 Lead HARD LEAD</v>
      </c>
      <c r="O86" t="str">
        <f t="shared" si="17"/>
        <v>085 Seq-Pad 2 PULSATING</v>
      </c>
      <c r="P86" t="str">
        <f t="shared" si="18"/>
        <v>085 Cell Fanta OTHER SYNTH</v>
      </c>
      <c r="Q86" t="str">
        <f t="shared" si="19"/>
        <v>085 Quiet River PLUCKED</v>
      </c>
      <c r="R86" t="str">
        <f t="shared" si="11"/>
        <v>085</v>
      </c>
    </row>
    <row r="87" spans="1:18" x14ac:dyDescent="0.25">
      <c r="A87" s="23" t="s">
        <v>4716</v>
      </c>
      <c r="B87" s="27" t="s">
        <v>4844</v>
      </c>
      <c r="C87" s="23" t="s">
        <v>4972</v>
      </c>
      <c r="D87" s="23" t="s">
        <v>5100</v>
      </c>
      <c r="E87" s="23" t="s">
        <v>5228</v>
      </c>
      <c r="F87" s="23" t="s">
        <v>5356</v>
      </c>
      <c r="G87" s="23" t="s">
        <v>5485</v>
      </c>
      <c r="H87" s="23" t="s">
        <v>5614</v>
      </c>
      <c r="I87" s="23" t="str">
        <f t="shared" si="10"/>
        <v>86 INIT PATCH</v>
      </c>
      <c r="J87" t="str">
        <f t="shared" si="12"/>
        <v>086 Theramax SOFT LEAD</v>
      </c>
      <c r="K87" t="str">
        <f t="shared" si="13"/>
        <v>086 Over-D6 KEYBOARDS</v>
      </c>
      <c r="L87" t="str">
        <f t="shared" si="14"/>
        <v>086 Basement BASS</v>
      </c>
      <c r="M87" t="str">
        <f t="shared" si="15"/>
        <v>086 Philly Hit HIT&amp;STAB</v>
      </c>
      <c r="N87" t="str">
        <f t="shared" si="16"/>
        <v>086 303 NRG HARD LEAD</v>
      </c>
      <c r="O87" t="str">
        <f t="shared" si="17"/>
        <v>086 DSP Chaos PULSATING</v>
      </c>
      <c r="P87" t="str">
        <f t="shared" si="18"/>
        <v>086 Juno 5th OTHER SYNTH</v>
      </c>
      <c r="Q87" t="str">
        <f t="shared" si="19"/>
        <v>086 Teky Drop PLUCKED</v>
      </c>
      <c r="R87" t="str">
        <f t="shared" si="11"/>
        <v>086</v>
      </c>
    </row>
    <row r="88" spans="1:18" x14ac:dyDescent="0.25">
      <c r="A88" s="23" t="s">
        <v>4717</v>
      </c>
      <c r="B88" s="27" t="s">
        <v>4845</v>
      </c>
      <c r="C88" s="23" t="s">
        <v>4973</v>
      </c>
      <c r="D88" s="23" t="s">
        <v>5101</v>
      </c>
      <c r="E88" s="23" t="s">
        <v>5229</v>
      </c>
      <c r="F88" s="23" t="s">
        <v>5357</v>
      </c>
      <c r="G88" s="23" t="s">
        <v>5486</v>
      </c>
      <c r="H88" s="23" t="s">
        <v>5615</v>
      </c>
      <c r="I88" s="23" t="str">
        <f t="shared" si="10"/>
        <v>87 INIT PATCH</v>
      </c>
      <c r="J88" t="str">
        <f t="shared" si="12"/>
        <v>087 GR Lead SOFT LEAD</v>
      </c>
      <c r="K88" t="str">
        <f t="shared" si="13"/>
        <v>087 Harpsy Clavi KEYBOARDS</v>
      </c>
      <c r="L88" t="str">
        <f t="shared" si="14"/>
        <v>087 SC Fretnot 1 BASS</v>
      </c>
      <c r="M88" t="str">
        <f t="shared" si="15"/>
        <v>087 Smear Hit 1 HIT&amp;STAB</v>
      </c>
      <c r="N88" t="str">
        <f t="shared" si="16"/>
        <v>087 Cell SquLead SOFT LEAD</v>
      </c>
      <c r="O88" t="str">
        <f t="shared" si="17"/>
        <v>087 Dancefloor PULSATING</v>
      </c>
      <c r="P88" t="str">
        <f t="shared" si="18"/>
        <v>087 DoubleBubble OTHER SYNTH</v>
      </c>
      <c r="Q88" t="str">
        <f t="shared" si="19"/>
        <v>087 Pat is away PLUCKED</v>
      </c>
      <c r="R88" t="str">
        <f t="shared" si="11"/>
        <v>087</v>
      </c>
    </row>
    <row r="89" spans="1:18" x14ac:dyDescent="0.25">
      <c r="A89" s="23" t="s">
        <v>4718</v>
      </c>
      <c r="B89" s="27" t="s">
        <v>4846</v>
      </c>
      <c r="C89" s="23" t="s">
        <v>4974</v>
      </c>
      <c r="D89" s="23" t="s">
        <v>5102</v>
      </c>
      <c r="E89" s="23" t="s">
        <v>5230</v>
      </c>
      <c r="F89" s="23" t="s">
        <v>5358</v>
      </c>
      <c r="G89" s="23" t="s">
        <v>5487</v>
      </c>
      <c r="H89" s="23" t="s">
        <v>5616</v>
      </c>
      <c r="I89" s="23" t="str">
        <f t="shared" si="10"/>
        <v>88 INIT PATCH</v>
      </c>
      <c r="J89" t="str">
        <f t="shared" si="12"/>
        <v>088 Chubby Lead SOFT LEAD</v>
      </c>
      <c r="K89" t="str">
        <f t="shared" si="13"/>
        <v>088 SC Harpsi KEYBOARDS</v>
      </c>
      <c r="L89" t="str">
        <f t="shared" si="14"/>
        <v>088 SC Fretnot 2 BASS</v>
      </c>
      <c r="M89" t="str">
        <f t="shared" si="15"/>
        <v>088 Smear Hit 2 HIT&amp;STAB</v>
      </c>
      <c r="N89" t="str">
        <f t="shared" si="16"/>
        <v>088 SC Sqr Lead SOFT LEAD</v>
      </c>
      <c r="O89" t="str">
        <f t="shared" si="17"/>
        <v>088 Minor Thirds PULSATING</v>
      </c>
      <c r="P89" t="str">
        <f t="shared" si="18"/>
        <v>088 Cell Comb BRIGHT PAD</v>
      </c>
      <c r="Q89" t="str">
        <f t="shared" si="19"/>
        <v>088 SC Sitar 1 PLUCKED</v>
      </c>
      <c r="R89" t="str">
        <f t="shared" si="11"/>
        <v>088</v>
      </c>
    </row>
    <row r="90" spans="1:18" x14ac:dyDescent="0.25">
      <c r="A90" s="23" t="s">
        <v>4719</v>
      </c>
      <c r="B90" s="27" t="s">
        <v>4847</v>
      </c>
      <c r="C90" s="23" t="s">
        <v>4975</v>
      </c>
      <c r="D90" s="23" t="s">
        <v>5103</v>
      </c>
      <c r="E90" s="23" t="s">
        <v>5231</v>
      </c>
      <c r="F90" s="23" t="s">
        <v>5359</v>
      </c>
      <c r="G90" s="23" t="s">
        <v>5488</v>
      </c>
      <c r="H90" s="23" t="s">
        <v>5617</v>
      </c>
      <c r="I90" s="23" t="str">
        <f t="shared" si="10"/>
        <v>89 INIT PATCH</v>
      </c>
      <c r="J90" t="str">
        <f t="shared" si="12"/>
        <v>089 Shaku Lead SOFT LEAD</v>
      </c>
      <c r="K90" t="str">
        <f t="shared" si="13"/>
        <v>089 Amadeus KEYBOARDS</v>
      </c>
      <c r="L90" t="str">
        <f t="shared" si="14"/>
        <v>089 RichFretless BASS</v>
      </c>
      <c r="M90" t="str">
        <f t="shared" si="15"/>
        <v>089 Good Old Hit HIT&amp;STAB</v>
      </c>
      <c r="N90" t="str">
        <f t="shared" si="16"/>
        <v>089 SH Sqr Lead SOFT LEAD</v>
      </c>
      <c r="O90" t="str">
        <f t="shared" si="17"/>
        <v>089 FX World PULSATING</v>
      </c>
      <c r="P90" t="str">
        <f t="shared" si="18"/>
        <v>089 Super SynStr BRIGHT PAD</v>
      </c>
      <c r="Q90" t="str">
        <f t="shared" si="19"/>
        <v>089 SC Sitar 2 PLUCKED</v>
      </c>
      <c r="R90" t="str">
        <f t="shared" si="11"/>
        <v>089</v>
      </c>
    </row>
    <row r="91" spans="1:18" x14ac:dyDescent="0.25">
      <c r="A91" s="23" t="s">
        <v>4720</v>
      </c>
      <c r="B91" s="27" t="s">
        <v>4848</v>
      </c>
      <c r="C91" s="23" t="s">
        <v>4976</v>
      </c>
      <c r="D91" s="23" t="s">
        <v>5104</v>
      </c>
      <c r="E91" s="23" t="s">
        <v>5232</v>
      </c>
      <c r="F91" s="23" t="s">
        <v>5360</v>
      </c>
      <c r="G91" s="23" t="s">
        <v>5489</v>
      </c>
      <c r="H91" s="23" t="s">
        <v>5618</v>
      </c>
      <c r="I91" s="23" t="str">
        <f t="shared" si="10"/>
        <v>90 INIT PATCH</v>
      </c>
      <c r="J91" t="str">
        <f t="shared" si="12"/>
        <v>090 Porta SoloLd HARD LEAD</v>
      </c>
      <c r="K91" t="str">
        <f t="shared" si="13"/>
        <v>090 SC Celesta KEYBOARDS</v>
      </c>
      <c r="L91" t="str">
        <f t="shared" si="14"/>
        <v>090 NewAge Frtls BASS</v>
      </c>
      <c r="M91" t="str">
        <f t="shared" si="15"/>
        <v>090 Mix Hit 1 HIT&amp;STAB</v>
      </c>
      <c r="N91" t="str">
        <f t="shared" si="16"/>
        <v>090 Round SQR SOFT LEAD</v>
      </c>
      <c r="O91" t="str">
        <f t="shared" si="17"/>
        <v>090 Mr. Fourier PULSATING</v>
      </c>
      <c r="P91" t="str">
        <f t="shared" si="18"/>
        <v>090 80s Str BRIGHT PAD</v>
      </c>
      <c r="Q91" t="str">
        <f t="shared" si="19"/>
        <v>090 Sitar on C PLUCKED</v>
      </c>
      <c r="R91" t="str">
        <f t="shared" si="11"/>
        <v>090</v>
      </c>
    </row>
    <row r="92" spans="1:18" x14ac:dyDescent="0.25">
      <c r="A92" s="23" t="s">
        <v>4721</v>
      </c>
      <c r="B92" s="27" t="s">
        <v>4849</v>
      </c>
      <c r="C92" s="23" t="s">
        <v>4977</v>
      </c>
      <c r="D92" s="23" t="s">
        <v>5105</v>
      </c>
      <c r="E92" s="23" t="s">
        <v>5233</v>
      </c>
      <c r="F92" s="23" t="s">
        <v>5361</v>
      </c>
      <c r="G92" s="23" t="s">
        <v>5490</v>
      </c>
      <c r="H92" s="23" t="s">
        <v>5619</v>
      </c>
      <c r="I92" s="23" t="str">
        <f t="shared" si="10"/>
        <v>91 INIT PATCH</v>
      </c>
      <c r="J92" t="str">
        <f t="shared" si="12"/>
        <v>091 Wind Syn Ld HARD LEAD</v>
      </c>
      <c r="K92" t="str">
        <f t="shared" si="13"/>
        <v>091 Himalaya Ice BELL</v>
      </c>
      <c r="L92" t="str">
        <f t="shared" si="14"/>
        <v>091 SlapBass1 BASS</v>
      </c>
      <c r="M92" t="str">
        <f t="shared" si="15"/>
        <v>091 Lo-Fi Hit HIT&amp;STAB</v>
      </c>
      <c r="N92" t="str">
        <f t="shared" si="16"/>
        <v>091 Windy Synth SOFT LEAD</v>
      </c>
      <c r="O92" t="str">
        <f t="shared" si="17"/>
        <v>091 Nu Trance X PULSATING</v>
      </c>
      <c r="P92" t="str">
        <f t="shared" si="18"/>
        <v>091 PhaseStrings BRIGHT PAD</v>
      </c>
      <c r="Q92" t="str">
        <f t="shared" si="19"/>
        <v>091 Sitar Baby PLUCKED</v>
      </c>
      <c r="R92" t="str">
        <f t="shared" si="11"/>
        <v>091</v>
      </c>
    </row>
    <row r="93" spans="1:18" x14ac:dyDescent="0.25">
      <c r="A93" s="23" t="s">
        <v>4722</v>
      </c>
      <c r="B93" s="27" t="s">
        <v>4850</v>
      </c>
      <c r="C93" s="23" t="s">
        <v>4978</v>
      </c>
      <c r="D93" s="23" t="s">
        <v>5106</v>
      </c>
      <c r="E93" s="23" t="s">
        <v>5234</v>
      </c>
      <c r="F93" s="23" t="s">
        <v>5362</v>
      </c>
      <c r="G93" s="23" t="s">
        <v>5491</v>
      </c>
      <c r="H93" s="23" t="s">
        <v>5620</v>
      </c>
      <c r="I93" s="23" t="str">
        <f t="shared" si="10"/>
        <v>92 INIT PATCH</v>
      </c>
      <c r="J93" t="str">
        <f t="shared" si="12"/>
        <v>092 Follow Me HARD LEAD</v>
      </c>
      <c r="K93" t="str">
        <f t="shared" si="13"/>
        <v>092 FM Syn Bell BELL</v>
      </c>
      <c r="L93" t="str">
        <f t="shared" si="14"/>
        <v>092 Slap2 w/Fx BASS</v>
      </c>
      <c r="M93" t="str">
        <f t="shared" si="15"/>
        <v>092 2ble Action HIT&amp;STAB</v>
      </c>
      <c r="N93" t="str">
        <f t="shared" si="16"/>
        <v>092 Sqr Diamond SOFT LEAD</v>
      </c>
      <c r="O93" t="str">
        <f t="shared" si="17"/>
        <v>092 Auto 5thSaws PULSATING</v>
      </c>
      <c r="P93" t="str">
        <f t="shared" si="18"/>
        <v>092 Voyager BRIGHT PAD</v>
      </c>
      <c r="Q93" t="str">
        <f t="shared" si="19"/>
        <v>092 Elec Sitar PLUCKED</v>
      </c>
      <c r="R93" t="str">
        <f t="shared" si="11"/>
        <v>092</v>
      </c>
    </row>
    <row r="94" spans="1:18" x14ac:dyDescent="0.25">
      <c r="A94" s="23" t="s">
        <v>4723</v>
      </c>
      <c r="B94" s="27" t="s">
        <v>4851</v>
      </c>
      <c r="C94" s="23" t="s">
        <v>4979</v>
      </c>
      <c r="D94" s="23" t="s">
        <v>5107</v>
      </c>
      <c r="E94" s="23" t="s">
        <v>5235</v>
      </c>
      <c r="F94" s="23" t="s">
        <v>5363</v>
      </c>
      <c r="G94" s="23" t="s">
        <v>5492</v>
      </c>
      <c r="H94" s="23" t="s">
        <v>5621</v>
      </c>
      <c r="I94" s="23" t="str">
        <f t="shared" si="10"/>
        <v>93 INIT PATCH</v>
      </c>
      <c r="J94" t="str">
        <f t="shared" si="12"/>
        <v>093 SC Saw Ld 1 HARD LEAD</v>
      </c>
      <c r="K94" t="str">
        <f t="shared" si="13"/>
        <v>093 D-50 Fantsia BELL</v>
      </c>
      <c r="L94" t="str">
        <f t="shared" si="14"/>
        <v>093 Got Pop? BASS</v>
      </c>
      <c r="M94" t="str">
        <f t="shared" si="15"/>
        <v>093 In da Cave HIT&amp;STAB</v>
      </c>
      <c r="N94" t="str">
        <f t="shared" si="16"/>
        <v>093 Sinetific SOFT LEAD</v>
      </c>
      <c r="O94" t="str">
        <f t="shared" si="17"/>
        <v>093 Cross Talk PULSATING</v>
      </c>
      <c r="P94" t="str">
        <f t="shared" si="18"/>
        <v>093 Cosmic Rays BRIGHT PAD</v>
      </c>
      <c r="Q94" t="str">
        <f t="shared" si="19"/>
        <v>093 Neo Sitar PLUCKED</v>
      </c>
      <c r="R94" t="str">
        <f t="shared" si="11"/>
        <v>093</v>
      </c>
    </row>
    <row r="95" spans="1:18" x14ac:dyDescent="0.25">
      <c r="A95" s="23" t="s">
        <v>4724</v>
      </c>
      <c r="B95" s="27" t="s">
        <v>4852</v>
      </c>
      <c r="C95" s="23" t="s">
        <v>4980</v>
      </c>
      <c r="D95" s="23" t="s">
        <v>5108</v>
      </c>
      <c r="E95" s="23" t="s">
        <v>5236</v>
      </c>
      <c r="F95" s="23" t="s">
        <v>5364</v>
      </c>
      <c r="G95" s="23" t="s">
        <v>5493</v>
      </c>
      <c r="H95" s="23" t="s">
        <v>5622</v>
      </c>
      <c r="I95" s="23" t="str">
        <f t="shared" si="10"/>
        <v>94 INIT PATCH</v>
      </c>
      <c r="J95" t="str">
        <f t="shared" si="12"/>
        <v>094 Sync Ld Mono HARD LEAD</v>
      </c>
      <c r="K95" t="str">
        <f t="shared" si="13"/>
        <v>094 Wine Glass BELL</v>
      </c>
      <c r="L95" t="str">
        <f t="shared" si="14"/>
        <v>094 JBass v/Thmb BASS</v>
      </c>
      <c r="M95" t="str">
        <f t="shared" si="15"/>
        <v>094 Housechord HIT&amp;STAB</v>
      </c>
      <c r="N95" t="str">
        <f t="shared" si="16"/>
        <v>094 PeakArpSine SOFT LEAD</v>
      </c>
      <c r="O95" t="str">
        <f t="shared" si="17"/>
        <v>094 Reanimation PULSATING</v>
      </c>
      <c r="P95" t="str">
        <f t="shared" si="18"/>
        <v>094 Stringship BRIGHT PAD</v>
      </c>
      <c r="Q95" t="str">
        <f t="shared" si="19"/>
        <v>094 SaraswatiRvr PLUCKED</v>
      </c>
      <c r="R95" t="str">
        <f t="shared" si="11"/>
        <v>094</v>
      </c>
    </row>
    <row r="96" spans="1:18" x14ac:dyDescent="0.25">
      <c r="A96" s="23" t="s">
        <v>4725</v>
      </c>
      <c r="B96" s="27" t="s">
        <v>4853</v>
      </c>
      <c r="C96" s="23" t="s">
        <v>4981</v>
      </c>
      <c r="D96" s="23" t="s">
        <v>5109</v>
      </c>
      <c r="E96" s="23" t="s">
        <v>5237</v>
      </c>
      <c r="F96" s="23" t="s">
        <v>5365</v>
      </c>
      <c r="G96" s="23" t="s">
        <v>5494</v>
      </c>
      <c r="H96" s="23" t="s">
        <v>5623</v>
      </c>
      <c r="I96" s="23" t="str">
        <f t="shared" si="10"/>
        <v>95 INIT PATCH</v>
      </c>
      <c r="J96" t="str">
        <f t="shared" si="12"/>
        <v>095 SC Brt Nylon AC.GUITAR</v>
      </c>
      <c r="K96" t="str">
        <f t="shared" si="13"/>
        <v>095 MuBox Pad BELL</v>
      </c>
      <c r="L96" t="str">
        <f t="shared" si="14"/>
        <v>095 SC Slap Bass BASS</v>
      </c>
      <c r="M96" t="str">
        <f t="shared" si="15"/>
        <v>095 Mod Chord HIT&amp;STAB</v>
      </c>
      <c r="N96" t="str">
        <f t="shared" si="16"/>
        <v>095 Howards Lead SOFT LEAD</v>
      </c>
      <c r="O96" t="str">
        <f t="shared" si="17"/>
        <v>095 VoX Chopper PULSATING</v>
      </c>
      <c r="P96" t="str">
        <f t="shared" si="18"/>
        <v>095 Fat Stacks BRIGHT PAD</v>
      </c>
      <c r="Q96" t="str">
        <f t="shared" si="19"/>
        <v>095 Bosporus PLUCKED</v>
      </c>
      <c r="R96" t="str">
        <f t="shared" si="11"/>
        <v>095</v>
      </c>
    </row>
    <row r="97" spans="1:18" x14ac:dyDescent="0.25">
      <c r="A97" s="23" t="s">
        <v>4726</v>
      </c>
      <c r="B97" s="27" t="s">
        <v>4854</v>
      </c>
      <c r="C97" s="23" t="s">
        <v>4982</v>
      </c>
      <c r="D97" s="23" t="s">
        <v>5110</v>
      </c>
      <c r="E97" s="23" t="s">
        <v>5238</v>
      </c>
      <c r="F97" s="23" t="s">
        <v>5366</v>
      </c>
      <c r="G97" s="23" t="s">
        <v>5495</v>
      </c>
      <c r="H97" s="23" t="s">
        <v>5624</v>
      </c>
      <c r="I97" s="23" t="str">
        <f t="shared" si="10"/>
        <v>96 INIT PATCH</v>
      </c>
      <c r="J97" t="str">
        <f t="shared" si="12"/>
        <v>096 So good ! AC.GUITAR</v>
      </c>
      <c r="K97" t="str">
        <f t="shared" si="13"/>
        <v>096 SC Bell 1 BELL</v>
      </c>
      <c r="L97" t="str">
        <f t="shared" si="14"/>
        <v>096 X Slap Bass BASS</v>
      </c>
      <c r="M97" t="str">
        <f t="shared" si="15"/>
        <v>096 Dance Steam HIT&amp;STAB</v>
      </c>
      <c r="N97" t="str">
        <f t="shared" si="16"/>
        <v>096 SoloNzPeaker SOFT LEAD</v>
      </c>
      <c r="O97" t="str">
        <f t="shared" si="17"/>
        <v>096 Trevor´s Pad PULSATING</v>
      </c>
      <c r="P97" t="str">
        <f t="shared" si="18"/>
        <v>096 Strings R Us BRIGHT PAD</v>
      </c>
      <c r="Q97" t="str">
        <f t="shared" si="19"/>
        <v>096 Santur Stack PLUCKED</v>
      </c>
      <c r="R97" t="str">
        <f t="shared" si="11"/>
        <v>096</v>
      </c>
    </row>
    <row r="98" spans="1:18" x14ac:dyDescent="0.25">
      <c r="A98" s="23" t="s">
        <v>4727</v>
      </c>
      <c r="B98" s="27" t="s">
        <v>4855</v>
      </c>
      <c r="C98" s="23" t="s">
        <v>4983</v>
      </c>
      <c r="D98" s="23" t="s">
        <v>5111</v>
      </c>
      <c r="E98" s="23" t="s">
        <v>5239</v>
      </c>
      <c r="F98" s="23" t="s">
        <v>5367</v>
      </c>
      <c r="G98" s="23" t="s">
        <v>5496</v>
      </c>
      <c r="H98" s="23" t="s">
        <v>5625</v>
      </c>
      <c r="I98" s="23" t="str">
        <f t="shared" si="10"/>
        <v>97 INIT PATCH</v>
      </c>
      <c r="J98" t="str">
        <f t="shared" si="12"/>
        <v>097 SC 12str Gtr AC.GUITAR</v>
      </c>
      <c r="K98" t="str">
        <f t="shared" si="13"/>
        <v>097 FM Heaven BELL</v>
      </c>
      <c r="L98" t="str">
        <f t="shared" si="14"/>
        <v>097 Low Bass SYNTH BASS</v>
      </c>
      <c r="M98" t="str">
        <f t="shared" si="15"/>
        <v>097 Good Old Day WIND</v>
      </c>
      <c r="N98" t="str">
        <f t="shared" si="16"/>
        <v>097 Juno SftLd SOFT LEAD</v>
      </c>
      <c r="O98" t="str">
        <f t="shared" si="17"/>
        <v>097 Fantomas Pad PULSATING</v>
      </c>
      <c r="P98" t="str">
        <f t="shared" si="18"/>
        <v>097 Electric Pad BRIGHT PAD</v>
      </c>
      <c r="Q98" t="str">
        <f t="shared" si="19"/>
        <v>097 Aerial Harp PLUCKED</v>
      </c>
      <c r="R98" t="str">
        <f t="shared" si="11"/>
        <v>097</v>
      </c>
    </row>
    <row r="99" spans="1:18" x14ac:dyDescent="0.25">
      <c r="A99" s="23" t="s">
        <v>4728</v>
      </c>
      <c r="B99" s="27" t="s">
        <v>4856</v>
      </c>
      <c r="C99" s="23" t="s">
        <v>4984</v>
      </c>
      <c r="D99" s="23" t="s">
        <v>5112</v>
      </c>
      <c r="E99" s="23" t="s">
        <v>5240</v>
      </c>
      <c r="F99" s="23" t="s">
        <v>5368</v>
      </c>
      <c r="G99" s="23" t="s">
        <v>5497</v>
      </c>
      <c r="H99" s="23" t="s">
        <v>5626</v>
      </c>
      <c r="I99" s="23" t="str">
        <f t="shared" si="10"/>
        <v>98 INIT PATCH</v>
      </c>
      <c r="J99" t="str">
        <f t="shared" si="12"/>
        <v>098 Jazz Guitar EL.GUITAR</v>
      </c>
      <c r="K99" t="str">
        <f t="shared" si="13"/>
        <v>098 SC Glocken BELL</v>
      </c>
      <c r="L99" t="str">
        <f t="shared" si="14"/>
        <v>098 Mini Like! SYNTH BASS</v>
      </c>
      <c r="M99" t="str">
        <f t="shared" si="15"/>
        <v>098 SC WindWood WIND</v>
      </c>
      <c r="N99" t="str">
        <f t="shared" si="16"/>
        <v>098 R&amp;B TriLead SOFT LEAD</v>
      </c>
      <c r="O99" t="str">
        <f t="shared" si="17"/>
        <v>098 Jazzy Arps PULSATING</v>
      </c>
      <c r="P99" t="str">
        <f t="shared" si="18"/>
        <v>098 Neo RS-202 BRIGHT PAD</v>
      </c>
      <c r="Q99" t="str">
        <f t="shared" si="19"/>
        <v>098 Harpiness PLUCKED</v>
      </c>
      <c r="R99" t="str">
        <f t="shared" si="11"/>
        <v>098</v>
      </c>
    </row>
    <row r="100" spans="1:18" x14ac:dyDescent="0.25">
      <c r="A100" s="23" t="s">
        <v>4729</v>
      </c>
      <c r="B100" s="27" t="s">
        <v>4857</v>
      </c>
      <c r="C100" s="23" t="s">
        <v>4985</v>
      </c>
      <c r="D100" s="23" t="s">
        <v>5113</v>
      </c>
      <c r="E100" s="23" t="s">
        <v>5241</v>
      </c>
      <c r="F100" s="23" t="s">
        <v>5369</v>
      </c>
      <c r="G100" s="23" t="s">
        <v>5498</v>
      </c>
      <c r="H100" s="23" t="s">
        <v>5627</v>
      </c>
      <c r="I100" s="23" t="str">
        <f t="shared" si="10"/>
        <v>99 INIT PATCH</v>
      </c>
      <c r="J100" t="str">
        <f t="shared" si="12"/>
        <v>099 Strat Gtr EL.GUITAR</v>
      </c>
      <c r="K100" t="str">
        <f t="shared" si="13"/>
        <v>099 Music Bells BELL</v>
      </c>
      <c r="L100" t="str">
        <f t="shared" si="14"/>
        <v>099 MC-404 Bass SYNTH BASS</v>
      </c>
      <c r="M100" t="str">
        <f t="shared" si="15"/>
        <v>099 Clarence.net WIND</v>
      </c>
      <c r="N100" t="str">
        <f t="shared" si="16"/>
        <v>099 R&amp;B Tri Ld2 SOFT LEAD</v>
      </c>
      <c r="O100" t="str">
        <f t="shared" si="17"/>
        <v>099 Keep Running PULSATING</v>
      </c>
      <c r="P100" t="str">
        <f t="shared" si="18"/>
        <v>099 OB Rezo Pad BRIGHT PAD</v>
      </c>
      <c r="Q100" t="str">
        <f t="shared" si="19"/>
        <v>099 Skydiver PLUCKED</v>
      </c>
      <c r="R100" t="str">
        <f t="shared" si="11"/>
        <v>099</v>
      </c>
    </row>
    <row r="101" spans="1:18" x14ac:dyDescent="0.25">
      <c r="A101" s="23" t="s">
        <v>4730</v>
      </c>
      <c r="B101" s="27" t="s">
        <v>4858</v>
      </c>
      <c r="C101" s="23" t="s">
        <v>4986</v>
      </c>
      <c r="D101" s="23" t="s">
        <v>5114</v>
      </c>
      <c r="E101" s="23" t="s">
        <v>5242</v>
      </c>
      <c r="F101" s="23" t="s">
        <v>5370</v>
      </c>
      <c r="G101" s="23" t="s">
        <v>5499</v>
      </c>
      <c r="H101" s="23" t="s">
        <v>5628</v>
      </c>
      <c r="I101" s="23" t="str">
        <f t="shared" si="10"/>
        <v>100 INIT PATCH</v>
      </c>
      <c r="J101" t="str">
        <f t="shared" si="12"/>
        <v>100 Trem-o-Vibe DIST.GUITAR</v>
      </c>
      <c r="K101" t="str">
        <f t="shared" si="13"/>
        <v>100 SC Musicbox BELL</v>
      </c>
      <c r="L101" t="str">
        <f t="shared" si="14"/>
        <v>100 SC Rubber Bs SYNTH BASS</v>
      </c>
      <c r="M101" t="str">
        <f t="shared" si="15"/>
        <v>100 SC Oboe WIND</v>
      </c>
      <c r="N101" t="str">
        <f t="shared" si="16"/>
        <v>100 Jupiter Lead SOFT LEAD</v>
      </c>
      <c r="O101" t="str">
        <f t="shared" si="17"/>
        <v>100 Step In PULSATING</v>
      </c>
      <c r="P101" t="str">
        <f t="shared" si="18"/>
        <v>100 Synthi Ens BRIGHT PAD</v>
      </c>
      <c r="Q101" t="str">
        <f t="shared" si="19"/>
        <v>100 TroubadorEns PLUCKED</v>
      </c>
      <c r="R101" t="str">
        <f t="shared" si="11"/>
        <v>100</v>
      </c>
    </row>
    <row r="102" spans="1:18" x14ac:dyDescent="0.25">
      <c r="A102" s="23" t="s">
        <v>4731</v>
      </c>
      <c r="B102" s="27" t="s">
        <v>4859</v>
      </c>
      <c r="C102" s="23" t="s">
        <v>4987</v>
      </c>
      <c r="D102" s="23" t="s">
        <v>5115</v>
      </c>
      <c r="E102" s="23" t="s">
        <v>5243</v>
      </c>
      <c r="F102" s="23" t="s">
        <v>5371</v>
      </c>
      <c r="G102" s="23" t="s">
        <v>5500</v>
      </c>
      <c r="H102" s="23" t="s">
        <v>5629</v>
      </c>
      <c r="I102" s="23" t="str">
        <f t="shared" si="10"/>
        <v>101 INIT PATCH</v>
      </c>
      <c r="J102" t="str">
        <f t="shared" si="12"/>
        <v>101 Searing COSM DIST.GUITAR</v>
      </c>
      <c r="K102" t="str">
        <f t="shared" si="13"/>
        <v>101 Music Box 2 BELL</v>
      </c>
      <c r="L102" t="str">
        <f t="shared" si="14"/>
        <v>101 SH-101 Bs 1 SYNTH BASS</v>
      </c>
      <c r="M102" t="str">
        <f t="shared" si="15"/>
        <v>101 Hall Oboe WIND</v>
      </c>
      <c r="N102" t="str">
        <f t="shared" si="16"/>
        <v>101 Dig-n-Duke SOFT LEAD</v>
      </c>
      <c r="O102" t="str">
        <f t="shared" si="17"/>
        <v>101 Echo Echo PULSATING</v>
      </c>
      <c r="P102" t="str">
        <f t="shared" si="18"/>
        <v>101 Giant Sweep BRIGHT PAD</v>
      </c>
      <c r="Q102" t="str">
        <f t="shared" si="19"/>
        <v>101 Jamisen PLUCKED</v>
      </c>
      <c r="R102" t="str">
        <f t="shared" si="11"/>
        <v>101</v>
      </c>
    </row>
    <row r="103" spans="1:18" x14ac:dyDescent="0.25">
      <c r="A103" s="23" t="s">
        <v>4732</v>
      </c>
      <c r="B103" s="27" t="s">
        <v>4860</v>
      </c>
      <c r="C103" s="23" t="s">
        <v>4988</v>
      </c>
      <c r="D103" s="23" t="s">
        <v>5116</v>
      </c>
      <c r="E103" s="23" t="s">
        <v>5244</v>
      </c>
      <c r="F103" s="23" t="s">
        <v>5372</v>
      </c>
      <c r="G103" s="23" t="s">
        <v>5501</v>
      </c>
      <c r="H103" s="23" t="s">
        <v>5630</v>
      </c>
      <c r="I103" s="23" t="str">
        <f t="shared" si="10"/>
        <v>102 INIT PATCH</v>
      </c>
      <c r="J103" t="str">
        <f t="shared" si="12"/>
        <v>102 Larsen /Aft DIST.GUITAR</v>
      </c>
      <c r="K103" t="str">
        <f t="shared" si="13"/>
        <v>102 Kalimbells BELL</v>
      </c>
      <c r="L103" t="str">
        <f t="shared" si="14"/>
        <v>102 SC Syn Bass1 SYNTH BASS</v>
      </c>
      <c r="M103" t="str">
        <f t="shared" si="15"/>
        <v>102 English Horn WIND</v>
      </c>
      <c r="N103" t="str">
        <f t="shared" si="16"/>
        <v>102 SC SoftLead SOFT LEAD</v>
      </c>
      <c r="O103" t="str">
        <f t="shared" si="17"/>
        <v>102 Keep going PULSATING</v>
      </c>
      <c r="P103" t="str">
        <f t="shared" si="18"/>
        <v>102 Mod Dare BRIGHT PAD</v>
      </c>
      <c r="Q103" t="str">
        <f t="shared" si="19"/>
        <v>102 Koto PLUCKED</v>
      </c>
      <c r="R103" t="str">
        <f t="shared" si="11"/>
        <v>102</v>
      </c>
    </row>
    <row r="104" spans="1:18" x14ac:dyDescent="0.25">
      <c r="A104" s="23" t="s">
        <v>4733</v>
      </c>
      <c r="B104" s="27" t="s">
        <v>4861</v>
      </c>
      <c r="C104" s="23" t="s">
        <v>4989</v>
      </c>
      <c r="D104" s="23" t="s">
        <v>5117</v>
      </c>
      <c r="E104" s="23" t="s">
        <v>5245</v>
      </c>
      <c r="F104" s="23" t="s">
        <v>5373</v>
      </c>
      <c r="G104" s="23" t="s">
        <v>5502</v>
      </c>
      <c r="H104" s="23" t="s">
        <v>5631</v>
      </c>
      <c r="I104" s="23" t="str">
        <f t="shared" si="10"/>
        <v>103 INIT PATCH</v>
      </c>
      <c r="J104" t="str">
        <f t="shared" si="12"/>
        <v>103 SC Loud Gtr DIST.GUITAR</v>
      </c>
      <c r="K104" t="str">
        <f t="shared" si="13"/>
        <v>103 Step Ice BELL</v>
      </c>
      <c r="L104" t="str">
        <f t="shared" si="14"/>
        <v>103 Juno-106 Bs SYNTH BASS</v>
      </c>
      <c r="M104" t="str">
        <f t="shared" si="15"/>
        <v>103 Bassoon WIND</v>
      </c>
      <c r="N104" t="str">
        <f t="shared" si="16"/>
        <v>103 Mid Saw Ld SOFT LEAD</v>
      </c>
      <c r="O104" t="str">
        <f t="shared" si="17"/>
        <v>103 Arposphere PULSATING</v>
      </c>
      <c r="P104" t="str">
        <f t="shared" si="18"/>
        <v>103 Cell Space BRIGHT PAD</v>
      </c>
      <c r="Q104" t="str">
        <f t="shared" si="19"/>
        <v>103 Monsoon PLUCKED</v>
      </c>
      <c r="R104" t="str">
        <f t="shared" si="11"/>
        <v>103</v>
      </c>
    </row>
    <row r="105" spans="1:18" x14ac:dyDescent="0.25">
      <c r="A105" s="23" t="s">
        <v>4734</v>
      </c>
      <c r="B105" s="27" t="s">
        <v>4862</v>
      </c>
      <c r="C105" s="23" t="s">
        <v>4990</v>
      </c>
      <c r="D105" s="23" t="s">
        <v>5118</v>
      </c>
      <c r="E105" s="23" t="s">
        <v>5246</v>
      </c>
      <c r="F105" s="23" t="s">
        <v>5374</v>
      </c>
      <c r="G105" s="23" t="s">
        <v>5503</v>
      </c>
      <c r="H105" s="23" t="s">
        <v>5632</v>
      </c>
      <c r="I105" s="23" t="str">
        <f t="shared" si="10"/>
        <v>104 INIT PATCH</v>
      </c>
      <c r="J105" t="str">
        <f t="shared" si="12"/>
        <v>104 Sitar on C PLUCKED</v>
      </c>
      <c r="K105" t="str">
        <f t="shared" si="13"/>
        <v>104 SC Bell 2 BELL</v>
      </c>
      <c r="L105" t="str">
        <f t="shared" si="14"/>
        <v>104 Smooth Bass SYNTH BASS</v>
      </c>
      <c r="M105" t="str">
        <f t="shared" si="15"/>
        <v>104 SC Flute FLUTE</v>
      </c>
      <c r="N105" t="str">
        <f t="shared" si="16"/>
        <v>104 X-Pulse Lead SOFT LEAD</v>
      </c>
      <c r="O105" t="str">
        <f t="shared" si="17"/>
        <v>104 Voco Riff PULSATING</v>
      </c>
      <c r="P105" t="str">
        <f t="shared" si="18"/>
        <v>104 Digi-Swell BRIGHT PAD</v>
      </c>
      <c r="Q105" t="str">
        <f t="shared" si="19"/>
        <v>104 Bend Koto PLUCKED</v>
      </c>
      <c r="R105" t="str">
        <f t="shared" si="11"/>
        <v>104</v>
      </c>
    </row>
    <row r="106" spans="1:18" x14ac:dyDescent="0.25">
      <c r="A106" s="23" t="s">
        <v>4735</v>
      </c>
      <c r="B106" s="27" t="s">
        <v>4863</v>
      </c>
      <c r="C106" s="23" t="s">
        <v>4991</v>
      </c>
      <c r="D106" s="23" t="s">
        <v>5119</v>
      </c>
      <c r="E106" s="23" t="s">
        <v>5247</v>
      </c>
      <c r="F106" s="23" t="s">
        <v>5375</v>
      </c>
      <c r="G106" s="23" t="s">
        <v>5504</v>
      </c>
      <c r="H106" s="23" t="s">
        <v>5633</v>
      </c>
      <c r="I106" s="23" t="str">
        <f t="shared" si="10"/>
        <v>105 INIT PATCH</v>
      </c>
      <c r="J106" t="str">
        <f t="shared" si="12"/>
        <v>105 Pat is away PLUCKED</v>
      </c>
      <c r="K106" t="str">
        <f t="shared" si="13"/>
        <v>105 Candy Bell BELL</v>
      </c>
      <c r="L106" t="str">
        <f t="shared" si="14"/>
        <v>105 SC Flat Bs SYNTH BASS</v>
      </c>
      <c r="M106" t="str">
        <f t="shared" si="15"/>
        <v>105 Piccolo FLUTE</v>
      </c>
      <c r="N106" t="str">
        <f t="shared" si="16"/>
        <v>105 Mild 2-SawLd SOFT LEAD</v>
      </c>
      <c r="O106" t="str">
        <f t="shared" si="17"/>
        <v>105 Pulsator PULSATING</v>
      </c>
      <c r="P106" t="str">
        <f t="shared" si="18"/>
        <v>105 Sonic Surfer BRIGHT PAD</v>
      </c>
      <c r="Q106" t="str">
        <f t="shared" si="19"/>
        <v>105 LongDistance ETHNIC</v>
      </c>
      <c r="R106" t="str">
        <f t="shared" si="11"/>
        <v>105</v>
      </c>
    </row>
    <row r="107" spans="1:18" x14ac:dyDescent="0.25">
      <c r="A107" s="23" t="s">
        <v>4736</v>
      </c>
      <c r="B107" s="27" t="s">
        <v>4864</v>
      </c>
      <c r="C107" s="23" t="s">
        <v>4992</v>
      </c>
      <c r="D107" s="23" t="s">
        <v>5120</v>
      </c>
      <c r="E107" s="23" t="s">
        <v>5248</v>
      </c>
      <c r="F107" s="23" t="s">
        <v>5376</v>
      </c>
      <c r="G107" s="23" t="s">
        <v>5505</v>
      </c>
      <c r="H107" s="23" t="s">
        <v>5634</v>
      </c>
      <c r="I107" s="23" t="str">
        <f t="shared" si="10"/>
        <v>106 INIT PATCH</v>
      </c>
      <c r="J107" t="str">
        <f t="shared" si="12"/>
        <v>106 Bosporus PLUCKED</v>
      </c>
      <c r="K107" t="str">
        <f t="shared" si="13"/>
        <v>106 SC Chime BELL</v>
      </c>
      <c r="L107" t="str">
        <f t="shared" si="14"/>
        <v>106 Foundation SYNTH BASS</v>
      </c>
      <c r="M107" t="str">
        <f t="shared" si="15"/>
        <v>106 Andes Mood FLUTE</v>
      </c>
      <c r="N107" t="str">
        <f t="shared" si="16"/>
        <v>106 Mew Lead SOFT LEAD</v>
      </c>
      <c r="O107" t="str">
        <f t="shared" si="17"/>
        <v>106 Motion Bass PULSATING</v>
      </c>
      <c r="P107" t="str">
        <f t="shared" si="18"/>
        <v>106 New Year Day BRIGHT PAD</v>
      </c>
      <c r="Q107" t="str">
        <f t="shared" si="19"/>
        <v>106 Ambi Shaku ETHNIC</v>
      </c>
      <c r="R107" t="str">
        <f t="shared" si="11"/>
        <v>106</v>
      </c>
    </row>
    <row r="108" spans="1:18" x14ac:dyDescent="0.25">
      <c r="A108" s="23" t="s">
        <v>4737</v>
      </c>
      <c r="B108" s="27" t="s">
        <v>4865</v>
      </c>
      <c r="C108" s="23" t="s">
        <v>4993</v>
      </c>
      <c r="D108" s="23" t="s">
        <v>5121</v>
      </c>
      <c r="E108" s="23" t="s">
        <v>5249</v>
      </c>
      <c r="F108" s="23" t="s">
        <v>5377</v>
      </c>
      <c r="G108" s="23" t="s">
        <v>5506</v>
      </c>
      <c r="H108" s="23" t="s">
        <v>5635</v>
      </c>
      <c r="I108" s="23" t="str">
        <f t="shared" si="10"/>
        <v>107 INIT PATCH</v>
      </c>
      <c r="J108" t="str">
        <f t="shared" si="12"/>
        <v>107 Aerial Harp PLUCKED</v>
      </c>
      <c r="K108" t="str">
        <f t="shared" si="13"/>
        <v>107 Bell Ring BELL</v>
      </c>
      <c r="L108" t="str">
        <f t="shared" si="14"/>
        <v>107 Punch MG 2 SYNTH BASS</v>
      </c>
      <c r="M108" t="str">
        <f t="shared" si="15"/>
        <v>107 HimalayaPipe FLUTE</v>
      </c>
      <c r="N108" t="str">
        <f t="shared" si="16"/>
        <v>107 Shy Soloist SOFT LEAD</v>
      </c>
      <c r="O108" t="str">
        <f t="shared" si="17"/>
        <v>107 Sine Magic PULSATING</v>
      </c>
      <c r="P108" t="str">
        <f t="shared" si="18"/>
        <v>107 Polar Morn BRIGHT PAD</v>
      </c>
      <c r="Q108" t="str">
        <f t="shared" si="19"/>
        <v>107 SC Lochscape ETHNIC</v>
      </c>
      <c r="R108" t="str">
        <f t="shared" si="11"/>
        <v>107</v>
      </c>
    </row>
    <row r="109" spans="1:18" x14ac:dyDescent="0.25">
      <c r="A109" s="23" t="s">
        <v>4738</v>
      </c>
      <c r="B109" s="27" t="s">
        <v>4866</v>
      </c>
      <c r="C109" s="23" t="s">
        <v>4994</v>
      </c>
      <c r="D109" s="23" t="s">
        <v>5122</v>
      </c>
      <c r="E109" s="23" t="s">
        <v>5250</v>
      </c>
      <c r="F109" s="23" t="s">
        <v>5378</v>
      </c>
      <c r="G109" s="23" t="s">
        <v>5507</v>
      </c>
      <c r="H109" s="23" t="s">
        <v>5636</v>
      </c>
      <c r="I109" s="23" t="str">
        <f t="shared" si="10"/>
        <v>108 INIT PATCH</v>
      </c>
      <c r="J109" t="str">
        <f t="shared" si="12"/>
        <v>108 Nice Kalimba PLUCKED</v>
      </c>
      <c r="K109" t="str">
        <f t="shared" si="13"/>
        <v>108 Tubular Bell BELL</v>
      </c>
      <c r="L109" t="str">
        <f t="shared" si="14"/>
        <v>108 Electro Rubb SYNTH BASS</v>
      </c>
      <c r="M109" t="str">
        <f t="shared" si="15"/>
        <v>108 Solo Tp AC.BRASS</v>
      </c>
      <c r="N109" t="str">
        <f t="shared" si="16"/>
        <v>108 Theramax SOFT LEAD</v>
      </c>
      <c r="O109" t="str">
        <f t="shared" si="17"/>
        <v>108 Juno-D Slice PULSATING</v>
      </c>
      <c r="P109" t="str">
        <f t="shared" si="18"/>
        <v>108 Distant Sun BRIGHT PAD</v>
      </c>
      <c r="Q109" t="str">
        <f t="shared" si="19"/>
        <v>108 SC PipeDream ETHNIC</v>
      </c>
      <c r="R109" t="str">
        <f t="shared" si="11"/>
        <v>108</v>
      </c>
    </row>
    <row r="110" spans="1:18" x14ac:dyDescent="0.25">
      <c r="A110" s="23" t="s">
        <v>4739</v>
      </c>
      <c r="B110" s="27" t="s">
        <v>4867</v>
      </c>
      <c r="C110" s="23" t="s">
        <v>4995</v>
      </c>
      <c r="D110" s="23" t="s">
        <v>5123</v>
      </c>
      <c r="E110" s="23" t="s">
        <v>5251</v>
      </c>
      <c r="F110" s="23" t="s">
        <v>5379</v>
      </c>
      <c r="G110" s="23" t="s">
        <v>5508</v>
      </c>
      <c r="H110" s="23" t="s">
        <v>5637</v>
      </c>
      <c r="I110" s="23" t="str">
        <f t="shared" si="10"/>
        <v>109 INIT PATCH</v>
      </c>
      <c r="J110" t="str">
        <f t="shared" si="12"/>
        <v>109 SC Flute FLUTE</v>
      </c>
      <c r="K110" t="str">
        <f t="shared" si="13"/>
        <v>109 5th Key BELL</v>
      </c>
      <c r="L110" t="str">
        <f t="shared" si="14"/>
        <v>109 R&amp;B Bass 1 SYNTH BASS</v>
      </c>
      <c r="M110" t="str">
        <f t="shared" si="15"/>
        <v>109 Horn Chops AC.BRASS</v>
      </c>
      <c r="N110" t="str">
        <f t="shared" si="16"/>
        <v>109 Therasqu SOFT LEAD</v>
      </c>
      <c r="O110" t="str">
        <f t="shared" si="17"/>
        <v>109 Pulsatron PULSATING</v>
      </c>
      <c r="P110" t="str">
        <f t="shared" si="18"/>
        <v>109 PG Chimes BRIGHT PAD</v>
      </c>
      <c r="Q110" t="str">
        <f t="shared" si="19"/>
        <v>109 SC Far East ETHNIC</v>
      </c>
      <c r="R110" t="str">
        <f t="shared" si="11"/>
        <v>109</v>
      </c>
    </row>
    <row r="111" spans="1:18" x14ac:dyDescent="0.25">
      <c r="A111" s="23" t="s">
        <v>4740</v>
      </c>
      <c r="B111" s="27" t="s">
        <v>4868</v>
      </c>
      <c r="C111" s="23" t="s">
        <v>4996</v>
      </c>
      <c r="D111" s="23" t="s">
        <v>5124</v>
      </c>
      <c r="E111" s="23" t="s">
        <v>5252</v>
      </c>
      <c r="F111" s="23" t="s">
        <v>5380</v>
      </c>
      <c r="G111" s="23" t="s">
        <v>5509</v>
      </c>
      <c r="H111" s="23" t="s">
        <v>5638</v>
      </c>
      <c r="I111" s="23" t="str">
        <f t="shared" si="10"/>
        <v>110 INIT PATCH</v>
      </c>
      <c r="J111" t="str">
        <f t="shared" si="12"/>
        <v>110 Andes Mood FLUTE</v>
      </c>
      <c r="K111" t="str">
        <f t="shared" si="13"/>
        <v>110 Bell Monitor BELL</v>
      </c>
      <c r="L111" t="str">
        <f t="shared" si="14"/>
        <v>110 Enorjizor SYNTH BASS</v>
      </c>
      <c r="M111" t="str">
        <f t="shared" si="15"/>
        <v>110 Flugel Horn AC.BRASS</v>
      </c>
      <c r="N111" t="str">
        <f t="shared" si="16"/>
        <v>110 GR Lead SOFT LEAD</v>
      </c>
      <c r="O111" t="str">
        <f t="shared" si="17"/>
        <v>110 Mega Sync PULSATING</v>
      </c>
      <c r="P111" t="str">
        <f t="shared" si="18"/>
        <v>110 Saturn Rings BRIGHT PAD</v>
      </c>
      <c r="Q111" t="str">
        <f t="shared" si="19"/>
        <v>110 Banjo FRETTED</v>
      </c>
      <c r="R111" t="str">
        <f t="shared" si="11"/>
        <v>110</v>
      </c>
    </row>
    <row r="112" spans="1:18" x14ac:dyDescent="0.25">
      <c r="A112" s="23" t="s">
        <v>4741</v>
      </c>
      <c r="B112" s="27" t="s">
        <v>4869</v>
      </c>
      <c r="C112" s="23" t="s">
        <v>4997</v>
      </c>
      <c r="D112" s="23" t="s">
        <v>5125</v>
      </c>
      <c r="E112" s="23" t="s">
        <v>5253</v>
      </c>
      <c r="F112" s="23" t="s">
        <v>5381</v>
      </c>
      <c r="G112" s="23" t="s">
        <v>5510</v>
      </c>
      <c r="H112" s="23" t="s">
        <v>5639</v>
      </c>
      <c r="I112" s="23" t="str">
        <f t="shared" si="10"/>
        <v>111 INIT PATCH</v>
      </c>
      <c r="J112" t="str">
        <f t="shared" si="12"/>
        <v>111 LongDistance ETHNIC</v>
      </c>
      <c r="K112" t="str">
        <f t="shared" si="13"/>
        <v>111 TubyRuesday BELL</v>
      </c>
      <c r="L112" t="str">
        <f t="shared" si="14"/>
        <v>111 LowFat Bass SYNTH BASS</v>
      </c>
      <c r="M112" t="str">
        <f t="shared" si="15"/>
        <v>111 Spit Flugel AC.BRASS</v>
      </c>
      <c r="N112" t="str">
        <f t="shared" si="16"/>
        <v>111 SH-2 Lead SOFT LEAD</v>
      </c>
      <c r="O112" t="str">
        <f t="shared" si="17"/>
        <v>111 Passing by SYNTH FX</v>
      </c>
      <c r="P112" t="str">
        <f t="shared" si="18"/>
        <v>111 Brusky BRIGHT PAD</v>
      </c>
      <c r="Q112" t="str">
        <f t="shared" si="19"/>
        <v>111 Timpani+Low PERCUSSION</v>
      </c>
      <c r="R112" t="str">
        <f t="shared" si="11"/>
        <v>111</v>
      </c>
    </row>
    <row r="113" spans="1:18" x14ac:dyDescent="0.25">
      <c r="A113" s="23" t="s">
        <v>4742</v>
      </c>
      <c r="B113" s="27" t="s">
        <v>4870</v>
      </c>
      <c r="C113" s="23" t="s">
        <v>4998</v>
      </c>
      <c r="D113" s="23" t="s">
        <v>5126</v>
      </c>
      <c r="E113" s="23" t="s">
        <v>5254</v>
      </c>
      <c r="F113" s="23" t="s">
        <v>5382</v>
      </c>
      <c r="G113" s="23" t="s">
        <v>5511</v>
      </c>
      <c r="H113" s="23" t="s">
        <v>5640</v>
      </c>
      <c r="I113" s="23" t="str">
        <f t="shared" si="10"/>
        <v>112 INIT PATCH</v>
      </c>
      <c r="J113" t="str">
        <f t="shared" si="12"/>
        <v>112 Ambi Shaku ETHNIC</v>
      </c>
      <c r="K113" t="str">
        <f t="shared" si="13"/>
        <v>112 Vibrations MALLET</v>
      </c>
      <c r="L113" t="str">
        <f t="shared" si="14"/>
        <v>112 Doze Bass SYNTH BASS</v>
      </c>
      <c r="M113" t="str">
        <f t="shared" si="15"/>
        <v>112 Mute Tp /Mod AC.BRASS</v>
      </c>
      <c r="N113" t="str">
        <f t="shared" si="16"/>
        <v>112 SC ResoLead SOFT LEAD</v>
      </c>
      <c r="O113" t="str">
        <f t="shared" si="17"/>
        <v>112 Lazer Points SYNTH FX</v>
      </c>
      <c r="P113" t="str">
        <f t="shared" si="18"/>
        <v>112 "2 Point 2" BRIGHT PAD</v>
      </c>
      <c r="Q113" t="str">
        <f t="shared" si="19"/>
        <v>112 Timpani Roll PERCUSSION</v>
      </c>
      <c r="R113" t="str">
        <f t="shared" si="11"/>
        <v>112</v>
      </c>
    </row>
    <row r="114" spans="1:18" x14ac:dyDescent="0.25">
      <c r="A114" s="23" t="s">
        <v>4743</v>
      </c>
      <c r="B114" s="27" t="s">
        <v>4871</v>
      </c>
      <c r="C114" s="23" t="s">
        <v>4999</v>
      </c>
      <c r="D114" s="23" t="s">
        <v>5127</v>
      </c>
      <c r="E114" s="23" t="s">
        <v>5255</v>
      </c>
      <c r="F114" s="23" t="s">
        <v>5383</v>
      </c>
      <c r="G114" s="23" t="s">
        <v>5512</v>
      </c>
      <c r="H114" s="23" t="s">
        <v>5641</v>
      </c>
      <c r="I114" s="23" t="str">
        <f t="shared" si="10"/>
        <v>113 INIT PATCH</v>
      </c>
      <c r="J114" t="str">
        <f t="shared" si="12"/>
        <v>113 Soprano Sax SAX</v>
      </c>
      <c r="K114" t="str">
        <f t="shared" si="13"/>
        <v>113 SC Vibe MALLET</v>
      </c>
      <c r="L114" t="str">
        <f t="shared" si="14"/>
        <v>113 DCO Bass SYNTH BASS</v>
      </c>
      <c r="M114" t="str">
        <f t="shared" si="15"/>
        <v>113 Harmon Mute AC.BRASS</v>
      </c>
      <c r="N114" t="str">
        <f t="shared" si="16"/>
        <v>113 Modulated Ld SOFT LEAD</v>
      </c>
      <c r="O114" t="str">
        <f t="shared" si="17"/>
        <v>113 Retro Sci-Fi SYNTH FX</v>
      </c>
      <c r="P114" t="str">
        <f t="shared" si="18"/>
        <v>113 2.2 Pad BRIGHT PAD</v>
      </c>
      <c r="Q114" t="str">
        <f t="shared" si="19"/>
        <v>113 Bass Drum PERCUSSION</v>
      </c>
      <c r="R114" t="str">
        <f t="shared" si="11"/>
        <v>113</v>
      </c>
    </row>
    <row r="115" spans="1:18" x14ac:dyDescent="0.25">
      <c r="A115" s="23" t="s">
        <v>4744</v>
      </c>
      <c r="B115" s="27" t="s">
        <v>4872</v>
      </c>
      <c r="C115" s="23" t="s">
        <v>5000</v>
      </c>
      <c r="D115" s="23" t="s">
        <v>5128</v>
      </c>
      <c r="E115" s="23" t="s">
        <v>5256</v>
      </c>
      <c r="F115" s="23" t="s">
        <v>5384</v>
      </c>
      <c r="G115" s="23" t="s">
        <v>5513</v>
      </c>
      <c r="H115" s="23" t="s">
        <v>5642</v>
      </c>
      <c r="I115" s="23" t="str">
        <f t="shared" si="10"/>
        <v>114 INIT PATCH</v>
      </c>
      <c r="J115" t="str">
        <f t="shared" si="12"/>
        <v>114 Solo AltoSax SAX</v>
      </c>
      <c r="K115" t="str">
        <f t="shared" si="13"/>
        <v>114 Ringy Vibes MALLET</v>
      </c>
      <c r="L115" t="str">
        <f t="shared" si="14"/>
        <v>114 Virtual RnBs SYNTH BASS</v>
      </c>
      <c r="M115" t="str">
        <f t="shared" si="15"/>
        <v>114 Soft Tb AC.BRASS</v>
      </c>
      <c r="N115" t="str">
        <f t="shared" si="16"/>
        <v>114 Synthi Fizz SOFT LEAD</v>
      </c>
      <c r="O115" t="str">
        <f t="shared" si="17"/>
        <v>114 Magic Chime SYNTH FX</v>
      </c>
      <c r="P115" t="str">
        <f t="shared" si="18"/>
        <v>114 two.two Pad BRIGHT PAD</v>
      </c>
      <c r="Q115" t="str">
        <f t="shared" si="19"/>
        <v>114 Ambidextrous SOUND FX 2</v>
      </c>
      <c r="R115" t="str">
        <f t="shared" si="11"/>
        <v>114</v>
      </c>
    </row>
    <row r="116" spans="1:18" x14ac:dyDescent="0.25">
      <c r="A116" s="23" t="s">
        <v>4745</v>
      </c>
      <c r="B116" s="27" t="s">
        <v>4873</v>
      </c>
      <c r="C116" s="23" t="s">
        <v>5001</v>
      </c>
      <c r="D116" s="23" t="s">
        <v>5129</v>
      </c>
      <c r="E116" s="23" t="s">
        <v>5257</v>
      </c>
      <c r="F116" s="23" t="s">
        <v>5385</v>
      </c>
      <c r="G116" s="23" t="s">
        <v>5514</v>
      </c>
      <c r="H116" s="23" t="s">
        <v>5643</v>
      </c>
      <c r="I116" s="23" t="str">
        <f t="shared" si="10"/>
        <v>115 INIT PATCH</v>
      </c>
      <c r="J116" t="str">
        <f t="shared" si="12"/>
        <v>115 XP TnrBrethy SAX</v>
      </c>
      <c r="K116" t="str">
        <f t="shared" si="13"/>
        <v>115 Airie Vibez MALLET</v>
      </c>
      <c r="L116" t="str">
        <f t="shared" si="14"/>
        <v>115 Saw&amp;MG Bass SYNTH BASS</v>
      </c>
      <c r="M116" t="str">
        <f t="shared" si="15"/>
        <v>115 Solo Tb AC.BRASS</v>
      </c>
      <c r="N116" t="str">
        <f t="shared" si="16"/>
        <v>115 Waspy Lead SOFT LEAD</v>
      </c>
      <c r="O116" t="str">
        <f t="shared" si="17"/>
        <v>115 SC Try This! SYNTH FX</v>
      </c>
      <c r="P116" t="str">
        <f t="shared" si="18"/>
        <v>115 SaturnHolida BRIGHT PAD</v>
      </c>
      <c r="Q116" t="str">
        <f t="shared" si="19"/>
        <v>115 En-co-re SOUND FX 4</v>
      </c>
      <c r="R116" t="str">
        <f t="shared" si="11"/>
        <v>115</v>
      </c>
    </row>
    <row r="117" spans="1:18" x14ac:dyDescent="0.25">
      <c r="A117" s="23" t="s">
        <v>4746</v>
      </c>
      <c r="B117" s="27" t="s">
        <v>4874</v>
      </c>
      <c r="C117" s="23" t="s">
        <v>5002</v>
      </c>
      <c r="D117" s="23" t="s">
        <v>5130</v>
      </c>
      <c r="E117" s="23" t="s">
        <v>5258</v>
      </c>
      <c r="F117" s="23" t="s">
        <v>5386</v>
      </c>
      <c r="G117" s="23" t="s">
        <v>5515</v>
      </c>
      <c r="H117" s="23" t="s">
        <v>5644</v>
      </c>
      <c r="I117" s="23" t="str">
        <f t="shared" si="10"/>
        <v>116 INIT PATCH</v>
      </c>
      <c r="J117" t="str">
        <f t="shared" si="12"/>
        <v>116 Good Old Day WIND</v>
      </c>
      <c r="K117" t="str">
        <f t="shared" si="13"/>
        <v>116 SC Marimba MALLET</v>
      </c>
      <c r="L117" t="str">
        <f t="shared" si="14"/>
        <v>116 MG+SubOsc Bs SYNTH BASS</v>
      </c>
      <c r="M117" t="str">
        <f t="shared" si="15"/>
        <v>116 Solo Bone AC.BRASS</v>
      </c>
      <c r="N117" t="str">
        <f t="shared" si="16"/>
        <v>116 Pulstar Ld SOFT LEAD</v>
      </c>
      <c r="O117" t="str">
        <f t="shared" si="17"/>
        <v>116 New Planetz SYNTH FX</v>
      </c>
      <c r="P117" t="str">
        <f t="shared" si="18"/>
        <v>116 Neuro-Drone BRIGHT PAD</v>
      </c>
      <c r="Q117" t="str">
        <f t="shared" si="19"/>
        <v>116 Mobile Phone SOUND FX 1</v>
      </c>
      <c r="R117" t="str">
        <f t="shared" si="11"/>
        <v>116</v>
      </c>
    </row>
    <row r="118" spans="1:18" x14ac:dyDescent="0.25">
      <c r="A118" s="23" t="s">
        <v>4747</v>
      </c>
      <c r="B118" s="27" t="s">
        <v>4875</v>
      </c>
      <c r="C118" s="23" t="s">
        <v>5003</v>
      </c>
      <c r="D118" s="23" t="s">
        <v>5131</v>
      </c>
      <c r="E118" s="23" t="s">
        <v>5259</v>
      </c>
      <c r="F118" s="23" t="s">
        <v>5387</v>
      </c>
      <c r="G118" s="23" t="s">
        <v>5516</v>
      </c>
      <c r="H118" s="23" t="s">
        <v>5645</v>
      </c>
      <c r="I118" s="23" t="str">
        <f t="shared" si="10"/>
        <v>117 INIT PATCH</v>
      </c>
      <c r="J118" t="str">
        <f t="shared" si="12"/>
        <v>117 BluesHrp V/S HARMONICA</v>
      </c>
      <c r="K118" t="str">
        <f t="shared" si="13"/>
        <v>117 FM Wood MALLET</v>
      </c>
      <c r="L118" t="str">
        <f t="shared" si="14"/>
        <v>117 R&amp;B Bass 2 SYNTH BASS</v>
      </c>
      <c r="M118" t="str">
        <f t="shared" si="15"/>
        <v>117 XP Horn AC.BRASS</v>
      </c>
      <c r="N118" t="str">
        <f t="shared" si="16"/>
        <v>117 Naked Lead SOFT LEAD</v>
      </c>
      <c r="O118" t="str">
        <f t="shared" si="17"/>
        <v>117 Jet Noise SYNTH FX</v>
      </c>
      <c r="P118" t="str">
        <f t="shared" si="18"/>
        <v>117 In The Pass BRIGHT PAD</v>
      </c>
      <c r="Q118" t="str">
        <f t="shared" si="19"/>
        <v>117 ElectroDisco BEAT&amp;GROOVE</v>
      </c>
      <c r="R118" t="str">
        <f t="shared" si="11"/>
        <v>117</v>
      </c>
    </row>
    <row r="119" spans="1:18" x14ac:dyDescent="0.25">
      <c r="A119" s="23" t="s">
        <v>4748</v>
      </c>
      <c r="B119" s="27" t="s">
        <v>4876</v>
      </c>
      <c r="C119" s="23" t="s">
        <v>5004</v>
      </c>
      <c r="D119" s="23" t="s">
        <v>5132</v>
      </c>
      <c r="E119" s="23" t="s">
        <v>5260</v>
      </c>
      <c r="F119" s="23" t="s">
        <v>5388</v>
      </c>
      <c r="G119" s="23" t="s">
        <v>5517</v>
      </c>
      <c r="H119" s="23" t="s">
        <v>5646</v>
      </c>
      <c r="I119" s="23" t="str">
        <f t="shared" si="10"/>
        <v>118 INIT PATCH</v>
      </c>
      <c r="J119" t="str">
        <f t="shared" si="12"/>
        <v>118 Squeeze Me! ACCRDION 4</v>
      </c>
      <c r="K119" t="str">
        <f t="shared" si="13"/>
        <v>118 SC Xylo MALLET</v>
      </c>
      <c r="L119" t="str">
        <f t="shared" si="14"/>
        <v>118 R&amp;B Bass 3 SYNTH BASS</v>
      </c>
      <c r="M119" t="str">
        <f t="shared" si="15"/>
        <v>118 Grande Tuba AC.BRASS</v>
      </c>
      <c r="N119" t="str">
        <f t="shared" si="16"/>
        <v>118 Alpha Spit SOFT LEAD</v>
      </c>
      <c r="O119" t="str">
        <f t="shared" si="17"/>
        <v>118 Chaos 2003 SYNTH FX</v>
      </c>
      <c r="P119" t="str">
        <f t="shared" si="18"/>
        <v>118 Polar Night BRIGHT PAD</v>
      </c>
      <c r="Q119" t="str">
        <f t="shared" si="19"/>
        <v>118 Groove 007 BEAT&amp;GROOVE</v>
      </c>
      <c r="R119" t="str">
        <f t="shared" si="11"/>
        <v>118</v>
      </c>
    </row>
    <row r="120" spans="1:18" x14ac:dyDescent="0.25">
      <c r="A120" s="23" t="s">
        <v>4749</v>
      </c>
      <c r="B120" s="27" t="s">
        <v>4877</v>
      </c>
      <c r="C120" s="23" t="s">
        <v>5005</v>
      </c>
      <c r="D120" s="23" t="s">
        <v>5133</v>
      </c>
      <c r="E120" s="23" t="s">
        <v>5261</v>
      </c>
      <c r="F120" s="23" t="s">
        <v>5389</v>
      </c>
      <c r="G120" s="23" t="s">
        <v>5518</v>
      </c>
      <c r="H120" s="23" t="s">
        <v>5647</v>
      </c>
      <c r="I120" s="23" t="str">
        <f t="shared" si="10"/>
        <v>119 INIT PATCH</v>
      </c>
      <c r="J120" t="str">
        <f t="shared" si="12"/>
        <v>119 Solo Tp AC.BRASS</v>
      </c>
      <c r="K120" t="str">
        <f t="shared" si="13"/>
        <v>119 Ethno Keys MALLET</v>
      </c>
      <c r="L120" t="str">
        <f t="shared" si="14"/>
        <v>119 Not a Bass SYNTH BASS</v>
      </c>
      <c r="M120" t="str">
        <f t="shared" si="15"/>
        <v>119 SC Tuba AC.BRASS</v>
      </c>
      <c r="N120" t="str">
        <f t="shared" si="16"/>
        <v>119 Vliolin Lead SOFT LEAD</v>
      </c>
      <c r="O120" t="str">
        <f t="shared" si="17"/>
        <v>119 Control Room SYNTH FX</v>
      </c>
      <c r="P120" t="str">
        <f t="shared" si="18"/>
        <v>119 Cell 5th BRIGHT PAD</v>
      </c>
      <c r="Q120" t="str">
        <f t="shared" si="19"/>
        <v>119 In Da Groove BEAT&amp;GROOVE</v>
      </c>
      <c r="R120" t="str">
        <f t="shared" si="11"/>
        <v>119</v>
      </c>
    </row>
    <row r="121" spans="1:18" x14ac:dyDescent="0.25">
      <c r="A121" s="23" t="s">
        <v>4750</v>
      </c>
      <c r="B121" s="27" t="s">
        <v>4878</v>
      </c>
      <c r="C121" s="23" t="s">
        <v>5006</v>
      </c>
      <c r="D121" s="23" t="s">
        <v>5134</v>
      </c>
      <c r="E121" s="23" t="s">
        <v>5262</v>
      </c>
      <c r="F121" s="23" t="s">
        <v>5390</v>
      </c>
      <c r="G121" s="23" t="s">
        <v>5519</v>
      </c>
      <c r="H121" s="23" t="s">
        <v>5648</v>
      </c>
      <c r="I121" s="23" t="str">
        <f t="shared" si="10"/>
        <v>120 INIT PATCH</v>
      </c>
      <c r="J121" t="str">
        <f t="shared" si="12"/>
        <v>120 SC Violin STRINGS</v>
      </c>
      <c r="K121" t="str">
        <f t="shared" si="13"/>
        <v>120 Synergy MLT MALLET</v>
      </c>
      <c r="L121" t="str">
        <f t="shared" si="14"/>
        <v>120 ResoSyn Bs 1 SYNTH BASS</v>
      </c>
      <c r="M121" t="str">
        <f t="shared" si="15"/>
        <v>120 StackTp Sect AC.BRASS</v>
      </c>
      <c r="N121" t="str">
        <f t="shared" si="16"/>
        <v>120 Mod Lead SOFT LEAD</v>
      </c>
      <c r="O121" t="str">
        <f t="shared" si="17"/>
        <v>120 OutOf sortz SYNTH FX</v>
      </c>
      <c r="P121" t="str">
        <f t="shared" si="18"/>
        <v>120 MistOver5ths BRIGHT PAD</v>
      </c>
      <c r="Q121" t="str">
        <f t="shared" si="19"/>
        <v>120 Sweet 80s BEAT&amp;GROOVE</v>
      </c>
      <c r="R121" t="str">
        <f t="shared" si="11"/>
        <v>120</v>
      </c>
    </row>
    <row r="122" spans="1:18" x14ac:dyDescent="0.25">
      <c r="A122" s="23" t="s">
        <v>4751</v>
      </c>
      <c r="B122" s="27" t="s">
        <v>4879</v>
      </c>
      <c r="C122" s="23" t="s">
        <v>5007</v>
      </c>
      <c r="D122" s="23" t="s">
        <v>5135</v>
      </c>
      <c r="E122" s="23" t="s">
        <v>5263</v>
      </c>
      <c r="F122" s="23" t="s">
        <v>5391</v>
      </c>
      <c r="G122" s="23" t="s">
        <v>5520</v>
      </c>
      <c r="H122" s="23" t="s">
        <v>5649</v>
      </c>
      <c r="I122" s="23" t="str">
        <f t="shared" si="10"/>
        <v>121 INIT PATCH</v>
      </c>
      <c r="J122" t="str">
        <f t="shared" si="12"/>
        <v>121 SC Cello STRINGS</v>
      </c>
      <c r="K122" t="str">
        <f t="shared" si="13"/>
        <v>121 Icy Keys MALLET</v>
      </c>
      <c r="L122" t="str">
        <f t="shared" si="14"/>
        <v>121 SH-1 Bass SYNTH BASS</v>
      </c>
      <c r="M122" t="str">
        <f t="shared" si="15"/>
        <v>121 Tb Section AC.BRASS</v>
      </c>
      <c r="N122" t="str">
        <f t="shared" si="16"/>
        <v>121 JP Saw Lead SOFT LEAD</v>
      </c>
      <c r="O122" t="str">
        <f t="shared" si="17"/>
        <v>121 Scatter SYNTH FX</v>
      </c>
      <c r="P122" t="str">
        <f t="shared" si="18"/>
        <v>121 Gritty Pad BRIGHT PAD</v>
      </c>
      <c r="Q122" t="str">
        <f t="shared" si="19"/>
        <v>121 Autotrance BEAT&amp;GROOVE</v>
      </c>
      <c r="R122" t="str">
        <f t="shared" si="11"/>
        <v>121</v>
      </c>
    </row>
    <row r="123" spans="1:18" x14ac:dyDescent="0.25">
      <c r="A123" s="23" t="s">
        <v>4752</v>
      </c>
      <c r="B123" s="27" t="s">
        <v>4880</v>
      </c>
      <c r="C123" s="23" t="s">
        <v>5008</v>
      </c>
      <c r="D123" s="23" t="s">
        <v>5136</v>
      </c>
      <c r="E123" s="23" t="s">
        <v>5264</v>
      </c>
      <c r="F123" s="23" t="s">
        <v>5392</v>
      </c>
      <c r="G123" s="23" t="s">
        <v>5521</v>
      </c>
      <c r="H123" s="23" t="s">
        <v>5650</v>
      </c>
      <c r="I123" s="23" t="str">
        <f t="shared" si="10"/>
        <v>122 INIT PATCH</v>
      </c>
      <c r="J123" t="str">
        <f t="shared" si="12"/>
        <v>122 Juno-D Maj7 TECHNO SYNTH</v>
      </c>
      <c r="K123" t="str">
        <f t="shared" si="13"/>
        <v>122 Steel Drums MALLET</v>
      </c>
      <c r="L123" t="str">
        <f t="shared" si="14"/>
        <v>122 SH-101 Bs 2 SYNTH BASS</v>
      </c>
      <c r="M123" t="str">
        <f t="shared" si="15"/>
        <v>122 TpTb Sect. AC.BRASS</v>
      </c>
      <c r="N123" t="str">
        <f t="shared" si="16"/>
        <v>122 Tristar SOFT LEAD</v>
      </c>
      <c r="O123" t="str">
        <f t="shared" si="17"/>
        <v>122 Low Beat-S SYNTH FX</v>
      </c>
      <c r="P123" t="str">
        <f t="shared" si="18"/>
        <v>122 India Garden BRIGHT PAD</v>
      </c>
      <c r="Q123" t="str">
        <f t="shared" si="19"/>
        <v>122 Juno Pop BEAT&amp;GROOVE</v>
      </c>
      <c r="R123" t="str">
        <f t="shared" si="11"/>
        <v>122</v>
      </c>
    </row>
    <row r="124" spans="1:18" x14ac:dyDescent="0.25">
      <c r="A124" s="23" t="s">
        <v>4753</v>
      </c>
      <c r="B124" s="27" t="s">
        <v>4881</v>
      </c>
      <c r="C124" s="23" t="s">
        <v>5009</v>
      </c>
      <c r="D124" s="23" t="s">
        <v>5137</v>
      </c>
      <c r="E124" s="23" t="s">
        <v>5265</v>
      </c>
      <c r="F124" s="23" t="s">
        <v>5393</v>
      </c>
      <c r="G124" s="23" t="s">
        <v>5522</v>
      </c>
      <c r="H124" s="23" t="s">
        <v>5651</v>
      </c>
      <c r="I124" s="23" t="str">
        <f t="shared" si="10"/>
        <v>123 INIT PATCH</v>
      </c>
      <c r="J124" t="str">
        <f t="shared" si="12"/>
        <v>123 Sweet House TECHNO SYNTH</v>
      </c>
      <c r="K124" t="str">
        <f t="shared" si="13"/>
        <v>123 50`SteelDrms MALLET</v>
      </c>
      <c r="L124" t="str">
        <f t="shared" si="14"/>
        <v>123 Punch MG 1 SYNTH BASS</v>
      </c>
      <c r="M124" t="str">
        <f t="shared" si="15"/>
        <v>123 SC Brt Brass AC.BRASS</v>
      </c>
      <c r="N124" t="str">
        <f t="shared" si="16"/>
        <v>123 Chubby Lead SOFT LEAD</v>
      </c>
      <c r="O124" t="str">
        <f t="shared" si="17"/>
        <v>123 WaitnOutside SYNTH FX</v>
      </c>
      <c r="P124" t="str">
        <f t="shared" si="18"/>
        <v>123 BillionStars BRIGHT PAD</v>
      </c>
      <c r="Q124" t="str">
        <f t="shared" si="19"/>
        <v>123 Compusonic 1 BEAT&amp;GROOVE</v>
      </c>
      <c r="R124" t="str">
        <f t="shared" si="11"/>
        <v>123</v>
      </c>
    </row>
    <row r="125" spans="1:18" x14ac:dyDescent="0.25">
      <c r="A125" s="23" t="s">
        <v>4754</v>
      </c>
      <c r="B125" s="27" t="s">
        <v>4882</v>
      </c>
      <c r="C125" s="23" t="s">
        <v>5010</v>
      </c>
      <c r="D125" s="23" t="s">
        <v>5138</v>
      </c>
      <c r="E125" s="23" t="s">
        <v>5266</v>
      </c>
      <c r="F125" s="23" t="s">
        <v>5394</v>
      </c>
      <c r="G125" s="23" t="s">
        <v>5523</v>
      </c>
      <c r="H125" s="23" t="s">
        <v>5652</v>
      </c>
      <c r="I125" s="23" t="str">
        <f t="shared" si="10"/>
        <v>124 INIT PATCH</v>
      </c>
      <c r="J125" t="str">
        <f t="shared" si="12"/>
        <v>124 ElectroDisco BEAT&amp;GROOVE</v>
      </c>
      <c r="K125" t="str">
        <f t="shared" si="13"/>
        <v>124 Xylosizer MALLET</v>
      </c>
      <c r="L125" t="str">
        <f t="shared" si="14"/>
        <v>124 MKS-50 SynBs SYNTH BASS</v>
      </c>
      <c r="M125" t="str">
        <f t="shared" si="15"/>
        <v>124 SC BrsSect 1 AC.BRASS</v>
      </c>
      <c r="N125" t="str">
        <f t="shared" si="16"/>
        <v>124 Sneaky Leady SOFT LEAD</v>
      </c>
      <c r="O125" t="str">
        <f t="shared" si="17"/>
        <v>124 Breath Echo SYNTH FX</v>
      </c>
      <c r="P125" t="str">
        <f t="shared" si="18"/>
        <v>124 Sand Pad BRIGHT PAD</v>
      </c>
      <c r="Q125" t="str">
        <f t="shared" si="19"/>
        <v>124 Compusonic 2 BEAT&amp;GROOVE</v>
      </c>
      <c r="R125" t="str">
        <f t="shared" si="11"/>
        <v>124</v>
      </c>
    </row>
    <row r="126" spans="1:18" x14ac:dyDescent="0.25">
      <c r="A126" s="23" t="s">
        <v>4755</v>
      </c>
      <c r="B126" s="27" t="s">
        <v>4883</v>
      </c>
      <c r="C126" s="23" t="s">
        <v>5011</v>
      </c>
      <c r="D126" s="23" t="s">
        <v>5139</v>
      </c>
      <c r="E126" s="23" t="s">
        <v>5267</v>
      </c>
      <c r="F126" s="23" t="s">
        <v>5395</v>
      </c>
      <c r="G126" s="23" t="s">
        <v>5524</v>
      </c>
      <c r="H126" s="23" t="s">
        <v>5653</v>
      </c>
      <c r="I126" s="23" t="str">
        <f t="shared" si="10"/>
        <v>125 INIT PATCH</v>
      </c>
      <c r="J126" t="str">
        <f t="shared" si="12"/>
        <v>125 Groove 007 BEAT&amp;GROOVE</v>
      </c>
      <c r="K126" t="str">
        <f t="shared" si="13"/>
        <v>125 Toy Box MALLET</v>
      </c>
      <c r="L126" t="str">
        <f t="shared" si="14"/>
        <v>125 Gashed Bass SYNTH BASS</v>
      </c>
      <c r="M126" t="str">
        <f t="shared" si="15"/>
        <v>125 SC BrsSect 2 AC.BRASS</v>
      </c>
      <c r="N126" t="str">
        <f t="shared" si="16"/>
        <v>125 Shaku Lead SOFT LEAD</v>
      </c>
      <c r="O126" t="str">
        <f t="shared" si="17"/>
        <v>125 SoundStrange SYNTH FX</v>
      </c>
      <c r="P126" t="str">
        <f t="shared" si="18"/>
        <v>125 ReverseSweep BRIGHT PAD</v>
      </c>
      <c r="Q126" t="str">
        <f t="shared" si="19"/>
        <v>125 80s Combo COMBINATION</v>
      </c>
      <c r="R126" t="str">
        <f t="shared" si="11"/>
        <v>125</v>
      </c>
    </row>
    <row r="127" spans="1:18" x14ac:dyDescent="0.25">
      <c r="A127" s="23" t="s">
        <v>4756</v>
      </c>
      <c r="B127" s="27" t="s">
        <v>4884</v>
      </c>
      <c r="C127" s="23" t="s">
        <v>5012</v>
      </c>
      <c r="D127" s="23" t="s">
        <v>5140</v>
      </c>
      <c r="E127" s="23" t="s">
        <v>5268</v>
      </c>
      <c r="F127" s="23" t="s">
        <v>5396</v>
      </c>
      <c r="G127" s="23" t="s">
        <v>5525</v>
      </c>
      <c r="H127" s="23" t="s">
        <v>5654</v>
      </c>
      <c r="I127" s="23" t="str">
        <f t="shared" si="10"/>
        <v>126 INIT PATCH</v>
      </c>
      <c r="J127" t="str">
        <f t="shared" si="12"/>
        <v>126 Autotrance BEAT&amp;GROOVE</v>
      </c>
      <c r="K127" t="str">
        <f t="shared" si="13"/>
        <v>126 AirPluck MALLET</v>
      </c>
      <c r="L127" t="str">
        <f t="shared" si="14"/>
        <v>126 Q Bass SYNTH BASS</v>
      </c>
      <c r="M127" t="str">
        <f t="shared" si="15"/>
        <v>126 Tpts &amp; Tmbs AC.BRASS</v>
      </c>
      <c r="N127" t="str">
        <f t="shared" si="16"/>
        <v>126 Legato Tkno SOFT LEAD</v>
      </c>
      <c r="O127" t="str">
        <f t="shared" si="17"/>
        <v>126 Cosmic Pulse SYNTH FX</v>
      </c>
      <c r="P127" t="str">
        <f t="shared" si="18"/>
        <v>126 HugeSoundMod BRIGHT PAD</v>
      </c>
      <c r="Q127" t="str">
        <f t="shared" si="19"/>
        <v>126 Analog Days COMBINATION</v>
      </c>
      <c r="R127" t="str">
        <f t="shared" si="11"/>
        <v>126</v>
      </c>
    </row>
    <row r="128" spans="1:18" x14ac:dyDescent="0.25">
      <c r="A128" s="23" t="s">
        <v>4757</v>
      </c>
      <c r="B128" s="27" t="s">
        <v>4885</v>
      </c>
      <c r="C128" s="23" t="s">
        <v>5013</v>
      </c>
      <c r="D128" s="23" t="s">
        <v>5141</v>
      </c>
      <c r="E128" s="23" t="s">
        <v>5269</v>
      </c>
      <c r="F128" s="23" t="s">
        <v>5397</v>
      </c>
      <c r="G128" s="23" t="s">
        <v>5526</v>
      </c>
      <c r="H128" s="23" t="s">
        <v>5655</v>
      </c>
      <c r="I128" s="23" t="str">
        <f t="shared" si="10"/>
        <v>127 INIT PATCH</v>
      </c>
      <c r="J128" t="str">
        <f t="shared" si="12"/>
        <v>127 Compusonic 2 BEAT&amp;GROOVE</v>
      </c>
      <c r="K128" t="str">
        <f t="shared" si="13"/>
        <v>127 HardRockORG1 ORGAN</v>
      </c>
      <c r="L128" t="str">
        <f t="shared" si="14"/>
        <v>127 Super-G DX SYNTH BASS</v>
      </c>
      <c r="M128" t="str">
        <f t="shared" si="15"/>
        <v>127 Brass &amp; Sax AC.BRASS</v>
      </c>
      <c r="N128" t="str">
        <f t="shared" si="16"/>
        <v>127 SCResoSaw Ld SOFT LEAD</v>
      </c>
      <c r="O128" t="str">
        <f t="shared" si="17"/>
        <v>127 Faked Piano SYNTH FX</v>
      </c>
      <c r="P128" t="str">
        <f t="shared" si="18"/>
        <v>127 Metal Swell BRIGHT PAD</v>
      </c>
      <c r="Q128" t="str">
        <f t="shared" si="19"/>
        <v>127 Techno Craft COMBINATION</v>
      </c>
      <c r="R128" t="str">
        <f t="shared" si="11"/>
        <v>127</v>
      </c>
    </row>
    <row r="129" spans="1:18" ht="15.75" thickBot="1" x14ac:dyDescent="0.3">
      <c r="A129" s="23" t="s">
        <v>4758</v>
      </c>
      <c r="B129" s="28" t="s">
        <v>4886</v>
      </c>
      <c r="C129" s="25" t="s">
        <v>5014</v>
      </c>
      <c r="D129" s="25" t="s">
        <v>5142</v>
      </c>
      <c r="E129" s="25" t="s">
        <v>5270</v>
      </c>
      <c r="F129" s="25" t="s">
        <v>5398</v>
      </c>
      <c r="G129" s="25" t="s">
        <v>5527</v>
      </c>
      <c r="H129" s="25" t="s">
        <v>5656</v>
      </c>
      <c r="I129" s="23" t="str">
        <f t="shared" si="10"/>
        <v>128 INIT PATCH</v>
      </c>
      <c r="J129" t="str">
        <f t="shared" si="12"/>
        <v>128 Passing by SYNTH FX</v>
      </c>
      <c r="K129" t="str">
        <f t="shared" si="13"/>
        <v>128 HardRockORG2 ORGAN</v>
      </c>
      <c r="L129" t="str">
        <f t="shared" si="14"/>
        <v>128 Kickin´ Bass SYNTH BASS</v>
      </c>
      <c r="M129" t="str">
        <f t="shared" si="15"/>
        <v>128 BrassPartOut AC.BRASS</v>
      </c>
      <c r="N129" t="str">
        <f t="shared" si="16"/>
        <v>128 SliCed Lead SOFT LEAD</v>
      </c>
      <c r="O129" t="str">
        <f t="shared" si="17"/>
        <v>128 SC Crystal SYNTH FX</v>
      </c>
      <c r="P129" t="str">
        <f t="shared" si="18"/>
        <v>128 NuSoundtrack BRIGHT PAD</v>
      </c>
      <c r="Q129" t="str">
        <f t="shared" si="19"/>
        <v>128 Lounge Kit COMBINATION</v>
      </c>
      <c r="R129" t="str">
        <f t="shared" si="11"/>
        <v>128</v>
      </c>
    </row>
    <row r="130" spans="1:18" x14ac:dyDescent="0.25">
      <c r="A130" s="23" t="str">
        <f>_xlfn.VALUETOTEXT(ROW()-1)&amp;" INIT PATCH"</f>
        <v>129 INIT PATCH</v>
      </c>
      <c r="J130" t="str">
        <f t="shared" si="12"/>
        <v>129 INIT PATCH</v>
      </c>
      <c r="R130" t="str">
        <f t="shared" ref="R130:R193" si="20">IF(ROW()-1 &gt; 99,_xlfn.VALUETOTEXT(ROW()-1),IF(ROW()-1 &gt; 9, "0"&amp;_xlfn.VALUETOTEXT(ROW()-1),"00"&amp;_xlfn.VALUETOTEXT(ROW()-1)))</f>
        <v>129</v>
      </c>
    </row>
    <row r="131" spans="1:18" x14ac:dyDescent="0.25">
      <c r="A131" s="23" t="str">
        <f>_xlfn.VALUETOTEXT(ROW()-1)&amp;" INIT PATCH"</f>
        <v>130 INIT PATCH</v>
      </c>
      <c r="J131" t="str">
        <f t="shared" ref="J131:J194" si="21">R131&amp;" "&amp;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SUBSTITUTE(A131,"'","´"),"AC.PIANO [0-9]","AC.PIANO",-1),"PULSATING [0-9]","PULSATING"),"KEYBOARDS [0-9]","KEYBOARDS"),"EL.PIANO [0-9]","EL.PIANO"),"BELL [0-9]","BELL"),"MALLET [0-9]","MALLET"),"ORGAN [0-9]","ORGAN"),"ACCORDION [0-9]","ACCORDION"),"HARMONICA [0-9]","HARMONICA"),"AC.GUITAR [0-9]","AC.GUITAR"),"EL.GUITAR [0-9]","EL.GUITAR"),"DIST.GUITAR [0-9]","DIST.GUITAR"),"BASS [0-9]","BASS"),"STRINGS [0-9]","STRINGS"),"SYNTH BASS [0-9]","SYNTH BASS"),"ORCHESTRA [0-9]","ORCHESTRA"),"WIND [0-9]","WIND"),"FLUTE [0-9]","FLUTE"),"AC.BRASS [0-9]","AC.BRASS"),"SYNTH BRASS [0-9]","SYNTH BRASS"),"SAX [0-9]","SAX"),"SOFT LEAD [0-9]","SOFT LEAD"),"HARD LEAD [0-9]","HARD LEAD"),"HIT&amp;STAB [0-9]","HIT&amp;STAB"),"TECHNO SYNTH [0-9]","TECHNO SYNTH"),"OTHER SYNTH [0-9]","OTHER SYNTH"),"VOX [0-9]","VOX"),"SOFT PAD [0-9]","SOFT PAD"),"BRIGHT PAD [0-9]","BRIGHT PAD"),"PLUCKED [0-9]","PLUCKED"),"ETHNIC [0-9]","ETHNIC"),"FRETTED [0-9]","FRETTED"),"SYNTH FX [0-9]","SYNTH FX"),"BEAT&amp;GROOVE [0-9]","BEAT&amp;GROOVE"),"PERCUSSION [0-9]","PERCUSSION"),"COMBINATION [0-9]","COMBINATION")," PR-A[0-9][0-9][0-9]",""),"[0-9]* ","",1)</f>
        <v>130 INIT PATCH</v>
      </c>
      <c r="R131" t="str">
        <f t="shared" si="20"/>
        <v>130</v>
      </c>
    </row>
    <row r="132" spans="1:18" x14ac:dyDescent="0.25">
      <c r="A132" s="23" t="str">
        <f t="shared" ref="A132:A195" si="22">_xlfn.VALUETOTEXT(ROW()-1)&amp;" INIT PATCH"</f>
        <v>131 INIT PATCH</v>
      </c>
      <c r="J132" t="str">
        <f t="shared" si="21"/>
        <v>131 INIT PATCH</v>
      </c>
      <c r="R132" t="str">
        <f t="shared" si="20"/>
        <v>131</v>
      </c>
    </row>
    <row r="133" spans="1:18" x14ac:dyDescent="0.25">
      <c r="A133" s="23" t="str">
        <f t="shared" si="22"/>
        <v>132 INIT PATCH</v>
      </c>
      <c r="J133" t="str">
        <f t="shared" si="21"/>
        <v>132 INIT PATCH</v>
      </c>
      <c r="R133" t="str">
        <f t="shared" si="20"/>
        <v>132</v>
      </c>
    </row>
    <row r="134" spans="1:18" x14ac:dyDescent="0.25">
      <c r="A134" s="23" t="str">
        <f t="shared" si="22"/>
        <v>133 INIT PATCH</v>
      </c>
      <c r="J134" t="str">
        <f t="shared" si="21"/>
        <v>133 INIT PATCH</v>
      </c>
      <c r="R134" t="str">
        <f t="shared" si="20"/>
        <v>133</v>
      </c>
    </row>
    <row r="135" spans="1:18" x14ac:dyDescent="0.25">
      <c r="A135" s="23" t="str">
        <f t="shared" si="22"/>
        <v>134 INIT PATCH</v>
      </c>
      <c r="J135" t="str">
        <f t="shared" si="21"/>
        <v>134 INIT PATCH</v>
      </c>
      <c r="R135" t="str">
        <f t="shared" si="20"/>
        <v>134</v>
      </c>
    </row>
    <row r="136" spans="1:18" x14ac:dyDescent="0.25">
      <c r="A136" s="23" t="str">
        <f t="shared" si="22"/>
        <v>135 INIT PATCH</v>
      </c>
      <c r="J136" t="str">
        <f t="shared" si="21"/>
        <v>135 INIT PATCH</v>
      </c>
      <c r="R136" t="str">
        <f t="shared" si="20"/>
        <v>135</v>
      </c>
    </row>
    <row r="137" spans="1:18" x14ac:dyDescent="0.25">
      <c r="A137" s="23" t="str">
        <f t="shared" si="22"/>
        <v>136 INIT PATCH</v>
      </c>
      <c r="J137" t="str">
        <f t="shared" si="21"/>
        <v>136 INIT PATCH</v>
      </c>
      <c r="R137" t="str">
        <f t="shared" si="20"/>
        <v>136</v>
      </c>
    </row>
    <row r="138" spans="1:18" x14ac:dyDescent="0.25">
      <c r="A138" s="23" t="str">
        <f t="shared" si="22"/>
        <v>137 INIT PATCH</v>
      </c>
      <c r="J138" t="str">
        <f t="shared" si="21"/>
        <v>137 INIT PATCH</v>
      </c>
      <c r="R138" t="str">
        <f t="shared" si="20"/>
        <v>137</v>
      </c>
    </row>
    <row r="139" spans="1:18" x14ac:dyDescent="0.25">
      <c r="A139" s="23" t="str">
        <f t="shared" si="22"/>
        <v>138 INIT PATCH</v>
      </c>
      <c r="J139" t="str">
        <f t="shared" si="21"/>
        <v>138 INIT PATCH</v>
      </c>
      <c r="R139" t="str">
        <f t="shared" si="20"/>
        <v>138</v>
      </c>
    </row>
    <row r="140" spans="1:18" x14ac:dyDescent="0.25">
      <c r="A140" s="23" t="str">
        <f t="shared" si="22"/>
        <v>139 INIT PATCH</v>
      </c>
      <c r="J140" t="str">
        <f t="shared" si="21"/>
        <v>139 INIT PATCH</v>
      </c>
      <c r="R140" t="str">
        <f t="shared" si="20"/>
        <v>139</v>
      </c>
    </row>
    <row r="141" spans="1:18" x14ac:dyDescent="0.25">
      <c r="A141" s="23" t="str">
        <f t="shared" si="22"/>
        <v>140 INIT PATCH</v>
      </c>
      <c r="J141" t="str">
        <f t="shared" si="21"/>
        <v>140 INIT PATCH</v>
      </c>
      <c r="R141" t="str">
        <f t="shared" si="20"/>
        <v>140</v>
      </c>
    </row>
    <row r="142" spans="1:18" x14ac:dyDescent="0.25">
      <c r="A142" s="23" t="str">
        <f t="shared" si="22"/>
        <v>141 INIT PATCH</v>
      </c>
      <c r="J142" t="str">
        <f t="shared" si="21"/>
        <v>141 INIT PATCH</v>
      </c>
      <c r="R142" t="str">
        <f t="shared" si="20"/>
        <v>141</v>
      </c>
    </row>
    <row r="143" spans="1:18" x14ac:dyDescent="0.25">
      <c r="A143" s="23" t="str">
        <f t="shared" si="22"/>
        <v>142 INIT PATCH</v>
      </c>
      <c r="J143" t="str">
        <f t="shared" si="21"/>
        <v>142 INIT PATCH</v>
      </c>
      <c r="R143" t="str">
        <f t="shared" si="20"/>
        <v>142</v>
      </c>
    </row>
    <row r="144" spans="1:18" x14ac:dyDescent="0.25">
      <c r="A144" s="23" t="str">
        <f t="shared" si="22"/>
        <v>143 INIT PATCH</v>
      </c>
      <c r="J144" t="str">
        <f t="shared" si="21"/>
        <v>143 INIT PATCH</v>
      </c>
      <c r="R144" t="str">
        <f t="shared" si="20"/>
        <v>143</v>
      </c>
    </row>
    <row r="145" spans="1:18" x14ac:dyDescent="0.25">
      <c r="A145" s="23" t="str">
        <f t="shared" si="22"/>
        <v>144 INIT PATCH</v>
      </c>
      <c r="J145" t="str">
        <f t="shared" si="21"/>
        <v>144 INIT PATCH</v>
      </c>
      <c r="R145" t="str">
        <f t="shared" si="20"/>
        <v>144</v>
      </c>
    </row>
    <row r="146" spans="1:18" x14ac:dyDescent="0.25">
      <c r="A146" s="23" t="str">
        <f t="shared" si="22"/>
        <v>145 INIT PATCH</v>
      </c>
      <c r="J146" t="str">
        <f t="shared" si="21"/>
        <v>145 INIT PATCH</v>
      </c>
      <c r="R146" t="str">
        <f t="shared" si="20"/>
        <v>145</v>
      </c>
    </row>
    <row r="147" spans="1:18" x14ac:dyDescent="0.25">
      <c r="A147" s="23" t="str">
        <f t="shared" si="22"/>
        <v>146 INIT PATCH</v>
      </c>
      <c r="J147" t="str">
        <f t="shared" si="21"/>
        <v>146 INIT PATCH</v>
      </c>
      <c r="R147" t="str">
        <f t="shared" si="20"/>
        <v>146</v>
      </c>
    </row>
    <row r="148" spans="1:18" x14ac:dyDescent="0.25">
      <c r="A148" s="23" t="str">
        <f t="shared" si="22"/>
        <v>147 INIT PATCH</v>
      </c>
      <c r="J148" t="str">
        <f t="shared" si="21"/>
        <v>147 INIT PATCH</v>
      </c>
      <c r="R148" t="str">
        <f t="shared" si="20"/>
        <v>147</v>
      </c>
    </row>
    <row r="149" spans="1:18" x14ac:dyDescent="0.25">
      <c r="A149" s="23" t="str">
        <f t="shared" si="22"/>
        <v>148 INIT PATCH</v>
      </c>
      <c r="J149" t="str">
        <f t="shared" si="21"/>
        <v>148 INIT PATCH</v>
      </c>
      <c r="R149" t="str">
        <f t="shared" si="20"/>
        <v>148</v>
      </c>
    </row>
    <row r="150" spans="1:18" x14ac:dyDescent="0.25">
      <c r="A150" s="23" t="str">
        <f t="shared" si="22"/>
        <v>149 INIT PATCH</v>
      </c>
      <c r="J150" t="str">
        <f t="shared" si="21"/>
        <v>149 INIT PATCH</v>
      </c>
      <c r="R150" t="str">
        <f t="shared" si="20"/>
        <v>149</v>
      </c>
    </row>
    <row r="151" spans="1:18" x14ac:dyDescent="0.25">
      <c r="A151" s="23" t="str">
        <f t="shared" si="22"/>
        <v>150 INIT PATCH</v>
      </c>
      <c r="J151" t="str">
        <f t="shared" si="21"/>
        <v>150 INIT PATCH</v>
      </c>
      <c r="R151" t="str">
        <f t="shared" si="20"/>
        <v>150</v>
      </c>
    </row>
    <row r="152" spans="1:18" x14ac:dyDescent="0.25">
      <c r="A152" s="23" t="str">
        <f t="shared" si="22"/>
        <v>151 INIT PATCH</v>
      </c>
      <c r="J152" t="str">
        <f t="shared" si="21"/>
        <v>151 INIT PATCH</v>
      </c>
      <c r="R152" t="str">
        <f t="shared" si="20"/>
        <v>151</v>
      </c>
    </row>
    <row r="153" spans="1:18" x14ac:dyDescent="0.25">
      <c r="A153" s="23" t="str">
        <f t="shared" si="22"/>
        <v>152 INIT PATCH</v>
      </c>
      <c r="J153" t="str">
        <f t="shared" si="21"/>
        <v>152 INIT PATCH</v>
      </c>
      <c r="R153" t="str">
        <f t="shared" si="20"/>
        <v>152</v>
      </c>
    </row>
    <row r="154" spans="1:18" x14ac:dyDescent="0.25">
      <c r="A154" s="23" t="str">
        <f t="shared" si="22"/>
        <v>153 INIT PATCH</v>
      </c>
      <c r="J154" t="str">
        <f t="shared" si="21"/>
        <v>153 INIT PATCH</v>
      </c>
      <c r="R154" t="str">
        <f t="shared" si="20"/>
        <v>153</v>
      </c>
    </row>
    <row r="155" spans="1:18" x14ac:dyDescent="0.25">
      <c r="A155" s="23" t="str">
        <f t="shared" si="22"/>
        <v>154 INIT PATCH</v>
      </c>
      <c r="J155" t="str">
        <f t="shared" si="21"/>
        <v>154 INIT PATCH</v>
      </c>
      <c r="R155" t="str">
        <f t="shared" si="20"/>
        <v>154</v>
      </c>
    </row>
    <row r="156" spans="1:18" x14ac:dyDescent="0.25">
      <c r="A156" s="23" t="str">
        <f t="shared" si="22"/>
        <v>155 INIT PATCH</v>
      </c>
      <c r="J156" t="str">
        <f t="shared" si="21"/>
        <v>155 INIT PATCH</v>
      </c>
      <c r="R156" t="str">
        <f t="shared" si="20"/>
        <v>155</v>
      </c>
    </row>
    <row r="157" spans="1:18" x14ac:dyDescent="0.25">
      <c r="A157" s="23" t="str">
        <f t="shared" si="22"/>
        <v>156 INIT PATCH</v>
      </c>
      <c r="J157" t="str">
        <f t="shared" si="21"/>
        <v>156 INIT PATCH</v>
      </c>
      <c r="R157" t="str">
        <f t="shared" si="20"/>
        <v>156</v>
      </c>
    </row>
    <row r="158" spans="1:18" x14ac:dyDescent="0.25">
      <c r="A158" s="23" t="str">
        <f t="shared" si="22"/>
        <v>157 INIT PATCH</v>
      </c>
      <c r="J158" t="str">
        <f t="shared" si="21"/>
        <v>157 INIT PATCH</v>
      </c>
      <c r="R158" t="str">
        <f t="shared" si="20"/>
        <v>157</v>
      </c>
    </row>
    <row r="159" spans="1:18" x14ac:dyDescent="0.25">
      <c r="A159" s="23" t="str">
        <f t="shared" si="22"/>
        <v>158 INIT PATCH</v>
      </c>
      <c r="J159" t="str">
        <f t="shared" si="21"/>
        <v>158 INIT PATCH</v>
      </c>
      <c r="R159" t="str">
        <f t="shared" si="20"/>
        <v>158</v>
      </c>
    </row>
    <row r="160" spans="1:18" x14ac:dyDescent="0.25">
      <c r="A160" s="23" t="str">
        <f t="shared" si="22"/>
        <v>159 INIT PATCH</v>
      </c>
      <c r="J160" t="str">
        <f t="shared" si="21"/>
        <v>159 INIT PATCH</v>
      </c>
      <c r="R160" t="str">
        <f t="shared" si="20"/>
        <v>159</v>
      </c>
    </row>
    <row r="161" spans="1:18" x14ac:dyDescent="0.25">
      <c r="A161" s="23" t="str">
        <f t="shared" si="22"/>
        <v>160 INIT PATCH</v>
      </c>
      <c r="J161" t="str">
        <f t="shared" si="21"/>
        <v>160 INIT PATCH</v>
      </c>
      <c r="R161" t="str">
        <f t="shared" si="20"/>
        <v>160</v>
      </c>
    </row>
    <row r="162" spans="1:18" x14ac:dyDescent="0.25">
      <c r="A162" s="23" t="str">
        <f t="shared" si="22"/>
        <v>161 INIT PATCH</v>
      </c>
      <c r="J162" t="str">
        <f t="shared" si="21"/>
        <v>161 INIT PATCH</v>
      </c>
      <c r="R162" t="str">
        <f t="shared" si="20"/>
        <v>161</v>
      </c>
    </row>
    <row r="163" spans="1:18" x14ac:dyDescent="0.25">
      <c r="A163" s="23" t="str">
        <f t="shared" si="22"/>
        <v>162 INIT PATCH</v>
      </c>
      <c r="J163" t="str">
        <f t="shared" si="21"/>
        <v>162 INIT PATCH</v>
      </c>
      <c r="R163" t="str">
        <f t="shared" si="20"/>
        <v>162</v>
      </c>
    </row>
    <row r="164" spans="1:18" x14ac:dyDescent="0.25">
      <c r="A164" s="23" t="str">
        <f t="shared" si="22"/>
        <v>163 INIT PATCH</v>
      </c>
      <c r="J164" t="str">
        <f t="shared" si="21"/>
        <v>163 INIT PATCH</v>
      </c>
      <c r="R164" t="str">
        <f t="shared" si="20"/>
        <v>163</v>
      </c>
    </row>
    <row r="165" spans="1:18" x14ac:dyDescent="0.25">
      <c r="A165" s="23" t="str">
        <f t="shared" si="22"/>
        <v>164 INIT PATCH</v>
      </c>
      <c r="J165" t="str">
        <f t="shared" si="21"/>
        <v>164 INIT PATCH</v>
      </c>
      <c r="R165" t="str">
        <f t="shared" si="20"/>
        <v>164</v>
      </c>
    </row>
    <row r="166" spans="1:18" x14ac:dyDescent="0.25">
      <c r="A166" s="23" t="str">
        <f t="shared" si="22"/>
        <v>165 INIT PATCH</v>
      </c>
      <c r="J166" t="str">
        <f t="shared" si="21"/>
        <v>165 INIT PATCH</v>
      </c>
      <c r="R166" t="str">
        <f t="shared" si="20"/>
        <v>165</v>
      </c>
    </row>
    <row r="167" spans="1:18" x14ac:dyDescent="0.25">
      <c r="A167" s="23" t="str">
        <f t="shared" si="22"/>
        <v>166 INIT PATCH</v>
      </c>
      <c r="J167" t="str">
        <f t="shared" si="21"/>
        <v>166 INIT PATCH</v>
      </c>
      <c r="R167" t="str">
        <f t="shared" si="20"/>
        <v>166</v>
      </c>
    </row>
    <row r="168" spans="1:18" x14ac:dyDescent="0.25">
      <c r="A168" s="23" t="str">
        <f t="shared" si="22"/>
        <v>167 INIT PATCH</v>
      </c>
      <c r="J168" t="str">
        <f t="shared" si="21"/>
        <v>167 INIT PATCH</v>
      </c>
      <c r="R168" t="str">
        <f t="shared" si="20"/>
        <v>167</v>
      </c>
    </row>
    <row r="169" spans="1:18" x14ac:dyDescent="0.25">
      <c r="A169" s="23" t="str">
        <f t="shared" si="22"/>
        <v>168 INIT PATCH</v>
      </c>
      <c r="J169" t="str">
        <f t="shared" si="21"/>
        <v>168 INIT PATCH</v>
      </c>
      <c r="R169" t="str">
        <f t="shared" si="20"/>
        <v>168</v>
      </c>
    </row>
    <row r="170" spans="1:18" x14ac:dyDescent="0.25">
      <c r="A170" s="23" t="str">
        <f t="shared" si="22"/>
        <v>169 INIT PATCH</v>
      </c>
      <c r="J170" t="str">
        <f t="shared" si="21"/>
        <v>169 INIT PATCH</v>
      </c>
      <c r="R170" t="str">
        <f t="shared" si="20"/>
        <v>169</v>
      </c>
    </row>
    <row r="171" spans="1:18" x14ac:dyDescent="0.25">
      <c r="A171" s="23" t="str">
        <f t="shared" si="22"/>
        <v>170 INIT PATCH</v>
      </c>
      <c r="J171" t="str">
        <f t="shared" si="21"/>
        <v>170 INIT PATCH</v>
      </c>
      <c r="R171" t="str">
        <f t="shared" si="20"/>
        <v>170</v>
      </c>
    </row>
    <row r="172" spans="1:18" x14ac:dyDescent="0.25">
      <c r="A172" s="23" t="str">
        <f t="shared" si="22"/>
        <v>171 INIT PATCH</v>
      </c>
      <c r="J172" t="str">
        <f t="shared" si="21"/>
        <v>171 INIT PATCH</v>
      </c>
      <c r="R172" t="str">
        <f t="shared" si="20"/>
        <v>171</v>
      </c>
    </row>
    <row r="173" spans="1:18" x14ac:dyDescent="0.25">
      <c r="A173" s="23" t="str">
        <f t="shared" si="22"/>
        <v>172 INIT PATCH</v>
      </c>
      <c r="J173" t="str">
        <f t="shared" si="21"/>
        <v>172 INIT PATCH</v>
      </c>
      <c r="R173" t="str">
        <f t="shared" si="20"/>
        <v>172</v>
      </c>
    </row>
    <row r="174" spans="1:18" x14ac:dyDescent="0.25">
      <c r="A174" s="23" t="str">
        <f t="shared" si="22"/>
        <v>173 INIT PATCH</v>
      </c>
      <c r="J174" t="str">
        <f t="shared" si="21"/>
        <v>173 INIT PATCH</v>
      </c>
      <c r="R174" t="str">
        <f t="shared" si="20"/>
        <v>173</v>
      </c>
    </row>
    <row r="175" spans="1:18" x14ac:dyDescent="0.25">
      <c r="A175" s="23" t="str">
        <f t="shared" si="22"/>
        <v>174 INIT PATCH</v>
      </c>
      <c r="J175" t="str">
        <f t="shared" si="21"/>
        <v>174 INIT PATCH</v>
      </c>
      <c r="R175" t="str">
        <f t="shared" si="20"/>
        <v>174</v>
      </c>
    </row>
    <row r="176" spans="1:18" x14ac:dyDescent="0.25">
      <c r="A176" s="23" t="str">
        <f t="shared" si="22"/>
        <v>175 INIT PATCH</v>
      </c>
      <c r="J176" t="str">
        <f t="shared" si="21"/>
        <v>175 INIT PATCH</v>
      </c>
      <c r="R176" t="str">
        <f t="shared" si="20"/>
        <v>175</v>
      </c>
    </row>
    <row r="177" spans="1:18" x14ac:dyDescent="0.25">
      <c r="A177" s="23" t="str">
        <f t="shared" si="22"/>
        <v>176 INIT PATCH</v>
      </c>
      <c r="J177" t="str">
        <f t="shared" si="21"/>
        <v>176 INIT PATCH</v>
      </c>
      <c r="R177" t="str">
        <f t="shared" si="20"/>
        <v>176</v>
      </c>
    </row>
    <row r="178" spans="1:18" x14ac:dyDescent="0.25">
      <c r="A178" s="23" t="str">
        <f t="shared" si="22"/>
        <v>177 INIT PATCH</v>
      </c>
      <c r="J178" t="str">
        <f t="shared" si="21"/>
        <v>177 INIT PATCH</v>
      </c>
      <c r="R178" t="str">
        <f t="shared" si="20"/>
        <v>177</v>
      </c>
    </row>
    <row r="179" spans="1:18" x14ac:dyDescent="0.25">
      <c r="A179" s="23" t="str">
        <f t="shared" si="22"/>
        <v>178 INIT PATCH</v>
      </c>
      <c r="J179" t="str">
        <f t="shared" si="21"/>
        <v>178 INIT PATCH</v>
      </c>
      <c r="R179" t="str">
        <f t="shared" si="20"/>
        <v>178</v>
      </c>
    </row>
    <row r="180" spans="1:18" x14ac:dyDescent="0.25">
      <c r="A180" s="23" t="str">
        <f t="shared" si="22"/>
        <v>179 INIT PATCH</v>
      </c>
      <c r="J180" t="str">
        <f t="shared" si="21"/>
        <v>179 INIT PATCH</v>
      </c>
      <c r="R180" t="str">
        <f t="shared" si="20"/>
        <v>179</v>
      </c>
    </row>
    <row r="181" spans="1:18" x14ac:dyDescent="0.25">
      <c r="A181" s="23" t="str">
        <f t="shared" si="22"/>
        <v>180 INIT PATCH</v>
      </c>
      <c r="J181" t="str">
        <f t="shared" si="21"/>
        <v>180 INIT PATCH</v>
      </c>
      <c r="R181" t="str">
        <f t="shared" si="20"/>
        <v>180</v>
      </c>
    </row>
    <row r="182" spans="1:18" x14ac:dyDescent="0.25">
      <c r="A182" s="23" t="str">
        <f t="shared" si="22"/>
        <v>181 INIT PATCH</v>
      </c>
      <c r="J182" t="str">
        <f t="shared" si="21"/>
        <v>181 INIT PATCH</v>
      </c>
      <c r="R182" t="str">
        <f t="shared" si="20"/>
        <v>181</v>
      </c>
    </row>
    <row r="183" spans="1:18" x14ac:dyDescent="0.25">
      <c r="A183" s="23" t="str">
        <f t="shared" si="22"/>
        <v>182 INIT PATCH</v>
      </c>
      <c r="J183" t="str">
        <f t="shared" si="21"/>
        <v>182 INIT PATCH</v>
      </c>
      <c r="R183" t="str">
        <f t="shared" si="20"/>
        <v>182</v>
      </c>
    </row>
    <row r="184" spans="1:18" x14ac:dyDescent="0.25">
      <c r="A184" s="23" t="str">
        <f t="shared" si="22"/>
        <v>183 INIT PATCH</v>
      </c>
      <c r="J184" t="str">
        <f t="shared" si="21"/>
        <v>183 INIT PATCH</v>
      </c>
      <c r="R184" t="str">
        <f t="shared" si="20"/>
        <v>183</v>
      </c>
    </row>
    <row r="185" spans="1:18" x14ac:dyDescent="0.25">
      <c r="A185" s="23" t="str">
        <f t="shared" si="22"/>
        <v>184 INIT PATCH</v>
      </c>
      <c r="J185" t="str">
        <f t="shared" si="21"/>
        <v>184 INIT PATCH</v>
      </c>
      <c r="R185" t="str">
        <f t="shared" si="20"/>
        <v>184</v>
      </c>
    </row>
    <row r="186" spans="1:18" x14ac:dyDescent="0.25">
      <c r="A186" s="23" t="str">
        <f t="shared" si="22"/>
        <v>185 INIT PATCH</v>
      </c>
      <c r="J186" t="str">
        <f t="shared" si="21"/>
        <v>185 INIT PATCH</v>
      </c>
      <c r="R186" t="str">
        <f t="shared" si="20"/>
        <v>185</v>
      </c>
    </row>
    <row r="187" spans="1:18" x14ac:dyDescent="0.25">
      <c r="A187" s="23" t="str">
        <f t="shared" si="22"/>
        <v>186 INIT PATCH</v>
      </c>
      <c r="J187" t="str">
        <f t="shared" si="21"/>
        <v>186 INIT PATCH</v>
      </c>
      <c r="R187" t="str">
        <f t="shared" si="20"/>
        <v>186</v>
      </c>
    </row>
    <row r="188" spans="1:18" x14ac:dyDescent="0.25">
      <c r="A188" s="23" t="str">
        <f t="shared" si="22"/>
        <v>187 INIT PATCH</v>
      </c>
      <c r="J188" t="str">
        <f t="shared" si="21"/>
        <v>187 INIT PATCH</v>
      </c>
      <c r="R188" t="str">
        <f t="shared" si="20"/>
        <v>187</v>
      </c>
    </row>
    <row r="189" spans="1:18" x14ac:dyDescent="0.25">
      <c r="A189" s="23" t="str">
        <f t="shared" si="22"/>
        <v>188 INIT PATCH</v>
      </c>
      <c r="J189" t="str">
        <f t="shared" si="21"/>
        <v>188 INIT PATCH</v>
      </c>
      <c r="R189" t="str">
        <f t="shared" si="20"/>
        <v>188</v>
      </c>
    </row>
    <row r="190" spans="1:18" x14ac:dyDescent="0.25">
      <c r="A190" s="23" t="str">
        <f t="shared" si="22"/>
        <v>189 INIT PATCH</v>
      </c>
      <c r="J190" t="str">
        <f t="shared" si="21"/>
        <v>189 INIT PATCH</v>
      </c>
      <c r="R190" t="str">
        <f t="shared" si="20"/>
        <v>189</v>
      </c>
    </row>
    <row r="191" spans="1:18" x14ac:dyDescent="0.25">
      <c r="A191" s="23" t="str">
        <f t="shared" si="22"/>
        <v>190 INIT PATCH</v>
      </c>
      <c r="J191" t="str">
        <f t="shared" si="21"/>
        <v>190 INIT PATCH</v>
      </c>
      <c r="R191" t="str">
        <f t="shared" si="20"/>
        <v>190</v>
      </c>
    </row>
    <row r="192" spans="1:18" x14ac:dyDescent="0.25">
      <c r="A192" s="23" t="str">
        <f t="shared" si="22"/>
        <v>191 INIT PATCH</v>
      </c>
      <c r="J192" t="str">
        <f t="shared" si="21"/>
        <v>191 INIT PATCH</v>
      </c>
      <c r="R192" t="str">
        <f t="shared" si="20"/>
        <v>191</v>
      </c>
    </row>
    <row r="193" spans="1:18" x14ac:dyDescent="0.25">
      <c r="A193" s="23" t="str">
        <f t="shared" si="22"/>
        <v>192 INIT PATCH</v>
      </c>
      <c r="J193" t="str">
        <f t="shared" si="21"/>
        <v>192 INIT PATCH</v>
      </c>
      <c r="R193" t="str">
        <f t="shared" si="20"/>
        <v>192</v>
      </c>
    </row>
    <row r="194" spans="1:18" x14ac:dyDescent="0.25">
      <c r="A194" s="23" t="str">
        <f t="shared" si="22"/>
        <v>193 INIT PATCH</v>
      </c>
      <c r="J194" t="str">
        <f t="shared" si="21"/>
        <v>193 INIT PATCH</v>
      </c>
      <c r="R194" t="str">
        <f t="shared" ref="R194:R257" si="23">IF(ROW()-1 &gt; 99,_xlfn.VALUETOTEXT(ROW()-1),IF(ROW()-1 &gt; 9, "0"&amp;_xlfn.VALUETOTEXT(ROW()-1),"00"&amp;_xlfn.VALUETOTEXT(ROW()-1)))</f>
        <v>193</v>
      </c>
    </row>
    <row r="195" spans="1:18" x14ac:dyDescent="0.25">
      <c r="A195" s="23" t="str">
        <f t="shared" si="22"/>
        <v>194 INIT PATCH</v>
      </c>
      <c r="J195" t="str">
        <f t="shared" ref="J195:J257" si="24">R195&amp;" "&amp;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_xlfn.REGEXREPLACE(SUBSTITUTE(A195,"'","´"),"AC.PIANO [0-9]","AC.PIANO",-1),"PULSATING [0-9]","PULSATING"),"KEYBOARDS [0-9]","KEYBOARDS"),"EL.PIANO [0-9]","EL.PIANO"),"BELL [0-9]","BELL"),"MALLET [0-9]","MALLET"),"ORGAN [0-9]","ORGAN"),"ACCORDION [0-9]","ACCORDION"),"HARMONICA [0-9]","HARMONICA"),"AC.GUITAR [0-9]","AC.GUITAR"),"EL.GUITAR [0-9]","EL.GUITAR"),"DIST.GUITAR [0-9]","DIST.GUITAR"),"BASS [0-9]","BASS"),"STRINGS [0-9]","STRINGS"),"SYNTH BASS [0-9]","SYNTH BASS"),"ORCHESTRA [0-9]","ORCHESTRA"),"WIND [0-9]","WIND"),"FLUTE [0-9]","FLUTE"),"AC.BRASS [0-9]","AC.BRASS"),"SYNTH BRASS [0-9]","SYNTH BRASS"),"SAX [0-9]","SAX"),"SOFT LEAD [0-9]","SOFT LEAD"),"HARD LEAD [0-9]","HARD LEAD"),"HIT&amp;STAB [0-9]","HIT&amp;STAB"),"TECHNO SYNTH [0-9]","TECHNO SYNTH"),"OTHER SYNTH [0-9]","OTHER SYNTH"),"VOX [0-9]","VOX"),"SOFT PAD [0-9]","SOFT PAD"),"BRIGHT PAD [0-9]","BRIGHT PAD"),"PLUCKED [0-9]","PLUCKED"),"ETHNIC [0-9]","ETHNIC"),"FRETTED [0-9]","FRETTED"),"SYNTH FX [0-9]","SYNTH FX"),"BEAT&amp;GROOVE [0-9]","BEAT&amp;GROOVE"),"PERCUSSION [0-9]","PERCUSSION"),"COMBINATION [0-9]","COMBINATION")," PR-A[0-9][0-9][0-9]",""),"[0-9]* ","",1)</f>
        <v>194 INIT PATCH</v>
      </c>
      <c r="R195" t="str">
        <f t="shared" si="23"/>
        <v>194</v>
      </c>
    </row>
    <row r="196" spans="1:18" x14ac:dyDescent="0.25">
      <c r="A196" s="23" t="str">
        <f t="shared" ref="A196:A257" si="25">_xlfn.VALUETOTEXT(ROW()-1)&amp;" INIT PATCH"</f>
        <v>195 INIT PATCH</v>
      </c>
      <c r="J196" t="str">
        <f t="shared" si="24"/>
        <v>195 INIT PATCH</v>
      </c>
      <c r="R196" t="str">
        <f t="shared" si="23"/>
        <v>195</v>
      </c>
    </row>
    <row r="197" spans="1:18" x14ac:dyDescent="0.25">
      <c r="A197" s="23" t="str">
        <f t="shared" si="25"/>
        <v>196 INIT PATCH</v>
      </c>
      <c r="J197" t="str">
        <f t="shared" si="24"/>
        <v>196 INIT PATCH</v>
      </c>
      <c r="R197" t="str">
        <f t="shared" si="23"/>
        <v>196</v>
      </c>
    </row>
    <row r="198" spans="1:18" x14ac:dyDescent="0.25">
      <c r="A198" s="23" t="str">
        <f t="shared" si="25"/>
        <v>197 INIT PATCH</v>
      </c>
      <c r="J198" t="str">
        <f t="shared" si="24"/>
        <v>197 INIT PATCH</v>
      </c>
      <c r="R198" t="str">
        <f t="shared" si="23"/>
        <v>197</v>
      </c>
    </row>
    <row r="199" spans="1:18" x14ac:dyDescent="0.25">
      <c r="A199" s="23" t="str">
        <f t="shared" si="25"/>
        <v>198 INIT PATCH</v>
      </c>
      <c r="J199" t="str">
        <f t="shared" si="24"/>
        <v>198 INIT PATCH</v>
      </c>
      <c r="R199" t="str">
        <f t="shared" si="23"/>
        <v>198</v>
      </c>
    </row>
    <row r="200" spans="1:18" x14ac:dyDescent="0.25">
      <c r="A200" s="23" t="str">
        <f t="shared" si="25"/>
        <v>199 INIT PATCH</v>
      </c>
      <c r="J200" t="str">
        <f t="shared" si="24"/>
        <v>199 INIT PATCH</v>
      </c>
      <c r="R200" t="str">
        <f t="shared" si="23"/>
        <v>199</v>
      </c>
    </row>
    <row r="201" spans="1:18" x14ac:dyDescent="0.25">
      <c r="A201" s="23" t="str">
        <f t="shared" si="25"/>
        <v>200 INIT PATCH</v>
      </c>
      <c r="J201" t="str">
        <f t="shared" si="24"/>
        <v>200 INIT PATCH</v>
      </c>
      <c r="R201" t="str">
        <f t="shared" si="23"/>
        <v>200</v>
      </c>
    </row>
    <row r="202" spans="1:18" x14ac:dyDescent="0.25">
      <c r="A202" s="23" t="str">
        <f t="shared" si="25"/>
        <v>201 INIT PATCH</v>
      </c>
      <c r="J202" t="str">
        <f t="shared" si="24"/>
        <v>201 INIT PATCH</v>
      </c>
      <c r="R202" t="str">
        <f t="shared" si="23"/>
        <v>201</v>
      </c>
    </row>
    <row r="203" spans="1:18" x14ac:dyDescent="0.25">
      <c r="A203" s="23" t="str">
        <f t="shared" si="25"/>
        <v>202 INIT PATCH</v>
      </c>
      <c r="J203" t="str">
        <f t="shared" si="24"/>
        <v>202 INIT PATCH</v>
      </c>
      <c r="R203" t="str">
        <f t="shared" si="23"/>
        <v>202</v>
      </c>
    </row>
    <row r="204" spans="1:18" x14ac:dyDescent="0.25">
      <c r="A204" s="23" t="str">
        <f t="shared" si="25"/>
        <v>203 INIT PATCH</v>
      </c>
      <c r="J204" t="str">
        <f t="shared" si="24"/>
        <v>203 INIT PATCH</v>
      </c>
      <c r="R204" t="str">
        <f t="shared" si="23"/>
        <v>203</v>
      </c>
    </row>
    <row r="205" spans="1:18" x14ac:dyDescent="0.25">
      <c r="A205" s="23" t="str">
        <f t="shared" si="25"/>
        <v>204 INIT PATCH</v>
      </c>
      <c r="J205" t="str">
        <f t="shared" si="24"/>
        <v>204 INIT PATCH</v>
      </c>
      <c r="R205" t="str">
        <f t="shared" si="23"/>
        <v>204</v>
      </c>
    </row>
    <row r="206" spans="1:18" x14ac:dyDescent="0.25">
      <c r="A206" s="23" t="str">
        <f t="shared" si="25"/>
        <v>205 INIT PATCH</v>
      </c>
      <c r="J206" t="str">
        <f t="shared" si="24"/>
        <v>205 INIT PATCH</v>
      </c>
      <c r="R206" t="str">
        <f t="shared" si="23"/>
        <v>205</v>
      </c>
    </row>
    <row r="207" spans="1:18" x14ac:dyDescent="0.25">
      <c r="A207" s="23" t="str">
        <f t="shared" si="25"/>
        <v>206 INIT PATCH</v>
      </c>
      <c r="J207" t="str">
        <f t="shared" si="24"/>
        <v>206 INIT PATCH</v>
      </c>
      <c r="R207" t="str">
        <f t="shared" si="23"/>
        <v>206</v>
      </c>
    </row>
    <row r="208" spans="1:18" x14ac:dyDescent="0.25">
      <c r="A208" s="23" t="str">
        <f t="shared" si="25"/>
        <v>207 INIT PATCH</v>
      </c>
      <c r="J208" t="str">
        <f t="shared" si="24"/>
        <v>207 INIT PATCH</v>
      </c>
      <c r="R208" t="str">
        <f t="shared" si="23"/>
        <v>207</v>
      </c>
    </row>
    <row r="209" spans="1:18" x14ac:dyDescent="0.25">
      <c r="A209" s="23" t="str">
        <f t="shared" si="25"/>
        <v>208 INIT PATCH</v>
      </c>
      <c r="J209" t="str">
        <f t="shared" si="24"/>
        <v>208 INIT PATCH</v>
      </c>
      <c r="R209" t="str">
        <f t="shared" si="23"/>
        <v>208</v>
      </c>
    </row>
    <row r="210" spans="1:18" x14ac:dyDescent="0.25">
      <c r="A210" s="23" t="str">
        <f t="shared" si="25"/>
        <v>209 INIT PATCH</v>
      </c>
      <c r="J210" t="str">
        <f t="shared" si="24"/>
        <v>209 INIT PATCH</v>
      </c>
      <c r="R210" t="str">
        <f t="shared" si="23"/>
        <v>209</v>
      </c>
    </row>
    <row r="211" spans="1:18" x14ac:dyDescent="0.25">
      <c r="A211" s="23" t="str">
        <f t="shared" si="25"/>
        <v>210 INIT PATCH</v>
      </c>
      <c r="J211" t="str">
        <f t="shared" si="24"/>
        <v>210 INIT PATCH</v>
      </c>
      <c r="R211" t="str">
        <f t="shared" si="23"/>
        <v>210</v>
      </c>
    </row>
    <row r="212" spans="1:18" x14ac:dyDescent="0.25">
      <c r="A212" s="23" t="str">
        <f t="shared" si="25"/>
        <v>211 INIT PATCH</v>
      </c>
      <c r="J212" t="str">
        <f t="shared" si="24"/>
        <v>211 INIT PATCH</v>
      </c>
      <c r="R212" t="str">
        <f t="shared" si="23"/>
        <v>211</v>
      </c>
    </row>
    <row r="213" spans="1:18" x14ac:dyDescent="0.25">
      <c r="A213" s="23" t="str">
        <f t="shared" si="25"/>
        <v>212 INIT PATCH</v>
      </c>
      <c r="J213" t="str">
        <f t="shared" si="24"/>
        <v>212 INIT PATCH</v>
      </c>
      <c r="R213" t="str">
        <f t="shared" si="23"/>
        <v>212</v>
      </c>
    </row>
    <row r="214" spans="1:18" x14ac:dyDescent="0.25">
      <c r="A214" s="23" t="str">
        <f t="shared" si="25"/>
        <v>213 INIT PATCH</v>
      </c>
      <c r="J214" t="str">
        <f t="shared" si="24"/>
        <v>213 INIT PATCH</v>
      </c>
      <c r="R214" t="str">
        <f t="shared" si="23"/>
        <v>213</v>
      </c>
    </row>
    <row r="215" spans="1:18" x14ac:dyDescent="0.25">
      <c r="A215" s="23" t="str">
        <f t="shared" si="25"/>
        <v>214 INIT PATCH</v>
      </c>
      <c r="J215" t="str">
        <f t="shared" si="24"/>
        <v>214 INIT PATCH</v>
      </c>
      <c r="R215" t="str">
        <f t="shared" si="23"/>
        <v>214</v>
      </c>
    </row>
    <row r="216" spans="1:18" x14ac:dyDescent="0.25">
      <c r="A216" s="23" t="str">
        <f t="shared" si="25"/>
        <v>215 INIT PATCH</v>
      </c>
      <c r="J216" t="str">
        <f t="shared" si="24"/>
        <v>215 INIT PATCH</v>
      </c>
      <c r="R216" t="str">
        <f t="shared" si="23"/>
        <v>215</v>
      </c>
    </row>
    <row r="217" spans="1:18" x14ac:dyDescent="0.25">
      <c r="A217" s="23" t="str">
        <f t="shared" si="25"/>
        <v>216 INIT PATCH</v>
      </c>
      <c r="J217" t="str">
        <f t="shared" si="24"/>
        <v>216 INIT PATCH</v>
      </c>
      <c r="R217" t="str">
        <f t="shared" si="23"/>
        <v>216</v>
      </c>
    </row>
    <row r="218" spans="1:18" x14ac:dyDescent="0.25">
      <c r="A218" s="23" t="str">
        <f t="shared" si="25"/>
        <v>217 INIT PATCH</v>
      </c>
      <c r="J218" t="str">
        <f t="shared" si="24"/>
        <v>217 INIT PATCH</v>
      </c>
      <c r="R218" t="str">
        <f t="shared" si="23"/>
        <v>217</v>
      </c>
    </row>
    <row r="219" spans="1:18" x14ac:dyDescent="0.25">
      <c r="A219" s="23" t="str">
        <f t="shared" si="25"/>
        <v>218 INIT PATCH</v>
      </c>
      <c r="J219" t="str">
        <f t="shared" si="24"/>
        <v>218 INIT PATCH</v>
      </c>
      <c r="R219" t="str">
        <f t="shared" si="23"/>
        <v>218</v>
      </c>
    </row>
    <row r="220" spans="1:18" x14ac:dyDescent="0.25">
      <c r="A220" s="23" t="str">
        <f t="shared" si="25"/>
        <v>219 INIT PATCH</v>
      </c>
      <c r="J220" t="str">
        <f t="shared" si="24"/>
        <v>219 INIT PATCH</v>
      </c>
      <c r="R220" t="str">
        <f t="shared" si="23"/>
        <v>219</v>
      </c>
    </row>
    <row r="221" spans="1:18" x14ac:dyDescent="0.25">
      <c r="A221" s="23" t="str">
        <f t="shared" si="25"/>
        <v>220 INIT PATCH</v>
      </c>
      <c r="J221" t="str">
        <f t="shared" si="24"/>
        <v>220 INIT PATCH</v>
      </c>
      <c r="R221" t="str">
        <f t="shared" si="23"/>
        <v>220</v>
      </c>
    </row>
    <row r="222" spans="1:18" x14ac:dyDescent="0.25">
      <c r="A222" s="23" t="str">
        <f t="shared" si="25"/>
        <v>221 INIT PATCH</v>
      </c>
      <c r="J222" t="str">
        <f t="shared" si="24"/>
        <v>221 INIT PATCH</v>
      </c>
      <c r="R222" t="str">
        <f t="shared" si="23"/>
        <v>221</v>
      </c>
    </row>
    <row r="223" spans="1:18" x14ac:dyDescent="0.25">
      <c r="A223" s="23" t="str">
        <f t="shared" si="25"/>
        <v>222 INIT PATCH</v>
      </c>
      <c r="J223" t="str">
        <f t="shared" si="24"/>
        <v>222 INIT PATCH</v>
      </c>
      <c r="R223" t="str">
        <f t="shared" si="23"/>
        <v>222</v>
      </c>
    </row>
    <row r="224" spans="1:18" x14ac:dyDescent="0.25">
      <c r="A224" s="23" t="str">
        <f t="shared" si="25"/>
        <v>223 INIT PATCH</v>
      </c>
      <c r="J224" t="str">
        <f t="shared" si="24"/>
        <v>223 INIT PATCH</v>
      </c>
      <c r="R224" t="str">
        <f t="shared" si="23"/>
        <v>223</v>
      </c>
    </row>
    <row r="225" spans="1:18" x14ac:dyDescent="0.25">
      <c r="A225" s="23" t="str">
        <f t="shared" si="25"/>
        <v>224 INIT PATCH</v>
      </c>
      <c r="J225" t="str">
        <f t="shared" si="24"/>
        <v>224 INIT PATCH</v>
      </c>
      <c r="R225" t="str">
        <f t="shared" si="23"/>
        <v>224</v>
      </c>
    </row>
    <row r="226" spans="1:18" x14ac:dyDescent="0.25">
      <c r="A226" s="23" t="str">
        <f t="shared" si="25"/>
        <v>225 INIT PATCH</v>
      </c>
      <c r="J226" t="str">
        <f t="shared" si="24"/>
        <v>225 INIT PATCH</v>
      </c>
      <c r="R226" t="str">
        <f t="shared" si="23"/>
        <v>225</v>
      </c>
    </row>
    <row r="227" spans="1:18" x14ac:dyDescent="0.25">
      <c r="A227" s="23" t="str">
        <f t="shared" si="25"/>
        <v>226 INIT PATCH</v>
      </c>
      <c r="J227" t="str">
        <f t="shared" si="24"/>
        <v>226 INIT PATCH</v>
      </c>
      <c r="R227" t="str">
        <f t="shared" si="23"/>
        <v>226</v>
      </c>
    </row>
    <row r="228" spans="1:18" x14ac:dyDescent="0.25">
      <c r="A228" s="23" t="str">
        <f t="shared" si="25"/>
        <v>227 INIT PATCH</v>
      </c>
      <c r="J228" t="str">
        <f t="shared" si="24"/>
        <v>227 INIT PATCH</v>
      </c>
      <c r="R228" t="str">
        <f t="shared" si="23"/>
        <v>227</v>
      </c>
    </row>
    <row r="229" spans="1:18" x14ac:dyDescent="0.25">
      <c r="A229" s="23" t="str">
        <f t="shared" si="25"/>
        <v>228 INIT PATCH</v>
      </c>
      <c r="J229" t="str">
        <f t="shared" si="24"/>
        <v>228 INIT PATCH</v>
      </c>
      <c r="R229" t="str">
        <f t="shared" si="23"/>
        <v>228</v>
      </c>
    </row>
    <row r="230" spans="1:18" x14ac:dyDescent="0.25">
      <c r="A230" s="23" t="str">
        <f t="shared" si="25"/>
        <v>229 INIT PATCH</v>
      </c>
      <c r="J230" t="str">
        <f t="shared" si="24"/>
        <v>229 INIT PATCH</v>
      </c>
      <c r="R230" t="str">
        <f t="shared" si="23"/>
        <v>229</v>
      </c>
    </row>
    <row r="231" spans="1:18" x14ac:dyDescent="0.25">
      <c r="A231" s="23" t="str">
        <f t="shared" si="25"/>
        <v>230 INIT PATCH</v>
      </c>
      <c r="J231" t="str">
        <f t="shared" si="24"/>
        <v>230 INIT PATCH</v>
      </c>
      <c r="R231" t="str">
        <f t="shared" si="23"/>
        <v>230</v>
      </c>
    </row>
    <row r="232" spans="1:18" x14ac:dyDescent="0.25">
      <c r="A232" s="23" t="str">
        <f t="shared" si="25"/>
        <v>231 INIT PATCH</v>
      </c>
      <c r="J232" t="str">
        <f t="shared" si="24"/>
        <v>231 INIT PATCH</v>
      </c>
      <c r="R232" t="str">
        <f t="shared" si="23"/>
        <v>231</v>
      </c>
    </row>
    <row r="233" spans="1:18" x14ac:dyDescent="0.25">
      <c r="A233" s="23" t="str">
        <f t="shared" si="25"/>
        <v>232 INIT PATCH</v>
      </c>
      <c r="J233" t="str">
        <f t="shared" si="24"/>
        <v>232 INIT PATCH</v>
      </c>
      <c r="R233" t="str">
        <f t="shared" si="23"/>
        <v>232</v>
      </c>
    </row>
    <row r="234" spans="1:18" x14ac:dyDescent="0.25">
      <c r="A234" s="23" t="str">
        <f t="shared" si="25"/>
        <v>233 INIT PATCH</v>
      </c>
      <c r="J234" t="str">
        <f t="shared" si="24"/>
        <v>233 INIT PATCH</v>
      </c>
      <c r="R234" t="str">
        <f t="shared" si="23"/>
        <v>233</v>
      </c>
    </row>
    <row r="235" spans="1:18" x14ac:dyDescent="0.25">
      <c r="A235" s="23" t="str">
        <f t="shared" si="25"/>
        <v>234 INIT PATCH</v>
      </c>
      <c r="J235" t="str">
        <f t="shared" si="24"/>
        <v>234 INIT PATCH</v>
      </c>
      <c r="R235" t="str">
        <f t="shared" si="23"/>
        <v>234</v>
      </c>
    </row>
    <row r="236" spans="1:18" x14ac:dyDescent="0.25">
      <c r="A236" s="23" t="str">
        <f t="shared" si="25"/>
        <v>235 INIT PATCH</v>
      </c>
      <c r="J236" t="str">
        <f t="shared" si="24"/>
        <v>235 INIT PATCH</v>
      </c>
      <c r="R236" t="str">
        <f t="shared" si="23"/>
        <v>235</v>
      </c>
    </row>
    <row r="237" spans="1:18" x14ac:dyDescent="0.25">
      <c r="A237" s="23" t="str">
        <f t="shared" si="25"/>
        <v>236 INIT PATCH</v>
      </c>
      <c r="J237" t="str">
        <f t="shared" si="24"/>
        <v>236 INIT PATCH</v>
      </c>
      <c r="R237" t="str">
        <f t="shared" si="23"/>
        <v>236</v>
      </c>
    </row>
    <row r="238" spans="1:18" x14ac:dyDescent="0.25">
      <c r="A238" s="23" t="str">
        <f t="shared" si="25"/>
        <v>237 INIT PATCH</v>
      </c>
      <c r="J238" t="str">
        <f t="shared" si="24"/>
        <v>237 INIT PATCH</v>
      </c>
      <c r="R238" t="str">
        <f t="shared" si="23"/>
        <v>237</v>
      </c>
    </row>
    <row r="239" spans="1:18" x14ac:dyDescent="0.25">
      <c r="A239" s="23" t="str">
        <f t="shared" si="25"/>
        <v>238 INIT PATCH</v>
      </c>
      <c r="J239" t="str">
        <f t="shared" si="24"/>
        <v>238 INIT PATCH</v>
      </c>
      <c r="R239" t="str">
        <f t="shared" si="23"/>
        <v>238</v>
      </c>
    </row>
    <row r="240" spans="1:18" x14ac:dyDescent="0.25">
      <c r="A240" s="23" t="str">
        <f t="shared" si="25"/>
        <v>239 INIT PATCH</v>
      </c>
      <c r="J240" t="str">
        <f t="shared" si="24"/>
        <v>239 INIT PATCH</v>
      </c>
      <c r="R240" t="str">
        <f t="shared" si="23"/>
        <v>239</v>
      </c>
    </row>
    <row r="241" spans="1:18" x14ac:dyDescent="0.25">
      <c r="A241" s="23" t="str">
        <f t="shared" si="25"/>
        <v>240 INIT PATCH</v>
      </c>
      <c r="J241" t="str">
        <f t="shared" si="24"/>
        <v>240 INIT PATCH</v>
      </c>
      <c r="R241" t="str">
        <f t="shared" si="23"/>
        <v>240</v>
      </c>
    </row>
    <row r="242" spans="1:18" x14ac:dyDescent="0.25">
      <c r="A242" s="23" t="str">
        <f t="shared" si="25"/>
        <v>241 INIT PATCH</v>
      </c>
      <c r="J242" t="str">
        <f t="shared" si="24"/>
        <v>241 INIT PATCH</v>
      </c>
      <c r="R242" t="str">
        <f t="shared" si="23"/>
        <v>241</v>
      </c>
    </row>
    <row r="243" spans="1:18" x14ac:dyDescent="0.25">
      <c r="A243" s="23" t="str">
        <f t="shared" si="25"/>
        <v>242 INIT PATCH</v>
      </c>
      <c r="J243" t="str">
        <f t="shared" si="24"/>
        <v>242 INIT PATCH</v>
      </c>
      <c r="R243" t="str">
        <f t="shared" si="23"/>
        <v>242</v>
      </c>
    </row>
    <row r="244" spans="1:18" x14ac:dyDescent="0.25">
      <c r="A244" s="23" t="str">
        <f t="shared" si="25"/>
        <v>243 INIT PATCH</v>
      </c>
      <c r="J244" t="str">
        <f t="shared" si="24"/>
        <v>243 INIT PATCH</v>
      </c>
      <c r="R244" t="str">
        <f t="shared" si="23"/>
        <v>243</v>
      </c>
    </row>
    <row r="245" spans="1:18" x14ac:dyDescent="0.25">
      <c r="A245" s="23" t="str">
        <f t="shared" si="25"/>
        <v>244 INIT PATCH</v>
      </c>
      <c r="J245" t="str">
        <f t="shared" si="24"/>
        <v>244 INIT PATCH</v>
      </c>
      <c r="R245" t="str">
        <f t="shared" si="23"/>
        <v>244</v>
      </c>
    </row>
    <row r="246" spans="1:18" x14ac:dyDescent="0.25">
      <c r="A246" s="23" t="str">
        <f t="shared" si="25"/>
        <v>245 INIT PATCH</v>
      </c>
      <c r="J246" t="str">
        <f t="shared" si="24"/>
        <v>245 INIT PATCH</v>
      </c>
      <c r="R246" t="str">
        <f t="shared" si="23"/>
        <v>245</v>
      </c>
    </row>
    <row r="247" spans="1:18" x14ac:dyDescent="0.25">
      <c r="A247" s="23" t="str">
        <f t="shared" si="25"/>
        <v>246 INIT PATCH</v>
      </c>
      <c r="J247" t="str">
        <f t="shared" si="24"/>
        <v>246 INIT PATCH</v>
      </c>
      <c r="R247" t="str">
        <f t="shared" si="23"/>
        <v>246</v>
      </c>
    </row>
    <row r="248" spans="1:18" x14ac:dyDescent="0.25">
      <c r="A248" s="23" t="str">
        <f t="shared" si="25"/>
        <v>247 INIT PATCH</v>
      </c>
      <c r="J248" t="str">
        <f t="shared" si="24"/>
        <v>247 INIT PATCH</v>
      </c>
      <c r="R248" t="str">
        <f t="shared" si="23"/>
        <v>247</v>
      </c>
    </row>
    <row r="249" spans="1:18" x14ac:dyDescent="0.25">
      <c r="A249" s="23" t="str">
        <f t="shared" si="25"/>
        <v>248 INIT PATCH</v>
      </c>
      <c r="J249" t="str">
        <f t="shared" si="24"/>
        <v>248 INIT PATCH</v>
      </c>
      <c r="R249" t="str">
        <f t="shared" si="23"/>
        <v>248</v>
      </c>
    </row>
    <row r="250" spans="1:18" x14ac:dyDescent="0.25">
      <c r="A250" s="23" t="str">
        <f t="shared" si="25"/>
        <v>249 INIT PATCH</v>
      </c>
      <c r="J250" t="str">
        <f t="shared" si="24"/>
        <v>249 INIT PATCH</v>
      </c>
      <c r="R250" t="str">
        <f t="shared" si="23"/>
        <v>249</v>
      </c>
    </row>
    <row r="251" spans="1:18" x14ac:dyDescent="0.25">
      <c r="A251" s="23" t="str">
        <f t="shared" si="25"/>
        <v>250 INIT PATCH</v>
      </c>
      <c r="J251" t="str">
        <f t="shared" si="24"/>
        <v>250 INIT PATCH</v>
      </c>
      <c r="R251" t="str">
        <f t="shared" si="23"/>
        <v>250</v>
      </c>
    </row>
    <row r="252" spans="1:18" x14ac:dyDescent="0.25">
      <c r="A252" s="23" t="str">
        <f t="shared" si="25"/>
        <v>251 INIT PATCH</v>
      </c>
      <c r="J252" t="str">
        <f t="shared" si="24"/>
        <v>251 INIT PATCH</v>
      </c>
      <c r="R252" t="str">
        <f t="shared" si="23"/>
        <v>251</v>
      </c>
    </row>
    <row r="253" spans="1:18" x14ac:dyDescent="0.25">
      <c r="A253" s="23" t="str">
        <f t="shared" si="25"/>
        <v>252 INIT PATCH</v>
      </c>
      <c r="J253" t="str">
        <f t="shared" si="24"/>
        <v>252 INIT PATCH</v>
      </c>
      <c r="R253" t="str">
        <f t="shared" si="23"/>
        <v>252</v>
      </c>
    </row>
    <row r="254" spans="1:18" x14ac:dyDescent="0.25">
      <c r="A254" s="23" t="str">
        <f t="shared" si="25"/>
        <v>253 INIT PATCH</v>
      </c>
      <c r="J254" t="str">
        <f t="shared" si="24"/>
        <v>253 INIT PATCH</v>
      </c>
      <c r="R254" t="str">
        <f t="shared" si="23"/>
        <v>253</v>
      </c>
    </row>
    <row r="255" spans="1:18" x14ac:dyDescent="0.25">
      <c r="A255" s="23" t="str">
        <f t="shared" si="25"/>
        <v>254 INIT PATCH</v>
      </c>
      <c r="J255" t="str">
        <f t="shared" si="24"/>
        <v>254 INIT PATCH</v>
      </c>
      <c r="R255" t="str">
        <f t="shared" si="23"/>
        <v>254</v>
      </c>
    </row>
    <row r="256" spans="1:18" x14ac:dyDescent="0.25">
      <c r="A256" s="23" t="str">
        <f t="shared" si="25"/>
        <v>255 INIT PATCH</v>
      </c>
      <c r="J256" t="str">
        <f t="shared" si="24"/>
        <v>255 INIT PATCH</v>
      </c>
      <c r="R256" t="str">
        <f t="shared" si="23"/>
        <v>255</v>
      </c>
    </row>
    <row r="257" spans="1:18" x14ac:dyDescent="0.25">
      <c r="A257" s="23" t="str">
        <f t="shared" si="25"/>
        <v>256 INIT PATCH</v>
      </c>
      <c r="J257" t="str">
        <f t="shared" si="24"/>
        <v>256 INIT PATCH</v>
      </c>
      <c r="R257" t="str">
        <f t="shared" si="23"/>
        <v>256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467F8-7AE3-4409-908D-2AE9AD11583C}">
  <dimension ref="A1:A1083"/>
  <sheetViews>
    <sheetView topLeftCell="A1011" workbookViewId="0">
      <selection activeCell="A1083" sqref="A1:A1083"/>
    </sheetView>
  </sheetViews>
  <sheetFormatPr defaultRowHeight="15" x14ac:dyDescent="0.25"/>
  <cols>
    <col min="1" max="1" width="25.140625" customWidth="1"/>
  </cols>
  <sheetData>
    <row r="1" spans="1:1" x14ac:dyDescent="0.25">
      <c r="A1" t="s">
        <v>2629</v>
      </c>
    </row>
    <row r="2" spans="1:1" x14ac:dyDescent="0.25">
      <c r="A2" t="s">
        <v>2630</v>
      </c>
    </row>
    <row r="3" spans="1:1" x14ac:dyDescent="0.25">
      <c r="A3" t="s">
        <v>2631</v>
      </c>
    </row>
    <row r="4" spans="1:1" x14ac:dyDescent="0.25">
      <c r="A4" t="s">
        <v>2632</v>
      </c>
    </row>
    <row r="5" spans="1:1" x14ac:dyDescent="0.25">
      <c r="A5" t="s">
        <v>2633</v>
      </c>
    </row>
    <row r="6" spans="1:1" x14ac:dyDescent="0.25">
      <c r="A6" t="s">
        <v>2634</v>
      </c>
    </row>
    <row r="7" spans="1:1" x14ac:dyDescent="0.25">
      <c r="A7" t="s">
        <v>2635</v>
      </c>
    </row>
    <row r="8" spans="1:1" x14ac:dyDescent="0.25">
      <c r="A8" t="s">
        <v>2636</v>
      </c>
    </row>
    <row r="9" spans="1:1" x14ac:dyDescent="0.25">
      <c r="A9" t="s">
        <v>2637</v>
      </c>
    </row>
    <row r="10" spans="1:1" x14ac:dyDescent="0.25">
      <c r="A10" t="s">
        <v>2638</v>
      </c>
    </row>
    <row r="11" spans="1:1" x14ac:dyDescent="0.25">
      <c r="A11" t="s">
        <v>2639</v>
      </c>
    </row>
    <row r="12" spans="1:1" x14ac:dyDescent="0.25">
      <c r="A12" t="s">
        <v>2640</v>
      </c>
    </row>
    <row r="13" spans="1:1" x14ac:dyDescent="0.25">
      <c r="A13" t="s">
        <v>2641</v>
      </c>
    </row>
    <row r="14" spans="1:1" x14ac:dyDescent="0.25">
      <c r="A14" t="s">
        <v>2642</v>
      </c>
    </row>
    <row r="15" spans="1:1" x14ac:dyDescent="0.25">
      <c r="A15" t="s">
        <v>2643</v>
      </c>
    </row>
    <row r="16" spans="1:1" x14ac:dyDescent="0.25">
      <c r="A16" t="s">
        <v>2644</v>
      </c>
    </row>
    <row r="17" spans="1:1" x14ac:dyDescent="0.25">
      <c r="A17" t="s">
        <v>2645</v>
      </c>
    </row>
    <row r="18" spans="1:1" x14ac:dyDescent="0.25">
      <c r="A18" t="s">
        <v>2646</v>
      </c>
    </row>
    <row r="19" spans="1:1" x14ac:dyDescent="0.25">
      <c r="A19" t="s">
        <v>2647</v>
      </c>
    </row>
    <row r="20" spans="1:1" x14ac:dyDescent="0.25">
      <c r="A20" t="s">
        <v>2648</v>
      </c>
    </row>
    <row r="21" spans="1:1" x14ac:dyDescent="0.25">
      <c r="A21" t="s">
        <v>2649</v>
      </c>
    </row>
    <row r="22" spans="1:1" x14ac:dyDescent="0.25">
      <c r="A22" t="s">
        <v>2650</v>
      </c>
    </row>
    <row r="23" spans="1:1" x14ac:dyDescent="0.25">
      <c r="A23" t="s">
        <v>2651</v>
      </c>
    </row>
    <row r="24" spans="1:1" x14ac:dyDescent="0.25">
      <c r="A24" t="s">
        <v>2652</v>
      </c>
    </row>
    <row r="25" spans="1:1" x14ac:dyDescent="0.25">
      <c r="A25" t="s">
        <v>2653</v>
      </c>
    </row>
    <row r="26" spans="1:1" x14ac:dyDescent="0.25">
      <c r="A26" t="s">
        <v>2654</v>
      </c>
    </row>
    <row r="27" spans="1:1" x14ac:dyDescent="0.25">
      <c r="A27" t="s">
        <v>2655</v>
      </c>
    </row>
    <row r="28" spans="1:1" x14ac:dyDescent="0.25">
      <c r="A28" t="s">
        <v>2656</v>
      </c>
    </row>
    <row r="29" spans="1:1" x14ac:dyDescent="0.25">
      <c r="A29" t="s">
        <v>2657</v>
      </c>
    </row>
    <row r="30" spans="1:1" x14ac:dyDescent="0.25">
      <c r="A30" t="s">
        <v>2658</v>
      </c>
    </row>
    <row r="31" spans="1:1" x14ac:dyDescent="0.25">
      <c r="A31" t="s">
        <v>2659</v>
      </c>
    </row>
    <row r="32" spans="1:1" x14ac:dyDescent="0.25">
      <c r="A32" t="s">
        <v>2660</v>
      </c>
    </row>
    <row r="33" spans="1:1" x14ac:dyDescent="0.25">
      <c r="A33" t="s">
        <v>2661</v>
      </c>
    </row>
    <row r="34" spans="1:1" x14ac:dyDescent="0.25">
      <c r="A34" t="s">
        <v>2662</v>
      </c>
    </row>
    <row r="35" spans="1:1" x14ac:dyDescent="0.25">
      <c r="A35" t="s">
        <v>2663</v>
      </c>
    </row>
    <row r="36" spans="1:1" x14ac:dyDescent="0.25">
      <c r="A36" t="s">
        <v>2664</v>
      </c>
    </row>
    <row r="37" spans="1:1" x14ac:dyDescent="0.25">
      <c r="A37" t="s">
        <v>2665</v>
      </c>
    </row>
    <row r="38" spans="1:1" x14ac:dyDescent="0.25">
      <c r="A38" t="s">
        <v>2666</v>
      </c>
    </row>
    <row r="39" spans="1:1" x14ac:dyDescent="0.25">
      <c r="A39" t="s">
        <v>2667</v>
      </c>
    </row>
    <row r="40" spans="1:1" x14ac:dyDescent="0.25">
      <c r="A40" t="s">
        <v>2668</v>
      </c>
    </row>
    <row r="41" spans="1:1" x14ac:dyDescent="0.25">
      <c r="A41" t="s">
        <v>2669</v>
      </c>
    </row>
    <row r="42" spans="1:1" x14ac:dyDescent="0.25">
      <c r="A42" t="s">
        <v>2670</v>
      </c>
    </row>
    <row r="43" spans="1:1" x14ac:dyDescent="0.25">
      <c r="A43" t="s">
        <v>2671</v>
      </c>
    </row>
    <row r="44" spans="1:1" x14ac:dyDescent="0.25">
      <c r="A44" t="s">
        <v>2672</v>
      </c>
    </row>
    <row r="45" spans="1:1" x14ac:dyDescent="0.25">
      <c r="A45" t="s">
        <v>2673</v>
      </c>
    </row>
    <row r="46" spans="1:1" x14ac:dyDescent="0.25">
      <c r="A46" t="s">
        <v>2674</v>
      </c>
    </row>
    <row r="47" spans="1:1" x14ac:dyDescent="0.25">
      <c r="A47" t="s">
        <v>2675</v>
      </c>
    </row>
    <row r="48" spans="1:1" x14ac:dyDescent="0.25">
      <c r="A48" t="s">
        <v>2676</v>
      </c>
    </row>
    <row r="49" spans="1:1" x14ac:dyDescent="0.25">
      <c r="A49" t="s">
        <v>2677</v>
      </c>
    </row>
    <row r="50" spans="1:1" x14ac:dyDescent="0.25">
      <c r="A50" t="s">
        <v>2678</v>
      </c>
    </row>
    <row r="51" spans="1:1" x14ac:dyDescent="0.25">
      <c r="A51" t="s">
        <v>2679</v>
      </c>
    </row>
    <row r="52" spans="1:1" x14ac:dyDescent="0.25">
      <c r="A52" t="s">
        <v>2680</v>
      </c>
    </row>
    <row r="53" spans="1:1" x14ac:dyDescent="0.25">
      <c r="A53" t="s">
        <v>2681</v>
      </c>
    </row>
    <row r="54" spans="1:1" x14ac:dyDescent="0.25">
      <c r="A54" t="s">
        <v>2682</v>
      </c>
    </row>
    <row r="55" spans="1:1" x14ac:dyDescent="0.25">
      <c r="A55" t="s">
        <v>2683</v>
      </c>
    </row>
    <row r="56" spans="1:1" x14ac:dyDescent="0.25">
      <c r="A56" t="s">
        <v>2684</v>
      </c>
    </row>
    <row r="57" spans="1:1" x14ac:dyDescent="0.25">
      <c r="A57" t="s">
        <v>2685</v>
      </c>
    </row>
    <row r="58" spans="1:1" x14ac:dyDescent="0.25">
      <c r="A58" t="s">
        <v>2686</v>
      </c>
    </row>
    <row r="59" spans="1:1" x14ac:dyDescent="0.25">
      <c r="A59" t="s">
        <v>2687</v>
      </c>
    </row>
    <row r="60" spans="1:1" x14ac:dyDescent="0.25">
      <c r="A60" t="s">
        <v>2688</v>
      </c>
    </row>
    <row r="61" spans="1:1" x14ac:dyDescent="0.25">
      <c r="A61" t="s">
        <v>2689</v>
      </c>
    </row>
    <row r="62" spans="1:1" x14ac:dyDescent="0.25">
      <c r="A62" t="s">
        <v>2690</v>
      </c>
    </row>
    <row r="63" spans="1:1" x14ac:dyDescent="0.25">
      <c r="A63" t="s">
        <v>2691</v>
      </c>
    </row>
    <row r="64" spans="1:1" x14ac:dyDescent="0.25">
      <c r="A64" t="s">
        <v>2692</v>
      </c>
    </row>
    <row r="65" spans="1:1" x14ac:dyDescent="0.25">
      <c r="A65" t="s">
        <v>2693</v>
      </c>
    </row>
    <row r="66" spans="1:1" x14ac:dyDescent="0.25">
      <c r="A66" t="s">
        <v>2694</v>
      </c>
    </row>
    <row r="67" spans="1:1" x14ac:dyDescent="0.25">
      <c r="A67" t="s">
        <v>2695</v>
      </c>
    </row>
    <row r="68" spans="1:1" x14ac:dyDescent="0.25">
      <c r="A68" t="s">
        <v>2696</v>
      </c>
    </row>
    <row r="69" spans="1:1" x14ac:dyDescent="0.25">
      <c r="A69" t="s">
        <v>2697</v>
      </c>
    </row>
    <row r="70" spans="1:1" x14ac:dyDescent="0.25">
      <c r="A70" t="s">
        <v>2698</v>
      </c>
    </row>
    <row r="71" spans="1:1" x14ac:dyDescent="0.25">
      <c r="A71" t="s">
        <v>2699</v>
      </c>
    </row>
    <row r="72" spans="1:1" x14ac:dyDescent="0.25">
      <c r="A72" t="s">
        <v>2700</v>
      </c>
    </row>
    <row r="73" spans="1:1" x14ac:dyDescent="0.25">
      <c r="A73" t="s">
        <v>2701</v>
      </c>
    </row>
    <row r="74" spans="1:1" x14ac:dyDescent="0.25">
      <c r="A74" t="s">
        <v>2702</v>
      </c>
    </row>
    <row r="75" spans="1:1" x14ac:dyDescent="0.25">
      <c r="A75" t="s">
        <v>2703</v>
      </c>
    </row>
    <row r="76" spans="1:1" x14ac:dyDescent="0.25">
      <c r="A76" t="s">
        <v>2704</v>
      </c>
    </row>
    <row r="77" spans="1:1" x14ac:dyDescent="0.25">
      <c r="A77" t="s">
        <v>2705</v>
      </c>
    </row>
    <row r="78" spans="1:1" x14ac:dyDescent="0.25">
      <c r="A78" t="s">
        <v>2706</v>
      </c>
    </row>
    <row r="79" spans="1:1" x14ac:dyDescent="0.25">
      <c r="A79" t="s">
        <v>2707</v>
      </c>
    </row>
    <row r="80" spans="1:1" x14ac:dyDescent="0.25">
      <c r="A80" t="s">
        <v>2708</v>
      </c>
    </row>
    <row r="81" spans="1:1" x14ac:dyDescent="0.25">
      <c r="A81" t="s">
        <v>2709</v>
      </c>
    </row>
    <row r="82" spans="1:1" x14ac:dyDescent="0.25">
      <c r="A82" t="s">
        <v>2710</v>
      </c>
    </row>
    <row r="83" spans="1:1" x14ac:dyDescent="0.25">
      <c r="A83" t="s">
        <v>2711</v>
      </c>
    </row>
    <row r="84" spans="1:1" x14ac:dyDescent="0.25">
      <c r="A84" t="s">
        <v>2712</v>
      </c>
    </row>
    <row r="85" spans="1:1" x14ac:dyDescent="0.25">
      <c r="A85" t="s">
        <v>2713</v>
      </c>
    </row>
    <row r="86" spans="1:1" x14ac:dyDescent="0.25">
      <c r="A86" t="s">
        <v>2714</v>
      </c>
    </row>
    <row r="87" spans="1:1" x14ac:dyDescent="0.25">
      <c r="A87" t="s">
        <v>2715</v>
      </c>
    </row>
    <row r="88" spans="1:1" x14ac:dyDescent="0.25">
      <c r="A88" t="s">
        <v>2716</v>
      </c>
    </row>
    <row r="89" spans="1:1" x14ac:dyDescent="0.25">
      <c r="A89" t="s">
        <v>2717</v>
      </c>
    </row>
    <row r="90" spans="1:1" x14ac:dyDescent="0.25">
      <c r="A90" t="s">
        <v>2718</v>
      </c>
    </row>
    <row r="91" spans="1:1" x14ac:dyDescent="0.25">
      <c r="A91" t="s">
        <v>2719</v>
      </c>
    </row>
    <row r="92" spans="1:1" x14ac:dyDescent="0.25">
      <c r="A92" t="s">
        <v>2720</v>
      </c>
    </row>
    <row r="93" spans="1:1" x14ac:dyDescent="0.25">
      <c r="A93" t="s">
        <v>2721</v>
      </c>
    </row>
    <row r="94" spans="1:1" x14ac:dyDescent="0.25">
      <c r="A94" t="s">
        <v>2722</v>
      </c>
    </row>
    <row r="95" spans="1:1" x14ac:dyDescent="0.25">
      <c r="A95" t="s">
        <v>2723</v>
      </c>
    </row>
    <row r="96" spans="1:1" x14ac:dyDescent="0.25">
      <c r="A96" t="s">
        <v>2724</v>
      </c>
    </row>
    <row r="97" spans="1:1" x14ac:dyDescent="0.25">
      <c r="A97" t="s">
        <v>2725</v>
      </c>
    </row>
    <row r="98" spans="1:1" x14ac:dyDescent="0.25">
      <c r="A98" t="s">
        <v>2726</v>
      </c>
    </row>
    <row r="99" spans="1:1" x14ac:dyDescent="0.25">
      <c r="A99" t="s">
        <v>2727</v>
      </c>
    </row>
    <row r="100" spans="1:1" x14ac:dyDescent="0.25">
      <c r="A100" t="s">
        <v>2728</v>
      </c>
    </row>
    <row r="101" spans="1:1" x14ac:dyDescent="0.25">
      <c r="A101" t="s">
        <v>2729</v>
      </c>
    </row>
    <row r="102" spans="1:1" x14ac:dyDescent="0.25">
      <c r="A102" t="s">
        <v>2730</v>
      </c>
    </row>
    <row r="103" spans="1:1" x14ac:dyDescent="0.25">
      <c r="A103" t="s">
        <v>2731</v>
      </c>
    </row>
    <row r="104" spans="1:1" x14ac:dyDescent="0.25">
      <c r="A104" t="s">
        <v>2732</v>
      </c>
    </row>
    <row r="105" spans="1:1" x14ac:dyDescent="0.25">
      <c r="A105" t="s">
        <v>2733</v>
      </c>
    </row>
    <row r="106" spans="1:1" x14ac:dyDescent="0.25">
      <c r="A106" t="s">
        <v>2734</v>
      </c>
    </row>
    <row r="107" spans="1:1" x14ac:dyDescent="0.25">
      <c r="A107" t="s">
        <v>2735</v>
      </c>
    </row>
    <row r="108" spans="1:1" x14ac:dyDescent="0.25">
      <c r="A108" t="s">
        <v>2736</v>
      </c>
    </row>
    <row r="109" spans="1:1" x14ac:dyDescent="0.25">
      <c r="A109" t="s">
        <v>2737</v>
      </c>
    </row>
    <row r="110" spans="1:1" x14ac:dyDescent="0.25">
      <c r="A110" t="s">
        <v>2738</v>
      </c>
    </row>
    <row r="111" spans="1:1" x14ac:dyDescent="0.25">
      <c r="A111" t="s">
        <v>2739</v>
      </c>
    </row>
    <row r="112" spans="1:1" x14ac:dyDescent="0.25">
      <c r="A112" t="s">
        <v>2740</v>
      </c>
    </row>
    <row r="113" spans="1:1" x14ac:dyDescent="0.25">
      <c r="A113" t="s">
        <v>2741</v>
      </c>
    </row>
    <row r="114" spans="1:1" x14ac:dyDescent="0.25">
      <c r="A114" t="s">
        <v>2742</v>
      </c>
    </row>
    <row r="115" spans="1:1" x14ac:dyDescent="0.25">
      <c r="A115" t="s">
        <v>2743</v>
      </c>
    </row>
    <row r="116" spans="1:1" x14ac:dyDescent="0.25">
      <c r="A116" t="s">
        <v>2744</v>
      </c>
    </row>
    <row r="117" spans="1:1" x14ac:dyDescent="0.25">
      <c r="A117" t="s">
        <v>2745</v>
      </c>
    </row>
    <row r="118" spans="1:1" x14ac:dyDescent="0.25">
      <c r="A118" t="s">
        <v>2746</v>
      </c>
    </row>
    <row r="119" spans="1:1" x14ac:dyDescent="0.25">
      <c r="A119" t="s">
        <v>2747</v>
      </c>
    </row>
    <row r="120" spans="1:1" x14ac:dyDescent="0.25">
      <c r="A120" t="s">
        <v>2748</v>
      </c>
    </row>
    <row r="121" spans="1:1" x14ac:dyDescent="0.25">
      <c r="A121" t="s">
        <v>2749</v>
      </c>
    </row>
    <row r="122" spans="1:1" x14ac:dyDescent="0.25">
      <c r="A122" t="s">
        <v>2750</v>
      </c>
    </row>
    <row r="123" spans="1:1" x14ac:dyDescent="0.25">
      <c r="A123" t="s">
        <v>2751</v>
      </c>
    </row>
    <row r="124" spans="1:1" x14ac:dyDescent="0.25">
      <c r="A124" t="s">
        <v>2752</v>
      </c>
    </row>
    <row r="125" spans="1:1" x14ac:dyDescent="0.25">
      <c r="A125" t="s">
        <v>2753</v>
      </c>
    </row>
    <row r="126" spans="1:1" x14ac:dyDescent="0.25">
      <c r="A126" t="s">
        <v>2754</v>
      </c>
    </row>
    <row r="127" spans="1:1" x14ac:dyDescent="0.25">
      <c r="A127" t="s">
        <v>2755</v>
      </c>
    </row>
    <row r="128" spans="1:1" x14ac:dyDescent="0.25">
      <c r="A128" t="s">
        <v>2756</v>
      </c>
    </row>
    <row r="129" spans="1:1" x14ac:dyDescent="0.25">
      <c r="A129" t="s">
        <v>2757</v>
      </c>
    </row>
    <row r="130" spans="1:1" x14ac:dyDescent="0.25">
      <c r="A130" t="s">
        <v>2758</v>
      </c>
    </row>
    <row r="131" spans="1:1" x14ac:dyDescent="0.25">
      <c r="A131" t="s">
        <v>2759</v>
      </c>
    </row>
    <row r="132" spans="1:1" x14ac:dyDescent="0.25">
      <c r="A132" t="s">
        <v>2760</v>
      </c>
    </row>
    <row r="133" spans="1:1" x14ac:dyDescent="0.25">
      <c r="A133" t="s">
        <v>2761</v>
      </c>
    </row>
    <row r="134" spans="1:1" x14ac:dyDescent="0.25">
      <c r="A134" t="s">
        <v>2762</v>
      </c>
    </row>
    <row r="135" spans="1:1" x14ac:dyDescent="0.25">
      <c r="A135" t="s">
        <v>2763</v>
      </c>
    </row>
    <row r="136" spans="1:1" x14ac:dyDescent="0.25">
      <c r="A136" t="s">
        <v>2764</v>
      </c>
    </row>
    <row r="137" spans="1:1" x14ac:dyDescent="0.25">
      <c r="A137" t="s">
        <v>2765</v>
      </c>
    </row>
    <row r="138" spans="1:1" x14ac:dyDescent="0.25">
      <c r="A138" t="s">
        <v>2766</v>
      </c>
    </row>
    <row r="139" spans="1:1" x14ac:dyDescent="0.25">
      <c r="A139" t="s">
        <v>2767</v>
      </c>
    </row>
    <row r="140" spans="1:1" x14ac:dyDescent="0.25">
      <c r="A140" t="s">
        <v>2768</v>
      </c>
    </row>
    <row r="141" spans="1:1" x14ac:dyDescent="0.25">
      <c r="A141" t="s">
        <v>2769</v>
      </c>
    </row>
    <row r="142" spans="1:1" x14ac:dyDescent="0.25">
      <c r="A142" t="s">
        <v>2770</v>
      </c>
    </row>
    <row r="143" spans="1:1" x14ac:dyDescent="0.25">
      <c r="A143" t="s">
        <v>2771</v>
      </c>
    </row>
    <row r="144" spans="1:1" x14ac:dyDescent="0.25">
      <c r="A144" t="s">
        <v>2772</v>
      </c>
    </row>
    <row r="145" spans="1:1" x14ac:dyDescent="0.25">
      <c r="A145" t="s">
        <v>2773</v>
      </c>
    </row>
    <row r="146" spans="1:1" x14ac:dyDescent="0.25">
      <c r="A146" t="s">
        <v>2774</v>
      </c>
    </row>
    <row r="147" spans="1:1" x14ac:dyDescent="0.25">
      <c r="A147" t="s">
        <v>2775</v>
      </c>
    </row>
    <row r="148" spans="1:1" x14ac:dyDescent="0.25">
      <c r="A148" t="s">
        <v>2776</v>
      </c>
    </row>
    <row r="149" spans="1:1" x14ac:dyDescent="0.25">
      <c r="A149" t="s">
        <v>2777</v>
      </c>
    </row>
    <row r="150" spans="1:1" x14ac:dyDescent="0.25">
      <c r="A150" t="s">
        <v>2778</v>
      </c>
    </row>
    <row r="151" spans="1:1" x14ac:dyDescent="0.25">
      <c r="A151" t="s">
        <v>2779</v>
      </c>
    </row>
    <row r="152" spans="1:1" x14ac:dyDescent="0.25">
      <c r="A152" t="s">
        <v>2780</v>
      </c>
    </row>
    <row r="153" spans="1:1" x14ac:dyDescent="0.25">
      <c r="A153" t="s">
        <v>2781</v>
      </c>
    </row>
    <row r="154" spans="1:1" x14ac:dyDescent="0.25">
      <c r="A154" t="s">
        <v>2782</v>
      </c>
    </row>
    <row r="155" spans="1:1" x14ac:dyDescent="0.25">
      <c r="A155" t="s">
        <v>2783</v>
      </c>
    </row>
    <row r="156" spans="1:1" x14ac:dyDescent="0.25">
      <c r="A156" t="s">
        <v>2784</v>
      </c>
    </row>
    <row r="157" spans="1:1" x14ac:dyDescent="0.25">
      <c r="A157" t="s">
        <v>2785</v>
      </c>
    </row>
    <row r="158" spans="1:1" x14ac:dyDescent="0.25">
      <c r="A158" t="s">
        <v>2786</v>
      </c>
    </row>
    <row r="159" spans="1:1" x14ac:dyDescent="0.25">
      <c r="A159" t="s">
        <v>2787</v>
      </c>
    </row>
    <row r="160" spans="1:1" x14ac:dyDescent="0.25">
      <c r="A160" t="s">
        <v>2788</v>
      </c>
    </row>
    <row r="161" spans="1:1" x14ac:dyDescent="0.25">
      <c r="A161" t="s">
        <v>2789</v>
      </c>
    </row>
    <row r="162" spans="1:1" x14ac:dyDescent="0.25">
      <c r="A162" t="s">
        <v>2790</v>
      </c>
    </row>
    <row r="163" spans="1:1" x14ac:dyDescent="0.25">
      <c r="A163" t="s">
        <v>2791</v>
      </c>
    </row>
    <row r="164" spans="1:1" x14ac:dyDescent="0.25">
      <c r="A164" t="s">
        <v>2792</v>
      </c>
    </row>
    <row r="165" spans="1:1" x14ac:dyDescent="0.25">
      <c r="A165" t="s">
        <v>2793</v>
      </c>
    </row>
    <row r="166" spans="1:1" x14ac:dyDescent="0.25">
      <c r="A166" t="s">
        <v>2794</v>
      </c>
    </row>
    <row r="167" spans="1:1" x14ac:dyDescent="0.25">
      <c r="A167" t="s">
        <v>2795</v>
      </c>
    </row>
    <row r="168" spans="1:1" x14ac:dyDescent="0.25">
      <c r="A168" t="s">
        <v>2796</v>
      </c>
    </row>
    <row r="169" spans="1:1" x14ac:dyDescent="0.25">
      <c r="A169" t="s">
        <v>2797</v>
      </c>
    </row>
    <row r="170" spans="1:1" x14ac:dyDescent="0.25">
      <c r="A170" t="s">
        <v>2798</v>
      </c>
    </row>
    <row r="171" spans="1:1" x14ac:dyDescent="0.25">
      <c r="A171" t="s">
        <v>2799</v>
      </c>
    </row>
    <row r="172" spans="1:1" x14ac:dyDescent="0.25">
      <c r="A172" t="s">
        <v>2800</v>
      </c>
    </row>
    <row r="173" spans="1:1" x14ac:dyDescent="0.25">
      <c r="A173" t="s">
        <v>2801</v>
      </c>
    </row>
    <row r="174" spans="1:1" x14ac:dyDescent="0.25">
      <c r="A174" t="s">
        <v>2802</v>
      </c>
    </row>
    <row r="175" spans="1:1" x14ac:dyDescent="0.25">
      <c r="A175" t="s">
        <v>2803</v>
      </c>
    </row>
    <row r="176" spans="1:1" x14ac:dyDescent="0.25">
      <c r="A176" t="s">
        <v>2804</v>
      </c>
    </row>
    <row r="177" spans="1:1" x14ac:dyDescent="0.25">
      <c r="A177" t="s">
        <v>2805</v>
      </c>
    </row>
    <row r="178" spans="1:1" x14ac:dyDescent="0.25">
      <c r="A178" t="s">
        <v>2806</v>
      </c>
    </row>
    <row r="179" spans="1:1" x14ac:dyDescent="0.25">
      <c r="A179" t="s">
        <v>2807</v>
      </c>
    </row>
    <row r="180" spans="1:1" x14ac:dyDescent="0.25">
      <c r="A180" t="s">
        <v>2808</v>
      </c>
    </row>
    <row r="181" spans="1:1" x14ac:dyDescent="0.25">
      <c r="A181" t="s">
        <v>2809</v>
      </c>
    </row>
    <row r="182" spans="1:1" x14ac:dyDescent="0.25">
      <c r="A182" t="s">
        <v>2810</v>
      </c>
    </row>
    <row r="183" spans="1:1" x14ac:dyDescent="0.25">
      <c r="A183" t="s">
        <v>2811</v>
      </c>
    </row>
    <row r="184" spans="1:1" x14ac:dyDescent="0.25">
      <c r="A184" t="s">
        <v>2812</v>
      </c>
    </row>
    <row r="185" spans="1:1" x14ac:dyDescent="0.25">
      <c r="A185" t="s">
        <v>2813</v>
      </c>
    </row>
    <row r="186" spans="1:1" x14ac:dyDescent="0.25">
      <c r="A186" t="s">
        <v>2814</v>
      </c>
    </row>
    <row r="187" spans="1:1" x14ac:dyDescent="0.25">
      <c r="A187" t="s">
        <v>2815</v>
      </c>
    </row>
    <row r="188" spans="1:1" x14ac:dyDescent="0.25">
      <c r="A188" t="s">
        <v>2816</v>
      </c>
    </row>
    <row r="189" spans="1:1" x14ac:dyDescent="0.25">
      <c r="A189" t="s">
        <v>2817</v>
      </c>
    </row>
    <row r="190" spans="1:1" x14ac:dyDescent="0.25">
      <c r="A190" t="s">
        <v>2818</v>
      </c>
    </row>
    <row r="191" spans="1:1" x14ac:dyDescent="0.25">
      <c r="A191" t="s">
        <v>2819</v>
      </c>
    </row>
    <row r="192" spans="1:1" x14ac:dyDescent="0.25">
      <c r="A192" t="s">
        <v>2820</v>
      </c>
    </row>
    <row r="193" spans="1:1" x14ac:dyDescent="0.25">
      <c r="A193" t="s">
        <v>2821</v>
      </c>
    </row>
    <row r="194" spans="1:1" x14ac:dyDescent="0.25">
      <c r="A194" t="s">
        <v>2822</v>
      </c>
    </row>
    <row r="195" spans="1:1" x14ac:dyDescent="0.25">
      <c r="A195" t="s">
        <v>2823</v>
      </c>
    </row>
    <row r="196" spans="1:1" x14ac:dyDescent="0.25">
      <c r="A196" t="s">
        <v>2824</v>
      </c>
    </row>
    <row r="197" spans="1:1" x14ac:dyDescent="0.25">
      <c r="A197" t="s">
        <v>2825</v>
      </c>
    </row>
    <row r="198" spans="1:1" x14ac:dyDescent="0.25">
      <c r="A198" t="s">
        <v>2826</v>
      </c>
    </row>
    <row r="199" spans="1:1" x14ac:dyDescent="0.25">
      <c r="A199" t="s">
        <v>2827</v>
      </c>
    </row>
    <row r="200" spans="1:1" x14ac:dyDescent="0.25">
      <c r="A200" t="s">
        <v>2828</v>
      </c>
    </row>
    <row r="201" spans="1:1" x14ac:dyDescent="0.25">
      <c r="A201" t="s">
        <v>2829</v>
      </c>
    </row>
    <row r="202" spans="1:1" x14ac:dyDescent="0.25">
      <c r="A202" t="s">
        <v>2830</v>
      </c>
    </row>
    <row r="203" spans="1:1" x14ac:dyDescent="0.25">
      <c r="A203" t="s">
        <v>2831</v>
      </c>
    </row>
    <row r="204" spans="1:1" x14ac:dyDescent="0.25">
      <c r="A204" t="s">
        <v>2832</v>
      </c>
    </row>
    <row r="205" spans="1:1" x14ac:dyDescent="0.25">
      <c r="A205" t="s">
        <v>2833</v>
      </c>
    </row>
    <row r="206" spans="1:1" x14ac:dyDescent="0.25">
      <c r="A206" t="s">
        <v>2834</v>
      </c>
    </row>
    <row r="207" spans="1:1" x14ac:dyDescent="0.25">
      <c r="A207" t="s">
        <v>2835</v>
      </c>
    </row>
    <row r="208" spans="1:1" x14ac:dyDescent="0.25">
      <c r="A208" t="s">
        <v>2836</v>
      </c>
    </row>
    <row r="209" spans="1:1" x14ac:dyDescent="0.25">
      <c r="A209" t="s">
        <v>2837</v>
      </c>
    </row>
    <row r="210" spans="1:1" x14ac:dyDescent="0.25">
      <c r="A210" t="s">
        <v>2838</v>
      </c>
    </row>
    <row r="211" spans="1:1" x14ac:dyDescent="0.25">
      <c r="A211" t="s">
        <v>2839</v>
      </c>
    </row>
    <row r="212" spans="1:1" x14ac:dyDescent="0.25">
      <c r="A212" t="s">
        <v>2840</v>
      </c>
    </row>
    <row r="213" spans="1:1" x14ac:dyDescent="0.25">
      <c r="A213" t="s">
        <v>2841</v>
      </c>
    </row>
    <row r="214" spans="1:1" x14ac:dyDescent="0.25">
      <c r="A214" t="s">
        <v>2842</v>
      </c>
    </row>
    <row r="215" spans="1:1" x14ac:dyDescent="0.25">
      <c r="A215" t="s">
        <v>2843</v>
      </c>
    </row>
    <row r="216" spans="1:1" x14ac:dyDescent="0.25">
      <c r="A216" t="s">
        <v>2844</v>
      </c>
    </row>
    <row r="217" spans="1:1" x14ac:dyDescent="0.25">
      <c r="A217" t="s">
        <v>2845</v>
      </c>
    </row>
    <row r="218" spans="1:1" x14ac:dyDescent="0.25">
      <c r="A218" t="s">
        <v>2846</v>
      </c>
    </row>
    <row r="219" spans="1:1" x14ac:dyDescent="0.25">
      <c r="A219" t="s">
        <v>2847</v>
      </c>
    </row>
    <row r="220" spans="1:1" x14ac:dyDescent="0.25">
      <c r="A220" t="s">
        <v>2848</v>
      </c>
    </row>
    <row r="221" spans="1:1" x14ac:dyDescent="0.25">
      <c r="A221" t="s">
        <v>2849</v>
      </c>
    </row>
    <row r="222" spans="1:1" x14ac:dyDescent="0.25">
      <c r="A222" t="s">
        <v>2850</v>
      </c>
    </row>
    <row r="223" spans="1:1" x14ac:dyDescent="0.25">
      <c r="A223" t="s">
        <v>2851</v>
      </c>
    </row>
    <row r="224" spans="1:1" x14ac:dyDescent="0.25">
      <c r="A224" t="s">
        <v>2852</v>
      </c>
    </row>
    <row r="225" spans="1:1" x14ac:dyDescent="0.25">
      <c r="A225" t="s">
        <v>2853</v>
      </c>
    </row>
    <row r="226" spans="1:1" x14ac:dyDescent="0.25">
      <c r="A226" t="s">
        <v>2854</v>
      </c>
    </row>
    <row r="227" spans="1:1" x14ac:dyDescent="0.25">
      <c r="A227" t="s">
        <v>2855</v>
      </c>
    </row>
    <row r="228" spans="1:1" x14ac:dyDescent="0.25">
      <c r="A228" t="s">
        <v>2856</v>
      </c>
    </row>
    <row r="229" spans="1:1" x14ac:dyDescent="0.25">
      <c r="A229" t="s">
        <v>2857</v>
      </c>
    </row>
    <row r="230" spans="1:1" x14ac:dyDescent="0.25">
      <c r="A230" t="s">
        <v>2858</v>
      </c>
    </row>
    <row r="231" spans="1:1" x14ac:dyDescent="0.25">
      <c r="A231" t="s">
        <v>2859</v>
      </c>
    </row>
    <row r="232" spans="1:1" x14ac:dyDescent="0.25">
      <c r="A232" t="s">
        <v>2860</v>
      </c>
    </row>
    <row r="233" spans="1:1" x14ac:dyDescent="0.25">
      <c r="A233" t="s">
        <v>2861</v>
      </c>
    </row>
    <row r="234" spans="1:1" x14ac:dyDescent="0.25">
      <c r="A234" t="s">
        <v>2862</v>
      </c>
    </row>
    <row r="235" spans="1:1" x14ac:dyDescent="0.25">
      <c r="A235" t="s">
        <v>2863</v>
      </c>
    </row>
    <row r="236" spans="1:1" x14ac:dyDescent="0.25">
      <c r="A236" t="s">
        <v>2864</v>
      </c>
    </row>
    <row r="237" spans="1:1" x14ac:dyDescent="0.25">
      <c r="A237" t="s">
        <v>2865</v>
      </c>
    </row>
    <row r="238" spans="1:1" x14ac:dyDescent="0.25">
      <c r="A238" t="s">
        <v>2866</v>
      </c>
    </row>
    <row r="239" spans="1:1" x14ac:dyDescent="0.25">
      <c r="A239" t="s">
        <v>2867</v>
      </c>
    </row>
    <row r="240" spans="1:1" x14ac:dyDescent="0.25">
      <c r="A240" t="s">
        <v>2868</v>
      </c>
    </row>
    <row r="241" spans="1:1" x14ac:dyDescent="0.25">
      <c r="A241" t="s">
        <v>2869</v>
      </c>
    </row>
    <row r="242" spans="1:1" x14ac:dyDescent="0.25">
      <c r="A242" t="s">
        <v>2870</v>
      </c>
    </row>
    <row r="243" spans="1:1" x14ac:dyDescent="0.25">
      <c r="A243" t="s">
        <v>2871</v>
      </c>
    </row>
    <row r="244" spans="1:1" x14ac:dyDescent="0.25">
      <c r="A244" t="s">
        <v>2872</v>
      </c>
    </row>
    <row r="245" spans="1:1" x14ac:dyDescent="0.25">
      <c r="A245" t="s">
        <v>2873</v>
      </c>
    </row>
    <row r="246" spans="1:1" x14ac:dyDescent="0.25">
      <c r="A246" t="s">
        <v>2874</v>
      </c>
    </row>
    <row r="247" spans="1:1" x14ac:dyDescent="0.25">
      <c r="A247" t="s">
        <v>2875</v>
      </c>
    </row>
    <row r="248" spans="1:1" x14ac:dyDescent="0.25">
      <c r="A248" t="s">
        <v>2876</v>
      </c>
    </row>
    <row r="249" spans="1:1" x14ac:dyDescent="0.25">
      <c r="A249" t="s">
        <v>2877</v>
      </c>
    </row>
    <row r="250" spans="1:1" x14ac:dyDescent="0.25">
      <c r="A250" t="s">
        <v>2878</v>
      </c>
    </row>
    <row r="251" spans="1:1" x14ac:dyDescent="0.25">
      <c r="A251" t="s">
        <v>2879</v>
      </c>
    </row>
    <row r="252" spans="1:1" x14ac:dyDescent="0.25">
      <c r="A252" t="s">
        <v>2880</v>
      </c>
    </row>
    <row r="253" spans="1:1" x14ac:dyDescent="0.25">
      <c r="A253" t="s">
        <v>2881</v>
      </c>
    </row>
    <row r="254" spans="1:1" x14ac:dyDescent="0.25">
      <c r="A254" t="s">
        <v>2882</v>
      </c>
    </row>
    <row r="255" spans="1:1" x14ac:dyDescent="0.25">
      <c r="A255" t="s">
        <v>2883</v>
      </c>
    </row>
    <row r="256" spans="1:1" x14ac:dyDescent="0.25">
      <c r="A256" t="s">
        <v>2884</v>
      </c>
    </row>
    <row r="257" spans="1:1" x14ac:dyDescent="0.25">
      <c r="A257" t="s">
        <v>2885</v>
      </c>
    </row>
    <row r="258" spans="1:1" x14ac:dyDescent="0.25">
      <c r="A258" t="s">
        <v>2886</v>
      </c>
    </row>
    <row r="259" spans="1:1" x14ac:dyDescent="0.25">
      <c r="A259" t="s">
        <v>2887</v>
      </c>
    </row>
    <row r="260" spans="1:1" x14ac:dyDescent="0.25">
      <c r="A260" t="s">
        <v>2888</v>
      </c>
    </row>
    <row r="261" spans="1:1" x14ac:dyDescent="0.25">
      <c r="A261" t="s">
        <v>2889</v>
      </c>
    </row>
    <row r="262" spans="1:1" x14ac:dyDescent="0.25">
      <c r="A262" t="s">
        <v>2890</v>
      </c>
    </row>
    <row r="263" spans="1:1" x14ac:dyDescent="0.25">
      <c r="A263" t="s">
        <v>2891</v>
      </c>
    </row>
    <row r="264" spans="1:1" x14ac:dyDescent="0.25">
      <c r="A264" t="s">
        <v>2892</v>
      </c>
    </row>
    <row r="265" spans="1:1" x14ac:dyDescent="0.25">
      <c r="A265" t="s">
        <v>2893</v>
      </c>
    </row>
    <row r="266" spans="1:1" x14ac:dyDescent="0.25">
      <c r="A266" t="s">
        <v>2894</v>
      </c>
    </row>
    <row r="267" spans="1:1" x14ac:dyDescent="0.25">
      <c r="A267" t="s">
        <v>2895</v>
      </c>
    </row>
    <row r="268" spans="1:1" x14ac:dyDescent="0.25">
      <c r="A268" t="s">
        <v>2896</v>
      </c>
    </row>
    <row r="269" spans="1:1" x14ac:dyDescent="0.25">
      <c r="A269" t="s">
        <v>2897</v>
      </c>
    </row>
    <row r="270" spans="1:1" x14ac:dyDescent="0.25">
      <c r="A270" t="s">
        <v>2898</v>
      </c>
    </row>
    <row r="271" spans="1:1" x14ac:dyDescent="0.25">
      <c r="A271" t="s">
        <v>2899</v>
      </c>
    </row>
    <row r="272" spans="1:1" x14ac:dyDescent="0.25">
      <c r="A272" t="s">
        <v>2900</v>
      </c>
    </row>
    <row r="273" spans="1:1" x14ac:dyDescent="0.25">
      <c r="A273" t="s">
        <v>2901</v>
      </c>
    </row>
    <row r="274" spans="1:1" x14ac:dyDescent="0.25">
      <c r="A274" t="s">
        <v>2902</v>
      </c>
    </row>
    <row r="275" spans="1:1" x14ac:dyDescent="0.25">
      <c r="A275" t="s">
        <v>2903</v>
      </c>
    </row>
    <row r="276" spans="1:1" x14ac:dyDescent="0.25">
      <c r="A276" t="s">
        <v>2904</v>
      </c>
    </row>
    <row r="277" spans="1:1" x14ac:dyDescent="0.25">
      <c r="A277" t="s">
        <v>2905</v>
      </c>
    </row>
    <row r="278" spans="1:1" x14ac:dyDescent="0.25">
      <c r="A278" t="s">
        <v>2906</v>
      </c>
    </row>
    <row r="279" spans="1:1" x14ac:dyDescent="0.25">
      <c r="A279" t="s">
        <v>2907</v>
      </c>
    </row>
    <row r="280" spans="1:1" x14ac:dyDescent="0.25">
      <c r="A280" t="s">
        <v>2908</v>
      </c>
    </row>
    <row r="281" spans="1:1" x14ac:dyDescent="0.25">
      <c r="A281" t="s">
        <v>2909</v>
      </c>
    </row>
    <row r="282" spans="1:1" x14ac:dyDescent="0.25">
      <c r="A282" t="s">
        <v>2910</v>
      </c>
    </row>
    <row r="283" spans="1:1" x14ac:dyDescent="0.25">
      <c r="A283" t="s">
        <v>2911</v>
      </c>
    </row>
    <row r="284" spans="1:1" x14ac:dyDescent="0.25">
      <c r="A284" t="s">
        <v>2912</v>
      </c>
    </row>
    <row r="285" spans="1:1" x14ac:dyDescent="0.25">
      <c r="A285" t="s">
        <v>2913</v>
      </c>
    </row>
    <row r="286" spans="1:1" x14ac:dyDescent="0.25">
      <c r="A286" t="s">
        <v>2914</v>
      </c>
    </row>
    <row r="287" spans="1:1" x14ac:dyDescent="0.25">
      <c r="A287" t="s">
        <v>2915</v>
      </c>
    </row>
    <row r="288" spans="1:1" x14ac:dyDescent="0.25">
      <c r="A288" t="s">
        <v>2916</v>
      </c>
    </row>
    <row r="289" spans="1:1" x14ac:dyDescent="0.25">
      <c r="A289" t="s">
        <v>2917</v>
      </c>
    </row>
    <row r="290" spans="1:1" x14ac:dyDescent="0.25">
      <c r="A290" t="s">
        <v>2918</v>
      </c>
    </row>
    <row r="291" spans="1:1" x14ac:dyDescent="0.25">
      <c r="A291" t="s">
        <v>2919</v>
      </c>
    </row>
    <row r="292" spans="1:1" x14ac:dyDescent="0.25">
      <c r="A292" t="s">
        <v>2920</v>
      </c>
    </row>
    <row r="293" spans="1:1" x14ac:dyDescent="0.25">
      <c r="A293" t="s">
        <v>2921</v>
      </c>
    </row>
    <row r="294" spans="1:1" x14ac:dyDescent="0.25">
      <c r="A294" t="s">
        <v>2922</v>
      </c>
    </row>
    <row r="295" spans="1:1" x14ac:dyDescent="0.25">
      <c r="A295" t="s">
        <v>2923</v>
      </c>
    </row>
    <row r="296" spans="1:1" x14ac:dyDescent="0.25">
      <c r="A296" t="s">
        <v>2924</v>
      </c>
    </row>
    <row r="297" spans="1:1" x14ac:dyDescent="0.25">
      <c r="A297" t="s">
        <v>2925</v>
      </c>
    </row>
    <row r="298" spans="1:1" x14ac:dyDescent="0.25">
      <c r="A298" t="s">
        <v>2926</v>
      </c>
    </row>
    <row r="299" spans="1:1" x14ac:dyDescent="0.25">
      <c r="A299" t="s">
        <v>2927</v>
      </c>
    </row>
    <row r="300" spans="1:1" x14ac:dyDescent="0.25">
      <c r="A300" t="s">
        <v>2928</v>
      </c>
    </row>
    <row r="301" spans="1:1" x14ac:dyDescent="0.25">
      <c r="A301" t="s">
        <v>2929</v>
      </c>
    </row>
    <row r="302" spans="1:1" x14ac:dyDescent="0.25">
      <c r="A302" t="s">
        <v>2930</v>
      </c>
    </row>
    <row r="303" spans="1:1" x14ac:dyDescent="0.25">
      <c r="A303" t="s">
        <v>2931</v>
      </c>
    </row>
    <row r="304" spans="1:1" x14ac:dyDescent="0.25">
      <c r="A304" t="s">
        <v>2932</v>
      </c>
    </row>
    <row r="305" spans="1:1" x14ac:dyDescent="0.25">
      <c r="A305" t="s">
        <v>2933</v>
      </c>
    </row>
    <row r="306" spans="1:1" x14ac:dyDescent="0.25">
      <c r="A306" t="s">
        <v>2934</v>
      </c>
    </row>
    <row r="307" spans="1:1" x14ac:dyDescent="0.25">
      <c r="A307" t="s">
        <v>2935</v>
      </c>
    </row>
    <row r="308" spans="1:1" x14ac:dyDescent="0.25">
      <c r="A308" t="s">
        <v>2936</v>
      </c>
    </row>
    <row r="309" spans="1:1" x14ac:dyDescent="0.25">
      <c r="A309" t="s">
        <v>2937</v>
      </c>
    </row>
    <row r="310" spans="1:1" x14ac:dyDescent="0.25">
      <c r="A310" t="s">
        <v>2938</v>
      </c>
    </row>
    <row r="311" spans="1:1" x14ac:dyDescent="0.25">
      <c r="A311" t="s">
        <v>2939</v>
      </c>
    </row>
    <row r="312" spans="1:1" x14ac:dyDescent="0.25">
      <c r="A312" t="s">
        <v>2940</v>
      </c>
    </row>
    <row r="313" spans="1:1" x14ac:dyDescent="0.25">
      <c r="A313" t="s">
        <v>2941</v>
      </c>
    </row>
    <row r="314" spans="1:1" x14ac:dyDescent="0.25">
      <c r="A314" t="s">
        <v>2942</v>
      </c>
    </row>
    <row r="315" spans="1:1" x14ac:dyDescent="0.25">
      <c r="A315" t="s">
        <v>2943</v>
      </c>
    </row>
    <row r="316" spans="1:1" x14ac:dyDescent="0.25">
      <c r="A316" t="s">
        <v>2944</v>
      </c>
    </row>
    <row r="317" spans="1:1" x14ac:dyDescent="0.25">
      <c r="A317" t="s">
        <v>2945</v>
      </c>
    </row>
    <row r="318" spans="1:1" x14ac:dyDescent="0.25">
      <c r="A318" t="s">
        <v>2946</v>
      </c>
    </row>
    <row r="319" spans="1:1" x14ac:dyDescent="0.25">
      <c r="A319" t="s">
        <v>2947</v>
      </c>
    </row>
    <row r="320" spans="1:1" x14ac:dyDescent="0.25">
      <c r="A320" t="s">
        <v>2948</v>
      </c>
    </row>
    <row r="321" spans="1:1" x14ac:dyDescent="0.25">
      <c r="A321" t="s">
        <v>2949</v>
      </c>
    </row>
    <row r="322" spans="1:1" x14ac:dyDescent="0.25">
      <c r="A322" t="s">
        <v>2950</v>
      </c>
    </row>
    <row r="323" spans="1:1" x14ac:dyDescent="0.25">
      <c r="A323" t="s">
        <v>2951</v>
      </c>
    </row>
    <row r="324" spans="1:1" x14ac:dyDescent="0.25">
      <c r="A324" t="s">
        <v>2952</v>
      </c>
    </row>
    <row r="325" spans="1:1" x14ac:dyDescent="0.25">
      <c r="A325" t="s">
        <v>2953</v>
      </c>
    </row>
    <row r="326" spans="1:1" x14ac:dyDescent="0.25">
      <c r="A326" t="s">
        <v>2954</v>
      </c>
    </row>
    <row r="327" spans="1:1" x14ac:dyDescent="0.25">
      <c r="A327" t="s">
        <v>2955</v>
      </c>
    </row>
    <row r="328" spans="1:1" x14ac:dyDescent="0.25">
      <c r="A328" t="s">
        <v>2956</v>
      </c>
    </row>
    <row r="329" spans="1:1" x14ac:dyDescent="0.25">
      <c r="A329" t="s">
        <v>2957</v>
      </c>
    </row>
    <row r="330" spans="1:1" x14ac:dyDescent="0.25">
      <c r="A330" t="s">
        <v>2958</v>
      </c>
    </row>
    <row r="331" spans="1:1" x14ac:dyDescent="0.25">
      <c r="A331" t="s">
        <v>2959</v>
      </c>
    </row>
    <row r="332" spans="1:1" x14ac:dyDescent="0.25">
      <c r="A332" t="s">
        <v>2960</v>
      </c>
    </row>
    <row r="333" spans="1:1" x14ac:dyDescent="0.25">
      <c r="A333" t="s">
        <v>2961</v>
      </c>
    </row>
    <row r="334" spans="1:1" x14ac:dyDescent="0.25">
      <c r="A334" t="s">
        <v>2962</v>
      </c>
    </row>
    <row r="335" spans="1:1" x14ac:dyDescent="0.25">
      <c r="A335" t="s">
        <v>2963</v>
      </c>
    </row>
    <row r="336" spans="1:1" x14ac:dyDescent="0.25">
      <c r="A336" t="s">
        <v>2964</v>
      </c>
    </row>
    <row r="337" spans="1:1" x14ac:dyDescent="0.25">
      <c r="A337" t="s">
        <v>2965</v>
      </c>
    </row>
    <row r="338" spans="1:1" x14ac:dyDescent="0.25">
      <c r="A338" t="s">
        <v>2966</v>
      </c>
    </row>
    <row r="339" spans="1:1" x14ac:dyDescent="0.25">
      <c r="A339" t="s">
        <v>2967</v>
      </c>
    </row>
    <row r="340" spans="1:1" x14ac:dyDescent="0.25">
      <c r="A340" t="s">
        <v>2968</v>
      </c>
    </row>
    <row r="341" spans="1:1" x14ac:dyDescent="0.25">
      <c r="A341" t="s">
        <v>2969</v>
      </c>
    </row>
    <row r="342" spans="1:1" x14ac:dyDescent="0.25">
      <c r="A342" t="s">
        <v>2970</v>
      </c>
    </row>
    <row r="343" spans="1:1" x14ac:dyDescent="0.25">
      <c r="A343" t="s">
        <v>2971</v>
      </c>
    </row>
    <row r="344" spans="1:1" x14ac:dyDescent="0.25">
      <c r="A344" t="s">
        <v>2972</v>
      </c>
    </row>
    <row r="345" spans="1:1" x14ac:dyDescent="0.25">
      <c r="A345" t="s">
        <v>2973</v>
      </c>
    </row>
    <row r="346" spans="1:1" x14ac:dyDescent="0.25">
      <c r="A346" t="s">
        <v>2974</v>
      </c>
    </row>
    <row r="347" spans="1:1" x14ac:dyDescent="0.25">
      <c r="A347" t="s">
        <v>2975</v>
      </c>
    </row>
    <row r="348" spans="1:1" x14ac:dyDescent="0.25">
      <c r="A348" t="s">
        <v>2976</v>
      </c>
    </row>
    <row r="349" spans="1:1" x14ac:dyDescent="0.25">
      <c r="A349" t="s">
        <v>2977</v>
      </c>
    </row>
    <row r="350" spans="1:1" x14ac:dyDescent="0.25">
      <c r="A350" t="s">
        <v>2978</v>
      </c>
    </row>
    <row r="351" spans="1:1" x14ac:dyDescent="0.25">
      <c r="A351" t="s">
        <v>2979</v>
      </c>
    </row>
    <row r="352" spans="1:1" x14ac:dyDescent="0.25">
      <c r="A352" t="s">
        <v>2980</v>
      </c>
    </row>
    <row r="353" spans="1:1" x14ac:dyDescent="0.25">
      <c r="A353" t="s">
        <v>2981</v>
      </c>
    </row>
    <row r="354" spans="1:1" x14ac:dyDescent="0.25">
      <c r="A354" t="s">
        <v>2982</v>
      </c>
    </row>
    <row r="355" spans="1:1" x14ac:dyDescent="0.25">
      <c r="A355" t="s">
        <v>2983</v>
      </c>
    </row>
    <row r="356" spans="1:1" x14ac:dyDescent="0.25">
      <c r="A356" t="s">
        <v>2984</v>
      </c>
    </row>
    <row r="357" spans="1:1" x14ac:dyDescent="0.25">
      <c r="A357" t="s">
        <v>2985</v>
      </c>
    </row>
    <row r="358" spans="1:1" x14ac:dyDescent="0.25">
      <c r="A358" t="s">
        <v>2986</v>
      </c>
    </row>
    <row r="359" spans="1:1" x14ac:dyDescent="0.25">
      <c r="A359" t="s">
        <v>2987</v>
      </c>
    </row>
    <row r="360" spans="1:1" x14ac:dyDescent="0.25">
      <c r="A360" t="s">
        <v>2988</v>
      </c>
    </row>
    <row r="361" spans="1:1" x14ac:dyDescent="0.25">
      <c r="A361" t="s">
        <v>2989</v>
      </c>
    </row>
    <row r="362" spans="1:1" x14ac:dyDescent="0.25">
      <c r="A362" t="s">
        <v>2990</v>
      </c>
    </row>
    <row r="363" spans="1:1" x14ac:dyDescent="0.25">
      <c r="A363" t="s">
        <v>2991</v>
      </c>
    </row>
    <row r="364" spans="1:1" x14ac:dyDescent="0.25">
      <c r="A364" t="s">
        <v>2992</v>
      </c>
    </row>
    <row r="365" spans="1:1" x14ac:dyDescent="0.25">
      <c r="A365" t="s">
        <v>2993</v>
      </c>
    </row>
    <row r="366" spans="1:1" x14ac:dyDescent="0.25">
      <c r="A366" t="s">
        <v>2994</v>
      </c>
    </row>
    <row r="367" spans="1:1" x14ac:dyDescent="0.25">
      <c r="A367" t="s">
        <v>2995</v>
      </c>
    </row>
    <row r="368" spans="1:1" x14ac:dyDescent="0.25">
      <c r="A368" t="s">
        <v>2996</v>
      </c>
    </row>
    <row r="369" spans="1:1" x14ac:dyDescent="0.25">
      <c r="A369" t="s">
        <v>2997</v>
      </c>
    </row>
    <row r="370" spans="1:1" x14ac:dyDescent="0.25">
      <c r="A370" t="s">
        <v>2998</v>
      </c>
    </row>
    <row r="371" spans="1:1" x14ac:dyDescent="0.25">
      <c r="A371" t="s">
        <v>2999</v>
      </c>
    </row>
    <row r="372" spans="1:1" x14ac:dyDescent="0.25">
      <c r="A372" t="s">
        <v>3000</v>
      </c>
    </row>
    <row r="373" spans="1:1" x14ac:dyDescent="0.25">
      <c r="A373" t="s">
        <v>3001</v>
      </c>
    </row>
    <row r="374" spans="1:1" x14ac:dyDescent="0.25">
      <c r="A374" t="s">
        <v>3002</v>
      </c>
    </row>
    <row r="375" spans="1:1" x14ac:dyDescent="0.25">
      <c r="A375" t="s">
        <v>3003</v>
      </c>
    </row>
    <row r="376" spans="1:1" x14ac:dyDescent="0.25">
      <c r="A376" t="s">
        <v>3004</v>
      </c>
    </row>
    <row r="377" spans="1:1" x14ac:dyDescent="0.25">
      <c r="A377" t="s">
        <v>3005</v>
      </c>
    </row>
    <row r="378" spans="1:1" x14ac:dyDescent="0.25">
      <c r="A378" t="s">
        <v>3006</v>
      </c>
    </row>
    <row r="379" spans="1:1" x14ac:dyDescent="0.25">
      <c r="A379" t="s">
        <v>3007</v>
      </c>
    </row>
    <row r="380" spans="1:1" x14ac:dyDescent="0.25">
      <c r="A380" t="s">
        <v>3008</v>
      </c>
    </row>
    <row r="381" spans="1:1" x14ac:dyDescent="0.25">
      <c r="A381" t="s">
        <v>3009</v>
      </c>
    </row>
    <row r="382" spans="1:1" x14ac:dyDescent="0.25">
      <c r="A382" t="s">
        <v>3010</v>
      </c>
    </row>
    <row r="383" spans="1:1" x14ac:dyDescent="0.25">
      <c r="A383" t="s">
        <v>3011</v>
      </c>
    </row>
    <row r="384" spans="1:1" x14ac:dyDescent="0.25">
      <c r="A384" t="s">
        <v>3012</v>
      </c>
    </row>
    <row r="385" spans="1:1" x14ac:dyDescent="0.25">
      <c r="A385" t="s">
        <v>3013</v>
      </c>
    </row>
    <row r="386" spans="1:1" x14ac:dyDescent="0.25">
      <c r="A386" t="s">
        <v>3014</v>
      </c>
    </row>
    <row r="387" spans="1:1" x14ac:dyDescent="0.25">
      <c r="A387" t="s">
        <v>3015</v>
      </c>
    </row>
    <row r="388" spans="1:1" x14ac:dyDescent="0.25">
      <c r="A388" t="s">
        <v>3016</v>
      </c>
    </row>
    <row r="389" spans="1:1" x14ac:dyDescent="0.25">
      <c r="A389" t="s">
        <v>3017</v>
      </c>
    </row>
    <row r="390" spans="1:1" x14ac:dyDescent="0.25">
      <c r="A390" t="s">
        <v>3018</v>
      </c>
    </row>
    <row r="391" spans="1:1" x14ac:dyDescent="0.25">
      <c r="A391" t="s">
        <v>3019</v>
      </c>
    </row>
    <row r="392" spans="1:1" x14ac:dyDescent="0.25">
      <c r="A392" t="s">
        <v>3020</v>
      </c>
    </row>
    <row r="393" spans="1:1" x14ac:dyDescent="0.25">
      <c r="A393" t="s">
        <v>3021</v>
      </c>
    </row>
    <row r="394" spans="1:1" x14ac:dyDescent="0.25">
      <c r="A394" t="s">
        <v>3022</v>
      </c>
    </row>
    <row r="395" spans="1:1" x14ac:dyDescent="0.25">
      <c r="A395" t="s">
        <v>3023</v>
      </c>
    </row>
    <row r="396" spans="1:1" x14ac:dyDescent="0.25">
      <c r="A396" t="s">
        <v>3024</v>
      </c>
    </row>
    <row r="397" spans="1:1" x14ac:dyDescent="0.25">
      <c r="A397" t="s">
        <v>3025</v>
      </c>
    </row>
    <row r="398" spans="1:1" x14ac:dyDescent="0.25">
      <c r="A398" t="s">
        <v>3026</v>
      </c>
    </row>
    <row r="399" spans="1:1" x14ac:dyDescent="0.25">
      <c r="A399" t="s">
        <v>3027</v>
      </c>
    </row>
    <row r="400" spans="1:1" x14ac:dyDescent="0.25">
      <c r="A400" t="s">
        <v>3028</v>
      </c>
    </row>
    <row r="401" spans="1:1" x14ac:dyDescent="0.25">
      <c r="A401" t="s">
        <v>3029</v>
      </c>
    </row>
    <row r="402" spans="1:1" x14ac:dyDescent="0.25">
      <c r="A402" t="s">
        <v>3030</v>
      </c>
    </row>
    <row r="403" spans="1:1" x14ac:dyDescent="0.25">
      <c r="A403" t="s">
        <v>3031</v>
      </c>
    </row>
    <row r="404" spans="1:1" x14ac:dyDescent="0.25">
      <c r="A404" t="s">
        <v>3032</v>
      </c>
    </row>
    <row r="405" spans="1:1" x14ac:dyDescent="0.25">
      <c r="A405" t="s">
        <v>3033</v>
      </c>
    </row>
    <row r="406" spans="1:1" x14ac:dyDescent="0.25">
      <c r="A406" t="s">
        <v>3034</v>
      </c>
    </row>
    <row r="407" spans="1:1" x14ac:dyDescent="0.25">
      <c r="A407" t="s">
        <v>3035</v>
      </c>
    </row>
    <row r="408" spans="1:1" x14ac:dyDescent="0.25">
      <c r="A408" t="s">
        <v>3036</v>
      </c>
    </row>
    <row r="409" spans="1:1" x14ac:dyDescent="0.25">
      <c r="A409" t="s">
        <v>3037</v>
      </c>
    </row>
    <row r="410" spans="1:1" x14ac:dyDescent="0.25">
      <c r="A410" t="s">
        <v>3038</v>
      </c>
    </row>
    <row r="411" spans="1:1" x14ac:dyDescent="0.25">
      <c r="A411" t="s">
        <v>3039</v>
      </c>
    </row>
    <row r="412" spans="1:1" x14ac:dyDescent="0.25">
      <c r="A412" t="s">
        <v>3040</v>
      </c>
    </row>
    <row r="413" spans="1:1" x14ac:dyDescent="0.25">
      <c r="A413" t="s">
        <v>3041</v>
      </c>
    </row>
    <row r="414" spans="1:1" x14ac:dyDescent="0.25">
      <c r="A414" t="s">
        <v>3042</v>
      </c>
    </row>
    <row r="415" spans="1:1" x14ac:dyDescent="0.25">
      <c r="A415" t="s">
        <v>3043</v>
      </c>
    </row>
    <row r="416" spans="1:1" x14ac:dyDescent="0.25">
      <c r="A416" t="s">
        <v>3044</v>
      </c>
    </row>
    <row r="417" spans="1:1" x14ac:dyDescent="0.25">
      <c r="A417" t="s">
        <v>3045</v>
      </c>
    </row>
    <row r="418" spans="1:1" x14ac:dyDescent="0.25">
      <c r="A418" t="s">
        <v>3046</v>
      </c>
    </row>
    <row r="419" spans="1:1" x14ac:dyDescent="0.25">
      <c r="A419" t="s">
        <v>3047</v>
      </c>
    </row>
    <row r="420" spans="1:1" x14ac:dyDescent="0.25">
      <c r="A420" t="s">
        <v>3048</v>
      </c>
    </row>
    <row r="421" spans="1:1" x14ac:dyDescent="0.25">
      <c r="A421" t="s">
        <v>3049</v>
      </c>
    </row>
    <row r="422" spans="1:1" x14ac:dyDescent="0.25">
      <c r="A422" t="s">
        <v>3050</v>
      </c>
    </row>
    <row r="423" spans="1:1" x14ac:dyDescent="0.25">
      <c r="A423" t="s">
        <v>3051</v>
      </c>
    </row>
    <row r="424" spans="1:1" x14ac:dyDescent="0.25">
      <c r="A424" t="s">
        <v>3052</v>
      </c>
    </row>
    <row r="425" spans="1:1" x14ac:dyDescent="0.25">
      <c r="A425" t="s">
        <v>3053</v>
      </c>
    </row>
    <row r="426" spans="1:1" x14ac:dyDescent="0.25">
      <c r="A426" t="s">
        <v>3054</v>
      </c>
    </row>
    <row r="427" spans="1:1" x14ac:dyDescent="0.25">
      <c r="A427" t="s">
        <v>3055</v>
      </c>
    </row>
    <row r="428" spans="1:1" x14ac:dyDescent="0.25">
      <c r="A428" t="s">
        <v>3056</v>
      </c>
    </row>
    <row r="429" spans="1:1" x14ac:dyDescent="0.25">
      <c r="A429" t="s">
        <v>3057</v>
      </c>
    </row>
    <row r="430" spans="1:1" x14ac:dyDescent="0.25">
      <c r="A430" t="s">
        <v>3058</v>
      </c>
    </row>
    <row r="431" spans="1:1" x14ac:dyDescent="0.25">
      <c r="A431" t="s">
        <v>3059</v>
      </c>
    </row>
    <row r="432" spans="1:1" x14ac:dyDescent="0.25">
      <c r="A432" t="s">
        <v>3060</v>
      </c>
    </row>
    <row r="433" spans="1:1" x14ac:dyDescent="0.25">
      <c r="A433" t="s">
        <v>3061</v>
      </c>
    </row>
    <row r="434" spans="1:1" x14ac:dyDescent="0.25">
      <c r="A434" t="s">
        <v>3062</v>
      </c>
    </row>
    <row r="435" spans="1:1" x14ac:dyDescent="0.25">
      <c r="A435" t="s">
        <v>3063</v>
      </c>
    </row>
    <row r="436" spans="1:1" x14ac:dyDescent="0.25">
      <c r="A436" t="s">
        <v>3064</v>
      </c>
    </row>
    <row r="437" spans="1:1" x14ac:dyDescent="0.25">
      <c r="A437" t="s">
        <v>3065</v>
      </c>
    </row>
    <row r="438" spans="1:1" x14ac:dyDescent="0.25">
      <c r="A438" t="s">
        <v>3066</v>
      </c>
    </row>
    <row r="439" spans="1:1" x14ac:dyDescent="0.25">
      <c r="A439" t="s">
        <v>3067</v>
      </c>
    </row>
    <row r="440" spans="1:1" x14ac:dyDescent="0.25">
      <c r="A440" t="s">
        <v>3068</v>
      </c>
    </row>
    <row r="441" spans="1:1" x14ac:dyDescent="0.25">
      <c r="A441" t="s">
        <v>3069</v>
      </c>
    </row>
    <row r="442" spans="1:1" x14ac:dyDescent="0.25">
      <c r="A442" t="s">
        <v>3070</v>
      </c>
    </row>
    <row r="443" spans="1:1" x14ac:dyDescent="0.25">
      <c r="A443" t="s">
        <v>3071</v>
      </c>
    </row>
    <row r="444" spans="1:1" x14ac:dyDescent="0.25">
      <c r="A444" t="s">
        <v>3072</v>
      </c>
    </row>
    <row r="445" spans="1:1" x14ac:dyDescent="0.25">
      <c r="A445" t="s">
        <v>3073</v>
      </c>
    </row>
    <row r="446" spans="1:1" x14ac:dyDescent="0.25">
      <c r="A446" t="s">
        <v>3074</v>
      </c>
    </row>
    <row r="447" spans="1:1" x14ac:dyDescent="0.25">
      <c r="A447" t="s">
        <v>3075</v>
      </c>
    </row>
    <row r="448" spans="1:1" x14ac:dyDescent="0.25">
      <c r="A448" t="s">
        <v>3076</v>
      </c>
    </row>
    <row r="449" spans="1:1" x14ac:dyDescent="0.25">
      <c r="A449" t="s">
        <v>3077</v>
      </c>
    </row>
    <row r="450" spans="1:1" x14ac:dyDescent="0.25">
      <c r="A450" t="s">
        <v>3078</v>
      </c>
    </row>
    <row r="451" spans="1:1" x14ac:dyDescent="0.25">
      <c r="A451" t="s">
        <v>3079</v>
      </c>
    </row>
    <row r="452" spans="1:1" x14ac:dyDescent="0.25">
      <c r="A452" t="s">
        <v>3080</v>
      </c>
    </row>
    <row r="453" spans="1:1" x14ac:dyDescent="0.25">
      <c r="A453" t="s">
        <v>3081</v>
      </c>
    </row>
    <row r="454" spans="1:1" x14ac:dyDescent="0.25">
      <c r="A454" t="s">
        <v>3082</v>
      </c>
    </row>
    <row r="455" spans="1:1" x14ac:dyDescent="0.25">
      <c r="A455" t="s">
        <v>3083</v>
      </c>
    </row>
    <row r="456" spans="1:1" x14ac:dyDescent="0.25">
      <c r="A456" t="s">
        <v>3084</v>
      </c>
    </row>
    <row r="457" spans="1:1" x14ac:dyDescent="0.25">
      <c r="A457" t="s">
        <v>3085</v>
      </c>
    </row>
    <row r="458" spans="1:1" x14ac:dyDescent="0.25">
      <c r="A458" t="s">
        <v>3086</v>
      </c>
    </row>
    <row r="459" spans="1:1" x14ac:dyDescent="0.25">
      <c r="A459" t="s">
        <v>3087</v>
      </c>
    </row>
    <row r="460" spans="1:1" x14ac:dyDescent="0.25">
      <c r="A460" t="s">
        <v>3088</v>
      </c>
    </row>
    <row r="461" spans="1:1" x14ac:dyDescent="0.25">
      <c r="A461" t="s">
        <v>3089</v>
      </c>
    </row>
    <row r="462" spans="1:1" x14ac:dyDescent="0.25">
      <c r="A462" t="s">
        <v>3090</v>
      </c>
    </row>
    <row r="463" spans="1:1" x14ac:dyDescent="0.25">
      <c r="A463" t="s">
        <v>3091</v>
      </c>
    </row>
    <row r="464" spans="1:1" x14ac:dyDescent="0.25">
      <c r="A464" t="s">
        <v>3092</v>
      </c>
    </row>
    <row r="465" spans="1:1" x14ac:dyDescent="0.25">
      <c r="A465" t="s">
        <v>3093</v>
      </c>
    </row>
    <row r="466" spans="1:1" x14ac:dyDescent="0.25">
      <c r="A466" t="s">
        <v>3094</v>
      </c>
    </row>
    <row r="467" spans="1:1" x14ac:dyDescent="0.25">
      <c r="A467" t="s">
        <v>3095</v>
      </c>
    </row>
    <row r="468" spans="1:1" x14ac:dyDescent="0.25">
      <c r="A468" t="s">
        <v>3096</v>
      </c>
    </row>
    <row r="469" spans="1:1" x14ac:dyDescent="0.25">
      <c r="A469" t="s">
        <v>3097</v>
      </c>
    </row>
    <row r="470" spans="1:1" x14ac:dyDescent="0.25">
      <c r="A470" t="s">
        <v>3098</v>
      </c>
    </row>
    <row r="471" spans="1:1" x14ac:dyDescent="0.25">
      <c r="A471" t="s">
        <v>3099</v>
      </c>
    </row>
    <row r="472" spans="1:1" x14ac:dyDescent="0.25">
      <c r="A472" t="s">
        <v>3100</v>
      </c>
    </row>
    <row r="473" spans="1:1" x14ac:dyDescent="0.25">
      <c r="A473" t="s">
        <v>3101</v>
      </c>
    </row>
    <row r="474" spans="1:1" x14ac:dyDescent="0.25">
      <c r="A474" t="s">
        <v>3102</v>
      </c>
    </row>
    <row r="475" spans="1:1" x14ac:dyDescent="0.25">
      <c r="A475" t="s">
        <v>3103</v>
      </c>
    </row>
    <row r="476" spans="1:1" x14ac:dyDescent="0.25">
      <c r="A476" t="s">
        <v>3104</v>
      </c>
    </row>
    <row r="477" spans="1:1" x14ac:dyDescent="0.25">
      <c r="A477" t="s">
        <v>3105</v>
      </c>
    </row>
    <row r="478" spans="1:1" x14ac:dyDescent="0.25">
      <c r="A478" t="s">
        <v>3106</v>
      </c>
    </row>
    <row r="479" spans="1:1" x14ac:dyDescent="0.25">
      <c r="A479" t="s">
        <v>3107</v>
      </c>
    </row>
    <row r="480" spans="1:1" x14ac:dyDescent="0.25">
      <c r="A480" t="s">
        <v>3108</v>
      </c>
    </row>
    <row r="481" spans="1:1" x14ac:dyDescent="0.25">
      <c r="A481" t="s">
        <v>3109</v>
      </c>
    </row>
    <row r="482" spans="1:1" x14ac:dyDescent="0.25">
      <c r="A482" t="s">
        <v>3110</v>
      </c>
    </row>
    <row r="483" spans="1:1" x14ac:dyDescent="0.25">
      <c r="A483" t="s">
        <v>3111</v>
      </c>
    </row>
    <row r="484" spans="1:1" x14ac:dyDescent="0.25">
      <c r="A484" t="s">
        <v>3112</v>
      </c>
    </row>
    <row r="485" spans="1:1" x14ac:dyDescent="0.25">
      <c r="A485" t="s">
        <v>3113</v>
      </c>
    </row>
    <row r="486" spans="1:1" x14ac:dyDescent="0.25">
      <c r="A486" t="s">
        <v>3114</v>
      </c>
    </row>
    <row r="487" spans="1:1" x14ac:dyDescent="0.25">
      <c r="A487" t="s">
        <v>3115</v>
      </c>
    </row>
    <row r="488" spans="1:1" x14ac:dyDescent="0.25">
      <c r="A488" t="s">
        <v>3116</v>
      </c>
    </row>
    <row r="489" spans="1:1" x14ac:dyDescent="0.25">
      <c r="A489" t="s">
        <v>3117</v>
      </c>
    </row>
    <row r="490" spans="1:1" x14ac:dyDescent="0.25">
      <c r="A490" t="s">
        <v>3118</v>
      </c>
    </row>
    <row r="491" spans="1:1" x14ac:dyDescent="0.25">
      <c r="A491" t="s">
        <v>3119</v>
      </c>
    </row>
    <row r="492" spans="1:1" x14ac:dyDescent="0.25">
      <c r="A492" t="s">
        <v>3120</v>
      </c>
    </row>
    <row r="493" spans="1:1" x14ac:dyDescent="0.25">
      <c r="A493" t="s">
        <v>3121</v>
      </c>
    </row>
    <row r="494" spans="1:1" x14ac:dyDescent="0.25">
      <c r="A494" t="s">
        <v>3122</v>
      </c>
    </row>
    <row r="495" spans="1:1" x14ac:dyDescent="0.25">
      <c r="A495" t="s">
        <v>3123</v>
      </c>
    </row>
    <row r="496" spans="1:1" x14ac:dyDescent="0.25">
      <c r="A496" t="s">
        <v>3124</v>
      </c>
    </row>
    <row r="497" spans="1:1" x14ac:dyDescent="0.25">
      <c r="A497" t="s">
        <v>3125</v>
      </c>
    </row>
    <row r="498" spans="1:1" x14ac:dyDescent="0.25">
      <c r="A498" t="s">
        <v>3126</v>
      </c>
    </row>
    <row r="499" spans="1:1" x14ac:dyDescent="0.25">
      <c r="A499" t="s">
        <v>3127</v>
      </c>
    </row>
    <row r="500" spans="1:1" x14ac:dyDescent="0.25">
      <c r="A500" t="s">
        <v>3128</v>
      </c>
    </row>
    <row r="501" spans="1:1" x14ac:dyDescent="0.25">
      <c r="A501" t="s">
        <v>3129</v>
      </c>
    </row>
    <row r="502" spans="1:1" x14ac:dyDescent="0.25">
      <c r="A502" t="s">
        <v>3130</v>
      </c>
    </row>
    <row r="503" spans="1:1" x14ac:dyDescent="0.25">
      <c r="A503" t="s">
        <v>3131</v>
      </c>
    </row>
    <row r="504" spans="1:1" x14ac:dyDescent="0.25">
      <c r="A504" t="s">
        <v>3132</v>
      </c>
    </row>
    <row r="505" spans="1:1" x14ac:dyDescent="0.25">
      <c r="A505" t="s">
        <v>3133</v>
      </c>
    </row>
    <row r="506" spans="1:1" x14ac:dyDescent="0.25">
      <c r="A506" t="s">
        <v>3134</v>
      </c>
    </row>
    <row r="507" spans="1:1" x14ac:dyDescent="0.25">
      <c r="A507" t="s">
        <v>3135</v>
      </c>
    </row>
    <row r="508" spans="1:1" x14ac:dyDescent="0.25">
      <c r="A508" t="s">
        <v>3136</v>
      </c>
    </row>
    <row r="509" spans="1:1" x14ac:dyDescent="0.25">
      <c r="A509" t="s">
        <v>3137</v>
      </c>
    </row>
    <row r="510" spans="1:1" x14ac:dyDescent="0.25">
      <c r="A510" t="s">
        <v>3138</v>
      </c>
    </row>
    <row r="511" spans="1:1" x14ac:dyDescent="0.25">
      <c r="A511" t="s">
        <v>3139</v>
      </c>
    </row>
    <row r="512" spans="1:1" x14ac:dyDescent="0.25">
      <c r="A512" t="s">
        <v>3140</v>
      </c>
    </row>
    <row r="513" spans="1:1" x14ac:dyDescent="0.25">
      <c r="A513" t="s">
        <v>3141</v>
      </c>
    </row>
    <row r="514" spans="1:1" x14ac:dyDescent="0.25">
      <c r="A514" t="s">
        <v>3142</v>
      </c>
    </row>
    <row r="515" spans="1:1" x14ac:dyDescent="0.25">
      <c r="A515" t="s">
        <v>3143</v>
      </c>
    </row>
    <row r="516" spans="1:1" x14ac:dyDescent="0.25">
      <c r="A516" t="s">
        <v>3144</v>
      </c>
    </row>
    <row r="517" spans="1:1" x14ac:dyDescent="0.25">
      <c r="A517" t="s">
        <v>3145</v>
      </c>
    </row>
    <row r="518" spans="1:1" x14ac:dyDescent="0.25">
      <c r="A518" t="s">
        <v>3146</v>
      </c>
    </row>
    <row r="519" spans="1:1" x14ac:dyDescent="0.25">
      <c r="A519" t="s">
        <v>3147</v>
      </c>
    </row>
    <row r="520" spans="1:1" x14ac:dyDescent="0.25">
      <c r="A520" t="s">
        <v>3148</v>
      </c>
    </row>
    <row r="521" spans="1:1" x14ac:dyDescent="0.25">
      <c r="A521" t="s">
        <v>3149</v>
      </c>
    </row>
    <row r="522" spans="1:1" x14ac:dyDescent="0.25">
      <c r="A522" t="s">
        <v>3150</v>
      </c>
    </row>
    <row r="523" spans="1:1" x14ac:dyDescent="0.25">
      <c r="A523" t="s">
        <v>3151</v>
      </c>
    </row>
    <row r="524" spans="1:1" x14ac:dyDescent="0.25">
      <c r="A524" t="s">
        <v>3152</v>
      </c>
    </row>
    <row r="525" spans="1:1" x14ac:dyDescent="0.25">
      <c r="A525" t="s">
        <v>3153</v>
      </c>
    </row>
    <row r="526" spans="1:1" x14ac:dyDescent="0.25">
      <c r="A526" t="s">
        <v>3154</v>
      </c>
    </row>
    <row r="527" spans="1:1" x14ac:dyDescent="0.25">
      <c r="A527" t="s">
        <v>3155</v>
      </c>
    </row>
    <row r="528" spans="1:1" x14ac:dyDescent="0.25">
      <c r="A528" t="s">
        <v>3156</v>
      </c>
    </row>
    <row r="529" spans="1:1" x14ac:dyDescent="0.25">
      <c r="A529" t="s">
        <v>3157</v>
      </c>
    </row>
    <row r="530" spans="1:1" x14ac:dyDescent="0.25">
      <c r="A530" t="s">
        <v>3158</v>
      </c>
    </row>
    <row r="531" spans="1:1" x14ac:dyDescent="0.25">
      <c r="A531" t="s">
        <v>3159</v>
      </c>
    </row>
    <row r="532" spans="1:1" x14ac:dyDescent="0.25">
      <c r="A532" t="s">
        <v>3160</v>
      </c>
    </row>
    <row r="533" spans="1:1" x14ac:dyDescent="0.25">
      <c r="A533" t="s">
        <v>3161</v>
      </c>
    </row>
    <row r="534" spans="1:1" x14ac:dyDescent="0.25">
      <c r="A534" t="s">
        <v>3162</v>
      </c>
    </row>
    <row r="535" spans="1:1" x14ac:dyDescent="0.25">
      <c r="A535" t="s">
        <v>3163</v>
      </c>
    </row>
    <row r="536" spans="1:1" x14ac:dyDescent="0.25">
      <c r="A536" t="s">
        <v>3164</v>
      </c>
    </row>
    <row r="537" spans="1:1" x14ac:dyDescent="0.25">
      <c r="A537" t="s">
        <v>3165</v>
      </c>
    </row>
    <row r="538" spans="1:1" x14ac:dyDescent="0.25">
      <c r="A538" t="s">
        <v>3166</v>
      </c>
    </row>
    <row r="539" spans="1:1" x14ac:dyDescent="0.25">
      <c r="A539" t="s">
        <v>3167</v>
      </c>
    </row>
    <row r="540" spans="1:1" x14ac:dyDescent="0.25">
      <c r="A540" t="s">
        <v>3168</v>
      </c>
    </row>
    <row r="541" spans="1:1" x14ac:dyDescent="0.25">
      <c r="A541" t="s">
        <v>3169</v>
      </c>
    </row>
    <row r="542" spans="1:1" x14ac:dyDescent="0.25">
      <c r="A542" t="s">
        <v>3170</v>
      </c>
    </row>
    <row r="543" spans="1:1" x14ac:dyDescent="0.25">
      <c r="A543" t="s">
        <v>3171</v>
      </c>
    </row>
    <row r="544" spans="1:1" x14ac:dyDescent="0.25">
      <c r="A544" t="s">
        <v>3172</v>
      </c>
    </row>
    <row r="545" spans="1:1" x14ac:dyDescent="0.25">
      <c r="A545" t="s">
        <v>3173</v>
      </c>
    </row>
    <row r="546" spans="1:1" x14ac:dyDescent="0.25">
      <c r="A546" t="s">
        <v>3174</v>
      </c>
    </row>
    <row r="547" spans="1:1" x14ac:dyDescent="0.25">
      <c r="A547" t="s">
        <v>3175</v>
      </c>
    </row>
    <row r="548" spans="1:1" x14ac:dyDescent="0.25">
      <c r="A548" t="s">
        <v>3176</v>
      </c>
    </row>
    <row r="549" spans="1:1" x14ac:dyDescent="0.25">
      <c r="A549" t="s">
        <v>3177</v>
      </c>
    </row>
    <row r="550" spans="1:1" x14ac:dyDescent="0.25">
      <c r="A550" t="s">
        <v>3178</v>
      </c>
    </row>
    <row r="551" spans="1:1" x14ac:dyDescent="0.25">
      <c r="A551" t="s">
        <v>3179</v>
      </c>
    </row>
    <row r="552" spans="1:1" x14ac:dyDescent="0.25">
      <c r="A552" t="s">
        <v>3180</v>
      </c>
    </row>
    <row r="553" spans="1:1" x14ac:dyDescent="0.25">
      <c r="A553" t="s">
        <v>3181</v>
      </c>
    </row>
    <row r="554" spans="1:1" x14ac:dyDescent="0.25">
      <c r="A554" t="s">
        <v>3182</v>
      </c>
    </row>
    <row r="555" spans="1:1" x14ac:dyDescent="0.25">
      <c r="A555" t="s">
        <v>3183</v>
      </c>
    </row>
    <row r="556" spans="1:1" x14ac:dyDescent="0.25">
      <c r="A556" t="s">
        <v>3184</v>
      </c>
    </row>
    <row r="557" spans="1:1" x14ac:dyDescent="0.25">
      <c r="A557" t="s">
        <v>3185</v>
      </c>
    </row>
    <row r="558" spans="1:1" x14ac:dyDescent="0.25">
      <c r="A558" t="s">
        <v>3186</v>
      </c>
    </row>
    <row r="559" spans="1:1" x14ac:dyDescent="0.25">
      <c r="A559" t="s">
        <v>3187</v>
      </c>
    </row>
    <row r="560" spans="1:1" x14ac:dyDescent="0.25">
      <c r="A560" t="s">
        <v>3188</v>
      </c>
    </row>
    <row r="561" spans="1:1" x14ac:dyDescent="0.25">
      <c r="A561" t="s">
        <v>3189</v>
      </c>
    </row>
    <row r="562" spans="1:1" x14ac:dyDescent="0.25">
      <c r="A562" t="s">
        <v>3190</v>
      </c>
    </row>
    <row r="563" spans="1:1" x14ac:dyDescent="0.25">
      <c r="A563" t="s">
        <v>3191</v>
      </c>
    </row>
    <row r="564" spans="1:1" x14ac:dyDescent="0.25">
      <c r="A564" t="s">
        <v>3192</v>
      </c>
    </row>
    <row r="565" spans="1:1" x14ac:dyDescent="0.25">
      <c r="A565" t="s">
        <v>3193</v>
      </c>
    </row>
    <row r="566" spans="1:1" x14ac:dyDescent="0.25">
      <c r="A566" t="s">
        <v>3194</v>
      </c>
    </row>
    <row r="567" spans="1:1" x14ac:dyDescent="0.25">
      <c r="A567" t="s">
        <v>3195</v>
      </c>
    </row>
    <row r="568" spans="1:1" x14ac:dyDescent="0.25">
      <c r="A568" t="s">
        <v>3196</v>
      </c>
    </row>
    <row r="569" spans="1:1" x14ac:dyDescent="0.25">
      <c r="A569" t="s">
        <v>3197</v>
      </c>
    </row>
    <row r="570" spans="1:1" x14ac:dyDescent="0.25">
      <c r="A570" t="s">
        <v>3198</v>
      </c>
    </row>
    <row r="571" spans="1:1" x14ac:dyDescent="0.25">
      <c r="A571" t="s">
        <v>3199</v>
      </c>
    </row>
    <row r="572" spans="1:1" x14ac:dyDescent="0.25">
      <c r="A572" t="s">
        <v>3200</v>
      </c>
    </row>
    <row r="573" spans="1:1" x14ac:dyDescent="0.25">
      <c r="A573" t="s">
        <v>3201</v>
      </c>
    </row>
    <row r="574" spans="1:1" x14ac:dyDescent="0.25">
      <c r="A574" t="s">
        <v>3202</v>
      </c>
    </row>
    <row r="575" spans="1:1" x14ac:dyDescent="0.25">
      <c r="A575" t="s">
        <v>3203</v>
      </c>
    </row>
    <row r="576" spans="1:1" x14ac:dyDescent="0.25">
      <c r="A576" t="s">
        <v>3204</v>
      </c>
    </row>
    <row r="577" spans="1:1" x14ac:dyDescent="0.25">
      <c r="A577" t="s">
        <v>3205</v>
      </c>
    </row>
    <row r="578" spans="1:1" x14ac:dyDescent="0.25">
      <c r="A578" t="s">
        <v>3206</v>
      </c>
    </row>
    <row r="579" spans="1:1" x14ac:dyDescent="0.25">
      <c r="A579" t="s">
        <v>3207</v>
      </c>
    </row>
    <row r="580" spans="1:1" x14ac:dyDescent="0.25">
      <c r="A580" t="s">
        <v>3208</v>
      </c>
    </row>
    <row r="581" spans="1:1" x14ac:dyDescent="0.25">
      <c r="A581" t="s">
        <v>3209</v>
      </c>
    </row>
    <row r="582" spans="1:1" x14ac:dyDescent="0.25">
      <c r="A582" t="s">
        <v>3210</v>
      </c>
    </row>
    <row r="583" spans="1:1" x14ac:dyDescent="0.25">
      <c r="A583" t="s">
        <v>3211</v>
      </c>
    </row>
    <row r="584" spans="1:1" x14ac:dyDescent="0.25">
      <c r="A584" t="s">
        <v>3212</v>
      </c>
    </row>
    <row r="585" spans="1:1" x14ac:dyDescent="0.25">
      <c r="A585" t="s">
        <v>3213</v>
      </c>
    </row>
    <row r="586" spans="1:1" x14ac:dyDescent="0.25">
      <c r="A586" t="s">
        <v>3214</v>
      </c>
    </row>
    <row r="587" spans="1:1" x14ac:dyDescent="0.25">
      <c r="A587" t="s">
        <v>3215</v>
      </c>
    </row>
    <row r="588" spans="1:1" x14ac:dyDescent="0.25">
      <c r="A588" t="s">
        <v>3216</v>
      </c>
    </row>
    <row r="589" spans="1:1" x14ac:dyDescent="0.25">
      <c r="A589" t="s">
        <v>3217</v>
      </c>
    </row>
    <row r="590" spans="1:1" x14ac:dyDescent="0.25">
      <c r="A590" t="s">
        <v>3218</v>
      </c>
    </row>
    <row r="591" spans="1:1" x14ac:dyDescent="0.25">
      <c r="A591" t="s">
        <v>3219</v>
      </c>
    </row>
    <row r="592" spans="1:1" x14ac:dyDescent="0.25">
      <c r="A592" t="s">
        <v>3220</v>
      </c>
    </row>
    <row r="593" spans="1:1" x14ac:dyDescent="0.25">
      <c r="A593" t="s">
        <v>3221</v>
      </c>
    </row>
    <row r="594" spans="1:1" x14ac:dyDescent="0.25">
      <c r="A594" t="s">
        <v>3222</v>
      </c>
    </row>
    <row r="595" spans="1:1" x14ac:dyDescent="0.25">
      <c r="A595" t="s">
        <v>3223</v>
      </c>
    </row>
    <row r="596" spans="1:1" x14ac:dyDescent="0.25">
      <c r="A596" t="s">
        <v>3224</v>
      </c>
    </row>
    <row r="597" spans="1:1" x14ac:dyDescent="0.25">
      <c r="A597" t="s">
        <v>3225</v>
      </c>
    </row>
    <row r="598" spans="1:1" x14ac:dyDescent="0.25">
      <c r="A598" t="s">
        <v>3226</v>
      </c>
    </row>
    <row r="599" spans="1:1" x14ac:dyDescent="0.25">
      <c r="A599" t="s">
        <v>3227</v>
      </c>
    </row>
    <row r="600" spans="1:1" x14ac:dyDescent="0.25">
      <c r="A600" t="s">
        <v>3228</v>
      </c>
    </row>
    <row r="601" spans="1:1" x14ac:dyDescent="0.25">
      <c r="A601" t="s">
        <v>3229</v>
      </c>
    </row>
    <row r="602" spans="1:1" x14ac:dyDescent="0.25">
      <c r="A602" t="s">
        <v>3230</v>
      </c>
    </row>
    <row r="603" spans="1:1" x14ac:dyDescent="0.25">
      <c r="A603" t="s">
        <v>3231</v>
      </c>
    </row>
    <row r="604" spans="1:1" x14ac:dyDescent="0.25">
      <c r="A604" t="s">
        <v>3232</v>
      </c>
    </row>
    <row r="605" spans="1:1" x14ac:dyDescent="0.25">
      <c r="A605" t="s">
        <v>3233</v>
      </c>
    </row>
    <row r="606" spans="1:1" x14ac:dyDescent="0.25">
      <c r="A606" t="s">
        <v>3234</v>
      </c>
    </row>
    <row r="607" spans="1:1" x14ac:dyDescent="0.25">
      <c r="A607" t="s">
        <v>3235</v>
      </c>
    </row>
    <row r="608" spans="1:1" x14ac:dyDescent="0.25">
      <c r="A608" t="s">
        <v>3236</v>
      </c>
    </row>
    <row r="609" spans="1:1" x14ac:dyDescent="0.25">
      <c r="A609" t="s">
        <v>3237</v>
      </c>
    </row>
    <row r="610" spans="1:1" x14ac:dyDescent="0.25">
      <c r="A610" t="s">
        <v>3238</v>
      </c>
    </row>
    <row r="611" spans="1:1" x14ac:dyDescent="0.25">
      <c r="A611" t="s">
        <v>3239</v>
      </c>
    </row>
    <row r="612" spans="1:1" x14ac:dyDescent="0.25">
      <c r="A612" t="s">
        <v>3240</v>
      </c>
    </row>
    <row r="613" spans="1:1" x14ac:dyDescent="0.25">
      <c r="A613" t="s">
        <v>3241</v>
      </c>
    </row>
    <row r="614" spans="1:1" x14ac:dyDescent="0.25">
      <c r="A614" t="s">
        <v>3242</v>
      </c>
    </row>
    <row r="615" spans="1:1" x14ac:dyDescent="0.25">
      <c r="A615" t="s">
        <v>3243</v>
      </c>
    </row>
    <row r="616" spans="1:1" x14ac:dyDescent="0.25">
      <c r="A616" t="s">
        <v>3244</v>
      </c>
    </row>
    <row r="617" spans="1:1" x14ac:dyDescent="0.25">
      <c r="A617" t="s">
        <v>3245</v>
      </c>
    </row>
    <row r="618" spans="1:1" x14ac:dyDescent="0.25">
      <c r="A618" t="s">
        <v>3246</v>
      </c>
    </row>
    <row r="619" spans="1:1" x14ac:dyDescent="0.25">
      <c r="A619" t="s">
        <v>3247</v>
      </c>
    </row>
    <row r="620" spans="1:1" x14ac:dyDescent="0.25">
      <c r="A620" t="s">
        <v>3248</v>
      </c>
    </row>
    <row r="621" spans="1:1" x14ac:dyDescent="0.25">
      <c r="A621" t="s">
        <v>3249</v>
      </c>
    </row>
    <row r="622" spans="1:1" x14ac:dyDescent="0.25">
      <c r="A622" t="s">
        <v>3250</v>
      </c>
    </row>
    <row r="623" spans="1:1" x14ac:dyDescent="0.25">
      <c r="A623" t="s">
        <v>3251</v>
      </c>
    </row>
    <row r="624" spans="1:1" x14ac:dyDescent="0.25">
      <c r="A624" t="s">
        <v>3252</v>
      </c>
    </row>
    <row r="625" spans="1:1" x14ac:dyDescent="0.25">
      <c r="A625" t="s">
        <v>3253</v>
      </c>
    </row>
    <row r="626" spans="1:1" x14ac:dyDescent="0.25">
      <c r="A626" t="s">
        <v>3254</v>
      </c>
    </row>
    <row r="627" spans="1:1" x14ac:dyDescent="0.25">
      <c r="A627" t="s">
        <v>3255</v>
      </c>
    </row>
    <row r="628" spans="1:1" x14ac:dyDescent="0.25">
      <c r="A628" t="s">
        <v>3256</v>
      </c>
    </row>
    <row r="629" spans="1:1" x14ac:dyDescent="0.25">
      <c r="A629" t="s">
        <v>3257</v>
      </c>
    </row>
    <row r="630" spans="1:1" x14ac:dyDescent="0.25">
      <c r="A630" t="s">
        <v>3258</v>
      </c>
    </row>
    <row r="631" spans="1:1" x14ac:dyDescent="0.25">
      <c r="A631" t="s">
        <v>3259</v>
      </c>
    </row>
    <row r="632" spans="1:1" x14ac:dyDescent="0.25">
      <c r="A632" t="s">
        <v>3260</v>
      </c>
    </row>
    <row r="633" spans="1:1" x14ac:dyDescent="0.25">
      <c r="A633" t="s">
        <v>3261</v>
      </c>
    </row>
    <row r="634" spans="1:1" x14ac:dyDescent="0.25">
      <c r="A634" t="s">
        <v>3262</v>
      </c>
    </row>
    <row r="635" spans="1:1" x14ac:dyDescent="0.25">
      <c r="A635" t="s">
        <v>3263</v>
      </c>
    </row>
    <row r="636" spans="1:1" x14ac:dyDescent="0.25">
      <c r="A636" t="s">
        <v>3264</v>
      </c>
    </row>
    <row r="637" spans="1:1" x14ac:dyDescent="0.25">
      <c r="A637" t="s">
        <v>3265</v>
      </c>
    </row>
    <row r="638" spans="1:1" x14ac:dyDescent="0.25">
      <c r="A638" t="s">
        <v>3266</v>
      </c>
    </row>
    <row r="639" spans="1:1" x14ac:dyDescent="0.25">
      <c r="A639" t="s">
        <v>3267</v>
      </c>
    </row>
    <row r="640" spans="1:1" x14ac:dyDescent="0.25">
      <c r="A640" t="s">
        <v>3268</v>
      </c>
    </row>
    <row r="641" spans="1:1" x14ac:dyDescent="0.25">
      <c r="A641" t="s">
        <v>3269</v>
      </c>
    </row>
    <row r="642" spans="1:1" x14ac:dyDescent="0.25">
      <c r="A642" t="s">
        <v>3270</v>
      </c>
    </row>
    <row r="643" spans="1:1" x14ac:dyDescent="0.25">
      <c r="A643" t="s">
        <v>3271</v>
      </c>
    </row>
    <row r="644" spans="1:1" x14ac:dyDescent="0.25">
      <c r="A644" t="s">
        <v>3272</v>
      </c>
    </row>
    <row r="645" spans="1:1" x14ac:dyDescent="0.25">
      <c r="A645" t="s">
        <v>3273</v>
      </c>
    </row>
    <row r="646" spans="1:1" x14ac:dyDescent="0.25">
      <c r="A646" t="s">
        <v>3274</v>
      </c>
    </row>
    <row r="647" spans="1:1" x14ac:dyDescent="0.25">
      <c r="A647" t="s">
        <v>3275</v>
      </c>
    </row>
    <row r="648" spans="1:1" x14ac:dyDescent="0.25">
      <c r="A648" t="s">
        <v>3276</v>
      </c>
    </row>
    <row r="649" spans="1:1" x14ac:dyDescent="0.25">
      <c r="A649" t="s">
        <v>3277</v>
      </c>
    </row>
    <row r="650" spans="1:1" x14ac:dyDescent="0.25">
      <c r="A650" t="s">
        <v>3278</v>
      </c>
    </row>
    <row r="651" spans="1:1" x14ac:dyDescent="0.25">
      <c r="A651" t="s">
        <v>3279</v>
      </c>
    </row>
    <row r="652" spans="1:1" x14ac:dyDescent="0.25">
      <c r="A652" t="s">
        <v>3280</v>
      </c>
    </row>
    <row r="653" spans="1:1" x14ac:dyDescent="0.25">
      <c r="A653" t="s">
        <v>3281</v>
      </c>
    </row>
    <row r="654" spans="1:1" x14ac:dyDescent="0.25">
      <c r="A654" t="s">
        <v>3282</v>
      </c>
    </row>
    <row r="655" spans="1:1" x14ac:dyDescent="0.25">
      <c r="A655" t="s">
        <v>3283</v>
      </c>
    </row>
    <row r="656" spans="1:1" x14ac:dyDescent="0.25">
      <c r="A656" t="s">
        <v>3284</v>
      </c>
    </row>
    <row r="657" spans="1:1" x14ac:dyDescent="0.25">
      <c r="A657" t="s">
        <v>3285</v>
      </c>
    </row>
    <row r="658" spans="1:1" x14ac:dyDescent="0.25">
      <c r="A658" t="s">
        <v>3286</v>
      </c>
    </row>
    <row r="659" spans="1:1" x14ac:dyDescent="0.25">
      <c r="A659" t="s">
        <v>3287</v>
      </c>
    </row>
    <row r="660" spans="1:1" x14ac:dyDescent="0.25">
      <c r="A660" t="s">
        <v>3288</v>
      </c>
    </row>
    <row r="661" spans="1:1" x14ac:dyDescent="0.25">
      <c r="A661" t="s">
        <v>3289</v>
      </c>
    </row>
    <row r="662" spans="1:1" x14ac:dyDescent="0.25">
      <c r="A662" t="s">
        <v>3290</v>
      </c>
    </row>
    <row r="663" spans="1:1" x14ac:dyDescent="0.25">
      <c r="A663" t="s">
        <v>3291</v>
      </c>
    </row>
    <row r="664" spans="1:1" x14ac:dyDescent="0.25">
      <c r="A664" t="s">
        <v>3292</v>
      </c>
    </row>
    <row r="665" spans="1:1" x14ac:dyDescent="0.25">
      <c r="A665" t="s">
        <v>3293</v>
      </c>
    </row>
    <row r="666" spans="1:1" x14ac:dyDescent="0.25">
      <c r="A666" t="s">
        <v>3294</v>
      </c>
    </row>
    <row r="667" spans="1:1" x14ac:dyDescent="0.25">
      <c r="A667" t="s">
        <v>3295</v>
      </c>
    </row>
    <row r="668" spans="1:1" x14ac:dyDescent="0.25">
      <c r="A668" t="s">
        <v>3296</v>
      </c>
    </row>
    <row r="669" spans="1:1" x14ac:dyDescent="0.25">
      <c r="A669" t="s">
        <v>3297</v>
      </c>
    </row>
    <row r="670" spans="1:1" x14ac:dyDescent="0.25">
      <c r="A670" t="s">
        <v>3298</v>
      </c>
    </row>
    <row r="671" spans="1:1" x14ac:dyDescent="0.25">
      <c r="A671" t="s">
        <v>3299</v>
      </c>
    </row>
    <row r="672" spans="1:1" x14ac:dyDescent="0.25">
      <c r="A672" t="s">
        <v>3300</v>
      </c>
    </row>
    <row r="673" spans="1:1" x14ac:dyDescent="0.25">
      <c r="A673" t="s">
        <v>3301</v>
      </c>
    </row>
    <row r="674" spans="1:1" x14ac:dyDescent="0.25">
      <c r="A674" t="s">
        <v>3302</v>
      </c>
    </row>
    <row r="675" spans="1:1" x14ac:dyDescent="0.25">
      <c r="A675" t="s">
        <v>3303</v>
      </c>
    </row>
    <row r="676" spans="1:1" x14ac:dyDescent="0.25">
      <c r="A676" t="s">
        <v>3304</v>
      </c>
    </row>
    <row r="677" spans="1:1" x14ac:dyDescent="0.25">
      <c r="A677" t="s">
        <v>3305</v>
      </c>
    </row>
    <row r="678" spans="1:1" x14ac:dyDescent="0.25">
      <c r="A678" t="s">
        <v>3306</v>
      </c>
    </row>
    <row r="679" spans="1:1" x14ac:dyDescent="0.25">
      <c r="A679" t="s">
        <v>3307</v>
      </c>
    </row>
    <row r="680" spans="1:1" x14ac:dyDescent="0.25">
      <c r="A680" t="s">
        <v>3308</v>
      </c>
    </row>
    <row r="681" spans="1:1" x14ac:dyDescent="0.25">
      <c r="A681" t="s">
        <v>3309</v>
      </c>
    </row>
    <row r="682" spans="1:1" x14ac:dyDescent="0.25">
      <c r="A682" t="s">
        <v>3310</v>
      </c>
    </row>
    <row r="683" spans="1:1" x14ac:dyDescent="0.25">
      <c r="A683" t="s">
        <v>3311</v>
      </c>
    </row>
    <row r="684" spans="1:1" x14ac:dyDescent="0.25">
      <c r="A684" t="s">
        <v>3312</v>
      </c>
    </row>
    <row r="685" spans="1:1" x14ac:dyDescent="0.25">
      <c r="A685" t="s">
        <v>3313</v>
      </c>
    </row>
    <row r="686" spans="1:1" x14ac:dyDescent="0.25">
      <c r="A686" t="s">
        <v>3314</v>
      </c>
    </row>
    <row r="687" spans="1:1" x14ac:dyDescent="0.25">
      <c r="A687" t="s">
        <v>3315</v>
      </c>
    </row>
    <row r="688" spans="1:1" x14ac:dyDescent="0.25">
      <c r="A688" t="s">
        <v>3316</v>
      </c>
    </row>
    <row r="689" spans="1:1" x14ac:dyDescent="0.25">
      <c r="A689" t="s">
        <v>3317</v>
      </c>
    </row>
    <row r="690" spans="1:1" x14ac:dyDescent="0.25">
      <c r="A690" t="s">
        <v>3318</v>
      </c>
    </row>
    <row r="691" spans="1:1" x14ac:dyDescent="0.25">
      <c r="A691" t="s">
        <v>3319</v>
      </c>
    </row>
    <row r="692" spans="1:1" x14ac:dyDescent="0.25">
      <c r="A692" t="s">
        <v>3320</v>
      </c>
    </row>
    <row r="693" spans="1:1" x14ac:dyDescent="0.25">
      <c r="A693" t="s">
        <v>3321</v>
      </c>
    </row>
    <row r="694" spans="1:1" x14ac:dyDescent="0.25">
      <c r="A694" t="s">
        <v>3322</v>
      </c>
    </row>
    <row r="695" spans="1:1" x14ac:dyDescent="0.25">
      <c r="A695" t="s">
        <v>3323</v>
      </c>
    </row>
    <row r="696" spans="1:1" x14ac:dyDescent="0.25">
      <c r="A696" t="s">
        <v>3324</v>
      </c>
    </row>
    <row r="697" spans="1:1" x14ac:dyDescent="0.25">
      <c r="A697" t="s">
        <v>3325</v>
      </c>
    </row>
    <row r="698" spans="1:1" x14ac:dyDescent="0.25">
      <c r="A698" t="s">
        <v>3326</v>
      </c>
    </row>
    <row r="699" spans="1:1" x14ac:dyDescent="0.25">
      <c r="A699" t="s">
        <v>3327</v>
      </c>
    </row>
    <row r="700" spans="1:1" x14ac:dyDescent="0.25">
      <c r="A700" t="s">
        <v>3328</v>
      </c>
    </row>
    <row r="701" spans="1:1" x14ac:dyDescent="0.25">
      <c r="A701" t="s">
        <v>3329</v>
      </c>
    </row>
    <row r="702" spans="1:1" x14ac:dyDescent="0.25">
      <c r="A702" t="s">
        <v>3330</v>
      </c>
    </row>
    <row r="703" spans="1:1" x14ac:dyDescent="0.25">
      <c r="A703" t="s">
        <v>3331</v>
      </c>
    </row>
    <row r="704" spans="1:1" x14ac:dyDescent="0.25">
      <c r="A704" t="s">
        <v>3332</v>
      </c>
    </row>
    <row r="705" spans="1:1" x14ac:dyDescent="0.25">
      <c r="A705" t="s">
        <v>3333</v>
      </c>
    </row>
    <row r="706" spans="1:1" x14ac:dyDescent="0.25">
      <c r="A706" t="s">
        <v>3334</v>
      </c>
    </row>
    <row r="707" spans="1:1" x14ac:dyDescent="0.25">
      <c r="A707" t="s">
        <v>3335</v>
      </c>
    </row>
    <row r="708" spans="1:1" x14ac:dyDescent="0.25">
      <c r="A708" t="s">
        <v>3336</v>
      </c>
    </row>
    <row r="709" spans="1:1" x14ac:dyDescent="0.25">
      <c r="A709" t="s">
        <v>3337</v>
      </c>
    </row>
    <row r="710" spans="1:1" x14ac:dyDescent="0.25">
      <c r="A710" t="s">
        <v>3338</v>
      </c>
    </row>
    <row r="711" spans="1:1" x14ac:dyDescent="0.25">
      <c r="A711" t="s">
        <v>3339</v>
      </c>
    </row>
    <row r="712" spans="1:1" x14ac:dyDescent="0.25">
      <c r="A712" t="s">
        <v>3340</v>
      </c>
    </row>
    <row r="713" spans="1:1" x14ac:dyDescent="0.25">
      <c r="A713" t="s">
        <v>3341</v>
      </c>
    </row>
    <row r="714" spans="1:1" x14ac:dyDescent="0.25">
      <c r="A714" t="s">
        <v>3342</v>
      </c>
    </row>
    <row r="715" spans="1:1" x14ac:dyDescent="0.25">
      <c r="A715" t="s">
        <v>3343</v>
      </c>
    </row>
    <row r="716" spans="1:1" x14ac:dyDescent="0.25">
      <c r="A716" t="s">
        <v>3344</v>
      </c>
    </row>
    <row r="717" spans="1:1" x14ac:dyDescent="0.25">
      <c r="A717" t="s">
        <v>3345</v>
      </c>
    </row>
    <row r="718" spans="1:1" x14ac:dyDescent="0.25">
      <c r="A718" t="s">
        <v>3346</v>
      </c>
    </row>
    <row r="719" spans="1:1" x14ac:dyDescent="0.25">
      <c r="A719" t="s">
        <v>3347</v>
      </c>
    </row>
    <row r="720" spans="1:1" x14ac:dyDescent="0.25">
      <c r="A720" t="s">
        <v>3348</v>
      </c>
    </row>
    <row r="721" spans="1:1" x14ac:dyDescent="0.25">
      <c r="A721" t="s">
        <v>3349</v>
      </c>
    </row>
    <row r="722" spans="1:1" x14ac:dyDescent="0.25">
      <c r="A722" t="s">
        <v>3350</v>
      </c>
    </row>
    <row r="723" spans="1:1" x14ac:dyDescent="0.25">
      <c r="A723" t="s">
        <v>3351</v>
      </c>
    </row>
    <row r="724" spans="1:1" x14ac:dyDescent="0.25">
      <c r="A724" t="s">
        <v>3352</v>
      </c>
    </row>
    <row r="725" spans="1:1" x14ac:dyDescent="0.25">
      <c r="A725" t="s">
        <v>3353</v>
      </c>
    </row>
    <row r="726" spans="1:1" x14ac:dyDescent="0.25">
      <c r="A726" t="s">
        <v>3354</v>
      </c>
    </row>
    <row r="727" spans="1:1" x14ac:dyDescent="0.25">
      <c r="A727" t="s">
        <v>3355</v>
      </c>
    </row>
    <row r="728" spans="1:1" x14ac:dyDescent="0.25">
      <c r="A728" t="s">
        <v>3356</v>
      </c>
    </row>
    <row r="729" spans="1:1" x14ac:dyDescent="0.25">
      <c r="A729" t="s">
        <v>3357</v>
      </c>
    </row>
    <row r="730" spans="1:1" x14ac:dyDescent="0.25">
      <c r="A730" t="s">
        <v>3358</v>
      </c>
    </row>
    <row r="731" spans="1:1" x14ac:dyDescent="0.25">
      <c r="A731" t="s">
        <v>3359</v>
      </c>
    </row>
    <row r="732" spans="1:1" x14ac:dyDescent="0.25">
      <c r="A732" t="s">
        <v>3360</v>
      </c>
    </row>
    <row r="733" spans="1:1" x14ac:dyDescent="0.25">
      <c r="A733" t="s">
        <v>3361</v>
      </c>
    </row>
    <row r="734" spans="1:1" x14ac:dyDescent="0.25">
      <c r="A734" t="s">
        <v>3362</v>
      </c>
    </row>
    <row r="735" spans="1:1" x14ac:dyDescent="0.25">
      <c r="A735" t="s">
        <v>3363</v>
      </c>
    </row>
    <row r="736" spans="1:1" x14ac:dyDescent="0.25">
      <c r="A736" t="s">
        <v>3364</v>
      </c>
    </row>
    <row r="737" spans="1:1" x14ac:dyDescent="0.25">
      <c r="A737" t="s">
        <v>3365</v>
      </c>
    </row>
    <row r="738" spans="1:1" x14ac:dyDescent="0.25">
      <c r="A738" t="s">
        <v>3366</v>
      </c>
    </row>
    <row r="739" spans="1:1" x14ac:dyDescent="0.25">
      <c r="A739" t="s">
        <v>3367</v>
      </c>
    </row>
    <row r="740" spans="1:1" x14ac:dyDescent="0.25">
      <c r="A740" t="s">
        <v>3368</v>
      </c>
    </row>
    <row r="741" spans="1:1" x14ac:dyDescent="0.25">
      <c r="A741" t="s">
        <v>3369</v>
      </c>
    </row>
    <row r="742" spans="1:1" x14ac:dyDescent="0.25">
      <c r="A742" t="s">
        <v>3370</v>
      </c>
    </row>
    <row r="743" spans="1:1" x14ac:dyDescent="0.25">
      <c r="A743" t="s">
        <v>3371</v>
      </c>
    </row>
    <row r="744" spans="1:1" x14ac:dyDescent="0.25">
      <c r="A744" t="s">
        <v>3372</v>
      </c>
    </row>
    <row r="745" spans="1:1" x14ac:dyDescent="0.25">
      <c r="A745" t="s">
        <v>3373</v>
      </c>
    </row>
    <row r="746" spans="1:1" x14ac:dyDescent="0.25">
      <c r="A746" t="s">
        <v>3374</v>
      </c>
    </row>
    <row r="747" spans="1:1" x14ac:dyDescent="0.25">
      <c r="A747" t="s">
        <v>3375</v>
      </c>
    </row>
    <row r="748" spans="1:1" x14ac:dyDescent="0.25">
      <c r="A748" t="s">
        <v>3376</v>
      </c>
    </row>
    <row r="749" spans="1:1" x14ac:dyDescent="0.25">
      <c r="A749" t="s">
        <v>3377</v>
      </c>
    </row>
    <row r="750" spans="1:1" x14ac:dyDescent="0.25">
      <c r="A750" t="s">
        <v>3378</v>
      </c>
    </row>
    <row r="751" spans="1:1" x14ac:dyDescent="0.25">
      <c r="A751" t="s">
        <v>3379</v>
      </c>
    </row>
    <row r="752" spans="1:1" x14ac:dyDescent="0.25">
      <c r="A752" t="s">
        <v>3380</v>
      </c>
    </row>
    <row r="753" spans="1:1" x14ac:dyDescent="0.25">
      <c r="A753" t="s">
        <v>3381</v>
      </c>
    </row>
    <row r="754" spans="1:1" x14ac:dyDescent="0.25">
      <c r="A754" t="s">
        <v>3382</v>
      </c>
    </row>
    <row r="755" spans="1:1" x14ac:dyDescent="0.25">
      <c r="A755" t="s">
        <v>3383</v>
      </c>
    </row>
    <row r="756" spans="1:1" x14ac:dyDescent="0.25">
      <c r="A756" t="s">
        <v>3384</v>
      </c>
    </row>
    <row r="757" spans="1:1" x14ac:dyDescent="0.25">
      <c r="A757" t="s">
        <v>3385</v>
      </c>
    </row>
    <row r="758" spans="1:1" x14ac:dyDescent="0.25">
      <c r="A758" t="s">
        <v>3386</v>
      </c>
    </row>
    <row r="759" spans="1:1" x14ac:dyDescent="0.25">
      <c r="A759" t="s">
        <v>3387</v>
      </c>
    </row>
    <row r="760" spans="1:1" x14ac:dyDescent="0.25">
      <c r="A760" t="s">
        <v>3388</v>
      </c>
    </row>
    <row r="761" spans="1:1" x14ac:dyDescent="0.25">
      <c r="A761" t="s">
        <v>3389</v>
      </c>
    </row>
    <row r="762" spans="1:1" x14ac:dyDescent="0.25">
      <c r="A762" t="s">
        <v>3390</v>
      </c>
    </row>
    <row r="763" spans="1:1" x14ac:dyDescent="0.25">
      <c r="A763" t="s">
        <v>3391</v>
      </c>
    </row>
    <row r="764" spans="1:1" x14ac:dyDescent="0.25">
      <c r="A764" t="s">
        <v>3392</v>
      </c>
    </row>
    <row r="765" spans="1:1" x14ac:dyDescent="0.25">
      <c r="A765" t="s">
        <v>3393</v>
      </c>
    </row>
    <row r="766" spans="1:1" x14ac:dyDescent="0.25">
      <c r="A766" t="s">
        <v>3394</v>
      </c>
    </row>
    <row r="767" spans="1:1" x14ac:dyDescent="0.25">
      <c r="A767" t="s">
        <v>3395</v>
      </c>
    </row>
    <row r="768" spans="1:1" x14ac:dyDescent="0.25">
      <c r="A768" t="s">
        <v>3396</v>
      </c>
    </row>
    <row r="769" spans="1:1" x14ac:dyDescent="0.25">
      <c r="A769" t="s">
        <v>3397</v>
      </c>
    </row>
    <row r="770" spans="1:1" x14ac:dyDescent="0.25">
      <c r="A770" t="s">
        <v>3398</v>
      </c>
    </row>
    <row r="771" spans="1:1" x14ac:dyDescent="0.25">
      <c r="A771" t="s">
        <v>3399</v>
      </c>
    </row>
    <row r="772" spans="1:1" x14ac:dyDescent="0.25">
      <c r="A772" t="s">
        <v>3400</v>
      </c>
    </row>
    <row r="773" spans="1:1" x14ac:dyDescent="0.25">
      <c r="A773" t="s">
        <v>3401</v>
      </c>
    </row>
    <row r="774" spans="1:1" x14ac:dyDescent="0.25">
      <c r="A774" t="s">
        <v>3402</v>
      </c>
    </row>
    <row r="775" spans="1:1" x14ac:dyDescent="0.25">
      <c r="A775" t="s">
        <v>3403</v>
      </c>
    </row>
    <row r="776" spans="1:1" x14ac:dyDescent="0.25">
      <c r="A776" t="s">
        <v>3404</v>
      </c>
    </row>
    <row r="777" spans="1:1" x14ac:dyDescent="0.25">
      <c r="A777" t="s">
        <v>3405</v>
      </c>
    </row>
    <row r="778" spans="1:1" x14ac:dyDescent="0.25">
      <c r="A778" t="s">
        <v>3406</v>
      </c>
    </row>
    <row r="779" spans="1:1" x14ac:dyDescent="0.25">
      <c r="A779" t="s">
        <v>3407</v>
      </c>
    </row>
    <row r="780" spans="1:1" x14ac:dyDescent="0.25">
      <c r="A780" t="s">
        <v>3408</v>
      </c>
    </row>
    <row r="781" spans="1:1" x14ac:dyDescent="0.25">
      <c r="A781" t="s">
        <v>3409</v>
      </c>
    </row>
    <row r="782" spans="1:1" x14ac:dyDescent="0.25">
      <c r="A782" t="s">
        <v>3410</v>
      </c>
    </row>
    <row r="783" spans="1:1" x14ac:dyDescent="0.25">
      <c r="A783" t="s">
        <v>3411</v>
      </c>
    </row>
    <row r="784" spans="1:1" x14ac:dyDescent="0.25">
      <c r="A784" t="s">
        <v>3412</v>
      </c>
    </row>
    <row r="785" spans="1:1" x14ac:dyDescent="0.25">
      <c r="A785" t="s">
        <v>3413</v>
      </c>
    </row>
    <row r="786" spans="1:1" x14ac:dyDescent="0.25">
      <c r="A786" t="s">
        <v>3414</v>
      </c>
    </row>
    <row r="787" spans="1:1" x14ac:dyDescent="0.25">
      <c r="A787" t="s">
        <v>3415</v>
      </c>
    </row>
    <row r="788" spans="1:1" x14ac:dyDescent="0.25">
      <c r="A788" t="s">
        <v>3416</v>
      </c>
    </row>
    <row r="789" spans="1:1" x14ac:dyDescent="0.25">
      <c r="A789" t="s">
        <v>3417</v>
      </c>
    </row>
    <row r="790" spans="1:1" x14ac:dyDescent="0.25">
      <c r="A790" t="s">
        <v>3418</v>
      </c>
    </row>
    <row r="791" spans="1:1" x14ac:dyDescent="0.25">
      <c r="A791" t="s">
        <v>3419</v>
      </c>
    </row>
    <row r="792" spans="1:1" x14ac:dyDescent="0.25">
      <c r="A792" t="s">
        <v>3420</v>
      </c>
    </row>
    <row r="793" spans="1:1" x14ac:dyDescent="0.25">
      <c r="A793" t="s">
        <v>3421</v>
      </c>
    </row>
    <row r="794" spans="1:1" x14ac:dyDescent="0.25">
      <c r="A794" t="s">
        <v>3422</v>
      </c>
    </row>
    <row r="795" spans="1:1" x14ac:dyDescent="0.25">
      <c r="A795" t="s">
        <v>3423</v>
      </c>
    </row>
    <row r="796" spans="1:1" x14ac:dyDescent="0.25">
      <c r="A796" t="s">
        <v>3424</v>
      </c>
    </row>
    <row r="797" spans="1:1" x14ac:dyDescent="0.25">
      <c r="A797" t="s">
        <v>3425</v>
      </c>
    </row>
    <row r="798" spans="1:1" x14ac:dyDescent="0.25">
      <c r="A798" t="s">
        <v>3426</v>
      </c>
    </row>
    <row r="799" spans="1:1" x14ac:dyDescent="0.25">
      <c r="A799" t="s">
        <v>3427</v>
      </c>
    </row>
    <row r="800" spans="1:1" x14ac:dyDescent="0.25">
      <c r="A800" t="s">
        <v>3428</v>
      </c>
    </row>
    <row r="801" spans="1:1" x14ac:dyDescent="0.25">
      <c r="A801" t="s">
        <v>3429</v>
      </c>
    </row>
    <row r="802" spans="1:1" x14ac:dyDescent="0.25">
      <c r="A802" t="s">
        <v>3430</v>
      </c>
    </row>
    <row r="803" spans="1:1" x14ac:dyDescent="0.25">
      <c r="A803" t="s">
        <v>3431</v>
      </c>
    </row>
    <row r="804" spans="1:1" x14ac:dyDescent="0.25">
      <c r="A804" t="s">
        <v>3432</v>
      </c>
    </row>
    <row r="805" spans="1:1" x14ac:dyDescent="0.25">
      <c r="A805" t="s">
        <v>3433</v>
      </c>
    </row>
    <row r="806" spans="1:1" x14ac:dyDescent="0.25">
      <c r="A806" t="s">
        <v>3434</v>
      </c>
    </row>
    <row r="807" spans="1:1" x14ac:dyDescent="0.25">
      <c r="A807" t="s">
        <v>3435</v>
      </c>
    </row>
    <row r="808" spans="1:1" x14ac:dyDescent="0.25">
      <c r="A808" t="s">
        <v>3436</v>
      </c>
    </row>
    <row r="809" spans="1:1" x14ac:dyDescent="0.25">
      <c r="A809" t="s">
        <v>3437</v>
      </c>
    </row>
    <row r="810" spans="1:1" x14ac:dyDescent="0.25">
      <c r="A810" t="s">
        <v>3438</v>
      </c>
    </row>
    <row r="811" spans="1:1" x14ac:dyDescent="0.25">
      <c r="A811" t="s">
        <v>3439</v>
      </c>
    </row>
    <row r="812" spans="1:1" x14ac:dyDescent="0.25">
      <c r="A812" t="s">
        <v>3440</v>
      </c>
    </row>
    <row r="813" spans="1:1" x14ac:dyDescent="0.25">
      <c r="A813" t="s">
        <v>3441</v>
      </c>
    </row>
    <row r="814" spans="1:1" x14ac:dyDescent="0.25">
      <c r="A814" t="s">
        <v>3442</v>
      </c>
    </row>
    <row r="815" spans="1:1" x14ac:dyDescent="0.25">
      <c r="A815" t="s">
        <v>3443</v>
      </c>
    </row>
    <row r="816" spans="1:1" x14ac:dyDescent="0.25">
      <c r="A816" t="s">
        <v>3444</v>
      </c>
    </row>
    <row r="817" spans="1:1" x14ac:dyDescent="0.25">
      <c r="A817" t="s">
        <v>3445</v>
      </c>
    </row>
    <row r="818" spans="1:1" x14ac:dyDescent="0.25">
      <c r="A818" t="s">
        <v>3446</v>
      </c>
    </row>
    <row r="819" spans="1:1" x14ac:dyDescent="0.25">
      <c r="A819" t="s">
        <v>3447</v>
      </c>
    </row>
    <row r="820" spans="1:1" x14ac:dyDescent="0.25">
      <c r="A820" t="s">
        <v>3448</v>
      </c>
    </row>
    <row r="821" spans="1:1" x14ac:dyDescent="0.25">
      <c r="A821" t="s">
        <v>3449</v>
      </c>
    </row>
    <row r="822" spans="1:1" x14ac:dyDescent="0.25">
      <c r="A822" t="s">
        <v>3450</v>
      </c>
    </row>
    <row r="823" spans="1:1" x14ac:dyDescent="0.25">
      <c r="A823" t="s">
        <v>3451</v>
      </c>
    </row>
    <row r="824" spans="1:1" x14ac:dyDescent="0.25">
      <c r="A824" t="s">
        <v>3452</v>
      </c>
    </row>
    <row r="825" spans="1:1" x14ac:dyDescent="0.25">
      <c r="A825" t="s">
        <v>3453</v>
      </c>
    </row>
    <row r="826" spans="1:1" x14ac:dyDescent="0.25">
      <c r="A826" t="s">
        <v>3454</v>
      </c>
    </row>
    <row r="827" spans="1:1" x14ac:dyDescent="0.25">
      <c r="A827" t="s">
        <v>3455</v>
      </c>
    </row>
    <row r="828" spans="1:1" x14ac:dyDescent="0.25">
      <c r="A828" t="s">
        <v>3456</v>
      </c>
    </row>
    <row r="829" spans="1:1" x14ac:dyDescent="0.25">
      <c r="A829" t="s">
        <v>3457</v>
      </c>
    </row>
    <row r="830" spans="1:1" x14ac:dyDescent="0.25">
      <c r="A830" t="s">
        <v>3458</v>
      </c>
    </row>
    <row r="831" spans="1:1" x14ac:dyDescent="0.25">
      <c r="A831" t="s">
        <v>3459</v>
      </c>
    </row>
    <row r="832" spans="1:1" x14ac:dyDescent="0.25">
      <c r="A832" t="s">
        <v>3460</v>
      </c>
    </row>
    <row r="833" spans="1:1" x14ac:dyDescent="0.25">
      <c r="A833" t="s">
        <v>3461</v>
      </c>
    </row>
    <row r="834" spans="1:1" x14ac:dyDescent="0.25">
      <c r="A834" t="s">
        <v>3462</v>
      </c>
    </row>
    <row r="835" spans="1:1" x14ac:dyDescent="0.25">
      <c r="A835" t="s">
        <v>3463</v>
      </c>
    </row>
    <row r="836" spans="1:1" x14ac:dyDescent="0.25">
      <c r="A836" t="s">
        <v>3464</v>
      </c>
    </row>
    <row r="837" spans="1:1" x14ac:dyDescent="0.25">
      <c r="A837" t="s">
        <v>3465</v>
      </c>
    </row>
    <row r="838" spans="1:1" x14ac:dyDescent="0.25">
      <c r="A838" t="s">
        <v>3466</v>
      </c>
    </row>
    <row r="839" spans="1:1" x14ac:dyDescent="0.25">
      <c r="A839" t="s">
        <v>3467</v>
      </c>
    </row>
    <row r="840" spans="1:1" x14ac:dyDescent="0.25">
      <c r="A840" t="s">
        <v>3468</v>
      </c>
    </row>
    <row r="841" spans="1:1" x14ac:dyDescent="0.25">
      <c r="A841" t="s">
        <v>3469</v>
      </c>
    </row>
    <row r="842" spans="1:1" x14ac:dyDescent="0.25">
      <c r="A842" t="s">
        <v>3470</v>
      </c>
    </row>
    <row r="843" spans="1:1" x14ac:dyDescent="0.25">
      <c r="A843" t="s">
        <v>3471</v>
      </c>
    </row>
    <row r="844" spans="1:1" x14ac:dyDescent="0.25">
      <c r="A844" t="s">
        <v>3472</v>
      </c>
    </row>
    <row r="845" spans="1:1" x14ac:dyDescent="0.25">
      <c r="A845" t="s">
        <v>3473</v>
      </c>
    </row>
    <row r="846" spans="1:1" x14ac:dyDescent="0.25">
      <c r="A846" t="s">
        <v>3474</v>
      </c>
    </row>
    <row r="847" spans="1:1" x14ac:dyDescent="0.25">
      <c r="A847" t="s">
        <v>3475</v>
      </c>
    </row>
    <row r="848" spans="1:1" x14ac:dyDescent="0.25">
      <c r="A848" t="s">
        <v>3476</v>
      </c>
    </row>
    <row r="849" spans="1:1" x14ac:dyDescent="0.25">
      <c r="A849" t="s">
        <v>3477</v>
      </c>
    </row>
    <row r="850" spans="1:1" x14ac:dyDescent="0.25">
      <c r="A850" t="s">
        <v>3478</v>
      </c>
    </row>
    <row r="851" spans="1:1" x14ac:dyDescent="0.25">
      <c r="A851" t="s">
        <v>3479</v>
      </c>
    </row>
    <row r="852" spans="1:1" x14ac:dyDescent="0.25">
      <c r="A852" t="s">
        <v>3480</v>
      </c>
    </row>
    <row r="853" spans="1:1" x14ac:dyDescent="0.25">
      <c r="A853" t="s">
        <v>3481</v>
      </c>
    </row>
    <row r="854" spans="1:1" x14ac:dyDescent="0.25">
      <c r="A854" t="s">
        <v>3482</v>
      </c>
    </row>
    <row r="855" spans="1:1" x14ac:dyDescent="0.25">
      <c r="A855" t="s">
        <v>3483</v>
      </c>
    </row>
    <row r="856" spans="1:1" x14ac:dyDescent="0.25">
      <c r="A856" t="s">
        <v>3484</v>
      </c>
    </row>
    <row r="857" spans="1:1" x14ac:dyDescent="0.25">
      <c r="A857" t="s">
        <v>3485</v>
      </c>
    </row>
    <row r="858" spans="1:1" x14ac:dyDescent="0.25">
      <c r="A858" t="s">
        <v>3486</v>
      </c>
    </row>
    <row r="859" spans="1:1" x14ac:dyDescent="0.25">
      <c r="A859" t="s">
        <v>3487</v>
      </c>
    </row>
    <row r="860" spans="1:1" x14ac:dyDescent="0.25">
      <c r="A860" t="s">
        <v>3488</v>
      </c>
    </row>
    <row r="861" spans="1:1" x14ac:dyDescent="0.25">
      <c r="A861" t="s">
        <v>3489</v>
      </c>
    </row>
    <row r="862" spans="1:1" x14ac:dyDescent="0.25">
      <c r="A862" t="s">
        <v>3490</v>
      </c>
    </row>
    <row r="863" spans="1:1" x14ac:dyDescent="0.25">
      <c r="A863" t="s">
        <v>3491</v>
      </c>
    </row>
    <row r="864" spans="1:1" x14ac:dyDescent="0.25">
      <c r="A864" t="s">
        <v>3492</v>
      </c>
    </row>
    <row r="865" spans="1:1" x14ac:dyDescent="0.25">
      <c r="A865" t="s">
        <v>3493</v>
      </c>
    </row>
    <row r="866" spans="1:1" x14ac:dyDescent="0.25">
      <c r="A866" t="s">
        <v>3494</v>
      </c>
    </row>
    <row r="867" spans="1:1" x14ac:dyDescent="0.25">
      <c r="A867" t="s">
        <v>3495</v>
      </c>
    </row>
    <row r="868" spans="1:1" x14ac:dyDescent="0.25">
      <c r="A868" t="s">
        <v>3496</v>
      </c>
    </row>
    <row r="869" spans="1:1" x14ac:dyDescent="0.25">
      <c r="A869" t="s">
        <v>3497</v>
      </c>
    </row>
    <row r="870" spans="1:1" x14ac:dyDescent="0.25">
      <c r="A870" t="s">
        <v>3498</v>
      </c>
    </row>
    <row r="871" spans="1:1" x14ac:dyDescent="0.25">
      <c r="A871" t="s">
        <v>3499</v>
      </c>
    </row>
    <row r="872" spans="1:1" x14ac:dyDescent="0.25">
      <c r="A872" t="s">
        <v>3500</v>
      </c>
    </row>
    <row r="873" spans="1:1" x14ac:dyDescent="0.25">
      <c r="A873" t="s">
        <v>3501</v>
      </c>
    </row>
    <row r="874" spans="1:1" x14ac:dyDescent="0.25">
      <c r="A874" t="s">
        <v>3502</v>
      </c>
    </row>
    <row r="875" spans="1:1" x14ac:dyDescent="0.25">
      <c r="A875" t="s">
        <v>3503</v>
      </c>
    </row>
    <row r="876" spans="1:1" x14ac:dyDescent="0.25">
      <c r="A876" t="s">
        <v>3504</v>
      </c>
    </row>
    <row r="877" spans="1:1" x14ac:dyDescent="0.25">
      <c r="A877" t="s">
        <v>3505</v>
      </c>
    </row>
    <row r="878" spans="1:1" x14ac:dyDescent="0.25">
      <c r="A878" t="s">
        <v>3506</v>
      </c>
    </row>
    <row r="879" spans="1:1" x14ac:dyDescent="0.25">
      <c r="A879" t="s">
        <v>3507</v>
      </c>
    </row>
    <row r="880" spans="1:1" x14ac:dyDescent="0.25">
      <c r="A880" t="s">
        <v>3508</v>
      </c>
    </row>
    <row r="881" spans="1:1" x14ac:dyDescent="0.25">
      <c r="A881" t="s">
        <v>3509</v>
      </c>
    </row>
    <row r="882" spans="1:1" x14ac:dyDescent="0.25">
      <c r="A882" t="s">
        <v>3510</v>
      </c>
    </row>
    <row r="883" spans="1:1" x14ac:dyDescent="0.25">
      <c r="A883" t="s">
        <v>3511</v>
      </c>
    </row>
    <row r="884" spans="1:1" x14ac:dyDescent="0.25">
      <c r="A884" t="s">
        <v>3512</v>
      </c>
    </row>
    <row r="885" spans="1:1" x14ac:dyDescent="0.25">
      <c r="A885" t="s">
        <v>3513</v>
      </c>
    </row>
    <row r="886" spans="1:1" x14ac:dyDescent="0.25">
      <c r="A886" t="s">
        <v>3514</v>
      </c>
    </row>
    <row r="887" spans="1:1" x14ac:dyDescent="0.25">
      <c r="A887" t="s">
        <v>3515</v>
      </c>
    </row>
    <row r="888" spans="1:1" x14ac:dyDescent="0.25">
      <c r="A888" t="s">
        <v>3516</v>
      </c>
    </row>
    <row r="889" spans="1:1" x14ac:dyDescent="0.25">
      <c r="A889" t="s">
        <v>3517</v>
      </c>
    </row>
    <row r="890" spans="1:1" x14ac:dyDescent="0.25">
      <c r="A890" t="s">
        <v>3518</v>
      </c>
    </row>
    <row r="891" spans="1:1" x14ac:dyDescent="0.25">
      <c r="A891" t="s">
        <v>3519</v>
      </c>
    </row>
    <row r="892" spans="1:1" x14ac:dyDescent="0.25">
      <c r="A892" t="s">
        <v>3520</v>
      </c>
    </row>
    <row r="893" spans="1:1" x14ac:dyDescent="0.25">
      <c r="A893" t="s">
        <v>3521</v>
      </c>
    </row>
    <row r="894" spans="1:1" x14ac:dyDescent="0.25">
      <c r="A894" t="s">
        <v>3522</v>
      </c>
    </row>
    <row r="895" spans="1:1" x14ac:dyDescent="0.25">
      <c r="A895" t="s">
        <v>3523</v>
      </c>
    </row>
    <row r="896" spans="1:1" x14ac:dyDescent="0.25">
      <c r="A896" t="s">
        <v>3524</v>
      </c>
    </row>
    <row r="897" spans="1:1" x14ac:dyDescent="0.25">
      <c r="A897" t="s">
        <v>3525</v>
      </c>
    </row>
    <row r="898" spans="1:1" x14ac:dyDescent="0.25">
      <c r="A898" t="s">
        <v>3526</v>
      </c>
    </row>
    <row r="899" spans="1:1" x14ac:dyDescent="0.25">
      <c r="A899" t="s">
        <v>3527</v>
      </c>
    </row>
    <row r="900" spans="1:1" x14ac:dyDescent="0.25">
      <c r="A900" t="s">
        <v>3528</v>
      </c>
    </row>
    <row r="901" spans="1:1" x14ac:dyDescent="0.25">
      <c r="A901" t="s">
        <v>3529</v>
      </c>
    </row>
    <row r="902" spans="1:1" x14ac:dyDescent="0.25">
      <c r="A902" t="s">
        <v>3530</v>
      </c>
    </row>
    <row r="903" spans="1:1" x14ac:dyDescent="0.25">
      <c r="A903" t="s">
        <v>3531</v>
      </c>
    </row>
    <row r="904" spans="1:1" x14ac:dyDescent="0.25">
      <c r="A904" t="s">
        <v>3532</v>
      </c>
    </row>
    <row r="905" spans="1:1" x14ac:dyDescent="0.25">
      <c r="A905" t="s">
        <v>3533</v>
      </c>
    </row>
    <row r="906" spans="1:1" x14ac:dyDescent="0.25">
      <c r="A906" t="s">
        <v>3534</v>
      </c>
    </row>
    <row r="907" spans="1:1" x14ac:dyDescent="0.25">
      <c r="A907" t="s">
        <v>3535</v>
      </c>
    </row>
    <row r="908" spans="1:1" x14ac:dyDescent="0.25">
      <c r="A908" t="s">
        <v>3536</v>
      </c>
    </row>
    <row r="909" spans="1:1" x14ac:dyDescent="0.25">
      <c r="A909" t="s">
        <v>3537</v>
      </c>
    </row>
    <row r="910" spans="1:1" x14ac:dyDescent="0.25">
      <c r="A910" t="s">
        <v>3538</v>
      </c>
    </row>
    <row r="911" spans="1:1" x14ac:dyDescent="0.25">
      <c r="A911" t="s">
        <v>3539</v>
      </c>
    </row>
    <row r="912" spans="1:1" x14ac:dyDescent="0.25">
      <c r="A912" t="s">
        <v>3540</v>
      </c>
    </row>
    <row r="913" spans="1:1" x14ac:dyDescent="0.25">
      <c r="A913" t="s">
        <v>3541</v>
      </c>
    </row>
    <row r="914" spans="1:1" x14ac:dyDescent="0.25">
      <c r="A914" t="s">
        <v>3542</v>
      </c>
    </row>
    <row r="915" spans="1:1" x14ac:dyDescent="0.25">
      <c r="A915" t="s">
        <v>3543</v>
      </c>
    </row>
    <row r="916" spans="1:1" x14ac:dyDescent="0.25">
      <c r="A916" t="s">
        <v>3544</v>
      </c>
    </row>
    <row r="917" spans="1:1" x14ac:dyDescent="0.25">
      <c r="A917" t="s">
        <v>3545</v>
      </c>
    </row>
    <row r="918" spans="1:1" x14ac:dyDescent="0.25">
      <c r="A918" t="s">
        <v>3546</v>
      </c>
    </row>
    <row r="919" spans="1:1" x14ac:dyDescent="0.25">
      <c r="A919" t="s">
        <v>3547</v>
      </c>
    </row>
    <row r="920" spans="1:1" x14ac:dyDescent="0.25">
      <c r="A920" t="s">
        <v>3548</v>
      </c>
    </row>
    <row r="921" spans="1:1" x14ac:dyDescent="0.25">
      <c r="A921" t="s">
        <v>3549</v>
      </c>
    </row>
    <row r="922" spans="1:1" x14ac:dyDescent="0.25">
      <c r="A922" t="s">
        <v>3550</v>
      </c>
    </row>
    <row r="923" spans="1:1" x14ac:dyDescent="0.25">
      <c r="A923" t="s">
        <v>3551</v>
      </c>
    </row>
    <row r="924" spans="1:1" x14ac:dyDescent="0.25">
      <c r="A924" t="s">
        <v>3552</v>
      </c>
    </row>
    <row r="925" spans="1:1" x14ac:dyDescent="0.25">
      <c r="A925" t="s">
        <v>3553</v>
      </c>
    </row>
    <row r="926" spans="1:1" x14ac:dyDescent="0.25">
      <c r="A926" t="s">
        <v>3554</v>
      </c>
    </row>
    <row r="927" spans="1:1" x14ac:dyDescent="0.25">
      <c r="A927" t="s">
        <v>3555</v>
      </c>
    </row>
    <row r="928" spans="1:1" x14ac:dyDescent="0.25">
      <c r="A928" t="s">
        <v>3556</v>
      </c>
    </row>
    <row r="929" spans="1:1" x14ac:dyDescent="0.25">
      <c r="A929" t="s">
        <v>3557</v>
      </c>
    </row>
    <row r="930" spans="1:1" x14ac:dyDescent="0.25">
      <c r="A930" t="s">
        <v>3558</v>
      </c>
    </row>
    <row r="931" spans="1:1" x14ac:dyDescent="0.25">
      <c r="A931" t="s">
        <v>3559</v>
      </c>
    </row>
    <row r="932" spans="1:1" x14ac:dyDescent="0.25">
      <c r="A932" t="s">
        <v>3560</v>
      </c>
    </row>
    <row r="933" spans="1:1" x14ac:dyDescent="0.25">
      <c r="A933" t="s">
        <v>3561</v>
      </c>
    </row>
    <row r="934" spans="1:1" x14ac:dyDescent="0.25">
      <c r="A934" t="s">
        <v>3562</v>
      </c>
    </row>
    <row r="935" spans="1:1" x14ac:dyDescent="0.25">
      <c r="A935" t="s">
        <v>3563</v>
      </c>
    </row>
    <row r="936" spans="1:1" x14ac:dyDescent="0.25">
      <c r="A936" t="s">
        <v>3564</v>
      </c>
    </row>
    <row r="937" spans="1:1" x14ac:dyDescent="0.25">
      <c r="A937" t="s">
        <v>3565</v>
      </c>
    </row>
    <row r="938" spans="1:1" x14ac:dyDescent="0.25">
      <c r="A938" t="s">
        <v>3566</v>
      </c>
    </row>
    <row r="939" spans="1:1" x14ac:dyDescent="0.25">
      <c r="A939" t="s">
        <v>3567</v>
      </c>
    </row>
    <row r="940" spans="1:1" x14ac:dyDescent="0.25">
      <c r="A940" t="s">
        <v>3568</v>
      </c>
    </row>
    <row r="941" spans="1:1" x14ac:dyDescent="0.25">
      <c r="A941" t="s">
        <v>3569</v>
      </c>
    </row>
    <row r="942" spans="1:1" x14ac:dyDescent="0.25">
      <c r="A942" t="s">
        <v>3570</v>
      </c>
    </row>
    <row r="943" spans="1:1" x14ac:dyDescent="0.25">
      <c r="A943" t="s">
        <v>3571</v>
      </c>
    </row>
    <row r="944" spans="1:1" x14ac:dyDescent="0.25">
      <c r="A944" t="s">
        <v>3572</v>
      </c>
    </row>
    <row r="945" spans="1:1" x14ac:dyDescent="0.25">
      <c r="A945" t="s">
        <v>3573</v>
      </c>
    </row>
    <row r="946" spans="1:1" x14ac:dyDescent="0.25">
      <c r="A946" t="s">
        <v>3574</v>
      </c>
    </row>
    <row r="947" spans="1:1" x14ac:dyDescent="0.25">
      <c r="A947" t="s">
        <v>3575</v>
      </c>
    </row>
    <row r="948" spans="1:1" x14ac:dyDescent="0.25">
      <c r="A948" t="s">
        <v>3576</v>
      </c>
    </row>
    <row r="949" spans="1:1" x14ac:dyDescent="0.25">
      <c r="A949" t="s">
        <v>3577</v>
      </c>
    </row>
    <row r="950" spans="1:1" x14ac:dyDescent="0.25">
      <c r="A950" t="s">
        <v>3578</v>
      </c>
    </row>
    <row r="951" spans="1:1" x14ac:dyDescent="0.25">
      <c r="A951" t="s">
        <v>3579</v>
      </c>
    </row>
    <row r="952" spans="1:1" x14ac:dyDescent="0.25">
      <c r="A952" t="s">
        <v>3580</v>
      </c>
    </row>
    <row r="953" spans="1:1" x14ac:dyDescent="0.25">
      <c r="A953" t="s">
        <v>3581</v>
      </c>
    </row>
    <row r="954" spans="1:1" x14ac:dyDescent="0.25">
      <c r="A954" t="s">
        <v>3582</v>
      </c>
    </row>
    <row r="955" spans="1:1" x14ac:dyDescent="0.25">
      <c r="A955" t="s">
        <v>3583</v>
      </c>
    </row>
    <row r="956" spans="1:1" x14ac:dyDescent="0.25">
      <c r="A956" t="s">
        <v>3584</v>
      </c>
    </row>
    <row r="957" spans="1:1" x14ac:dyDescent="0.25">
      <c r="A957" t="s">
        <v>3585</v>
      </c>
    </row>
    <row r="958" spans="1:1" x14ac:dyDescent="0.25">
      <c r="A958" t="s">
        <v>3586</v>
      </c>
    </row>
    <row r="959" spans="1:1" x14ac:dyDescent="0.25">
      <c r="A959" t="s">
        <v>3587</v>
      </c>
    </row>
    <row r="960" spans="1:1" x14ac:dyDescent="0.25">
      <c r="A960" t="s">
        <v>3588</v>
      </c>
    </row>
    <row r="961" spans="1:1" x14ac:dyDescent="0.25">
      <c r="A961" t="s">
        <v>3589</v>
      </c>
    </row>
    <row r="962" spans="1:1" x14ac:dyDescent="0.25">
      <c r="A962" t="s">
        <v>3590</v>
      </c>
    </row>
    <row r="963" spans="1:1" x14ac:dyDescent="0.25">
      <c r="A963" t="s">
        <v>3591</v>
      </c>
    </row>
    <row r="964" spans="1:1" x14ac:dyDescent="0.25">
      <c r="A964" t="s">
        <v>3592</v>
      </c>
    </row>
    <row r="965" spans="1:1" x14ac:dyDescent="0.25">
      <c r="A965" t="s">
        <v>3593</v>
      </c>
    </row>
    <row r="966" spans="1:1" x14ac:dyDescent="0.25">
      <c r="A966" t="s">
        <v>3594</v>
      </c>
    </row>
    <row r="967" spans="1:1" x14ac:dyDescent="0.25">
      <c r="A967" t="s">
        <v>3595</v>
      </c>
    </row>
    <row r="968" spans="1:1" x14ac:dyDescent="0.25">
      <c r="A968" t="s">
        <v>3596</v>
      </c>
    </row>
    <row r="969" spans="1:1" x14ac:dyDescent="0.25">
      <c r="A969" t="s">
        <v>3597</v>
      </c>
    </row>
    <row r="970" spans="1:1" x14ac:dyDescent="0.25">
      <c r="A970" t="s">
        <v>3598</v>
      </c>
    </row>
    <row r="971" spans="1:1" x14ac:dyDescent="0.25">
      <c r="A971" t="s">
        <v>3599</v>
      </c>
    </row>
    <row r="972" spans="1:1" x14ac:dyDescent="0.25">
      <c r="A972" t="s">
        <v>3600</v>
      </c>
    </row>
    <row r="973" spans="1:1" x14ac:dyDescent="0.25">
      <c r="A973" t="s">
        <v>3601</v>
      </c>
    </row>
    <row r="974" spans="1:1" x14ac:dyDescent="0.25">
      <c r="A974" t="s">
        <v>3602</v>
      </c>
    </row>
    <row r="975" spans="1:1" x14ac:dyDescent="0.25">
      <c r="A975" t="s">
        <v>3603</v>
      </c>
    </row>
    <row r="976" spans="1:1" x14ac:dyDescent="0.25">
      <c r="A976" t="s">
        <v>3604</v>
      </c>
    </row>
    <row r="977" spans="1:1" x14ac:dyDescent="0.25">
      <c r="A977" t="s">
        <v>3605</v>
      </c>
    </row>
    <row r="978" spans="1:1" x14ac:dyDescent="0.25">
      <c r="A978" t="s">
        <v>3606</v>
      </c>
    </row>
    <row r="979" spans="1:1" x14ac:dyDescent="0.25">
      <c r="A979" t="s">
        <v>3607</v>
      </c>
    </row>
    <row r="980" spans="1:1" x14ac:dyDescent="0.25">
      <c r="A980" t="s">
        <v>3608</v>
      </c>
    </row>
    <row r="981" spans="1:1" x14ac:dyDescent="0.25">
      <c r="A981" t="s">
        <v>3609</v>
      </c>
    </row>
    <row r="982" spans="1:1" x14ac:dyDescent="0.25">
      <c r="A982" t="s">
        <v>3610</v>
      </c>
    </row>
    <row r="983" spans="1:1" x14ac:dyDescent="0.25">
      <c r="A983" t="s">
        <v>3611</v>
      </c>
    </row>
    <row r="984" spans="1:1" x14ac:dyDescent="0.25">
      <c r="A984" t="s">
        <v>3612</v>
      </c>
    </row>
    <row r="985" spans="1:1" x14ac:dyDescent="0.25">
      <c r="A985" t="s">
        <v>3613</v>
      </c>
    </row>
    <row r="986" spans="1:1" x14ac:dyDescent="0.25">
      <c r="A986" t="s">
        <v>3614</v>
      </c>
    </row>
    <row r="987" spans="1:1" x14ac:dyDescent="0.25">
      <c r="A987" t="s">
        <v>3615</v>
      </c>
    </row>
    <row r="988" spans="1:1" x14ac:dyDescent="0.25">
      <c r="A988" t="s">
        <v>3616</v>
      </c>
    </row>
    <row r="989" spans="1:1" x14ac:dyDescent="0.25">
      <c r="A989" t="s">
        <v>3617</v>
      </c>
    </row>
    <row r="990" spans="1:1" x14ac:dyDescent="0.25">
      <c r="A990" t="s">
        <v>3618</v>
      </c>
    </row>
    <row r="991" spans="1:1" x14ac:dyDescent="0.25">
      <c r="A991" t="s">
        <v>3619</v>
      </c>
    </row>
    <row r="992" spans="1:1" x14ac:dyDescent="0.25">
      <c r="A992" t="s">
        <v>3620</v>
      </c>
    </row>
    <row r="993" spans="1:1" x14ac:dyDescent="0.25">
      <c r="A993" t="s">
        <v>3621</v>
      </c>
    </row>
    <row r="994" spans="1:1" x14ac:dyDescent="0.25">
      <c r="A994" t="s">
        <v>3622</v>
      </c>
    </row>
    <row r="995" spans="1:1" x14ac:dyDescent="0.25">
      <c r="A995" t="s">
        <v>3623</v>
      </c>
    </row>
    <row r="996" spans="1:1" x14ac:dyDescent="0.25">
      <c r="A996" t="s">
        <v>3624</v>
      </c>
    </row>
    <row r="997" spans="1:1" x14ac:dyDescent="0.25">
      <c r="A997" t="s">
        <v>3625</v>
      </c>
    </row>
    <row r="998" spans="1:1" x14ac:dyDescent="0.25">
      <c r="A998" t="s">
        <v>3626</v>
      </c>
    </row>
    <row r="999" spans="1:1" x14ac:dyDescent="0.25">
      <c r="A999" t="s">
        <v>3627</v>
      </c>
    </row>
    <row r="1000" spans="1:1" x14ac:dyDescent="0.25">
      <c r="A1000" t="s">
        <v>3628</v>
      </c>
    </row>
    <row r="1001" spans="1:1" x14ac:dyDescent="0.25">
      <c r="A1001" t="s">
        <v>3629</v>
      </c>
    </row>
    <row r="1002" spans="1:1" x14ac:dyDescent="0.25">
      <c r="A1002" t="s">
        <v>3630</v>
      </c>
    </row>
    <row r="1003" spans="1:1" x14ac:dyDescent="0.25">
      <c r="A1003" t="s">
        <v>3631</v>
      </c>
    </row>
    <row r="1004" spans="1:1" x14ac:dyDescent="0.25">
      <c r="A1004" t="s">
        <v>3632</v>
      </c>
    </row>
    <row r="1005" spans="1:1" x14ac:dyDescent="0.25">
      <c r="A1005" t="s">
        <v>3633</v>
      </c>
    </row>
    <row r="1006" spans="1:1" x14ac:dyDescent="0.25">
      <c r="A1006" t="s">
        <v>3634</v>
      </c>
    </row>
    <row r="1007" spans="1:1" x14ac:dyDescent="0.25">
      <c r="A1007" t="s">
        <v>3635</v>
      </c>
    </row>
    <row r="1008" spans="1:1" x14ac:dyDescent="0.25">
      <c r="A1008" t="s">
        <v>3636</v>
      </c>
    </row>
    <row r="1009" spans="1:1" x14ac:dyDescent="0.25">
      <c r="A1009" t="s">
        <v>3637</v>
      </c>
    </row>
    <row r="1010" spans="1:1" x14ac:dyDescent="0.25">
      <c r="A1010" t="s">
        <v>3638</v>
      </c>
    </row>
    <row r="1011" spans="1:1" x14ac:dyDescent="0.25">
      <c r="A1011" t="s">
        <v>3639</v>
      </c>
    </row>
    <row r="1012" spans="1:1" x14ac:dyDescent="0.25">
      <c r="A1012" t="s">
        <v>3640</v>
      </c>
    </row>
    <row r="1013" spans="1:1" x14ac:dyDescent="0.25">
      <c r="A1013" t="s">
        <v>3641</v>
      </c>
    </row>
    <row r="1014" spans="1:1" x14ac:dyDescent="0.25">
      <c r="A1014" t="s">
        <v>3642</v>
      </c>
    </row>
    <row r="1015" spans="1:1" x14ac:dyDescent="0.25">
      <c r="A1015" t="s">
        <v>3643</v>
      </c>
    </row>
    <row r="1016" spans="1:1" x14ac:dyDescent="0.25">
      <c r="A1016" t="s">
        <v>3644</v>
      </c>
    </row>
    <row r="1017" spans="1:1" x14ac:dyDescent="0.25">
      <c r="A1017" t="s">
        <v>3645</v>
      </c>
    </row>
    <row r="1018" spans="1:1" x14ac:dyDescent="0.25">
      <c r="A1018" t="s">
        <v>3646</v>
      </c>
    </row>
    <row r="1019" spans="1:1" x14ac:dyDescent="0.25">
      <c r="A1019" t="s">
        <v>3647</v>
      </c>
    </row>
    <row r="1020" spans="1:1" x14ac:dyDescent="0.25">
      <c r="A1020" t="s">
        <v>3648</v>
      </c>
    </row>
    <row r="1021" spans="1:1" x14ac:dyDescent="0.25">
      <c r="A1021" t="s">
        <v>3649</v>
      </c>
    </row>
    <row r="1022" spans="1:1" x14ac:dyDescent="0.25">
      <c r="A1022" t="s">
        <v>3650</v>
      </c>
    </row>
    <row r="1023" spans="1:1" x14ac:dyDescent="0.25">
      <c r="A1023" t="s">
        <v>3651</v>
      </c>
    </row>
    <row r="1024" spans="1:1" x14ac:dyDescent="0.25">
      <c r="A1024" t="s">
        <v>3652</v>
      </c>
    </row>
    <row r="1025" spans="1:1" x14ac:dyDescent="0.25">
      <c r="A1025" t="s">
        <v>3653</v>
      </c>
    </row>
    <row r="1026" spans="1:1" x14ac:dyDescent="0.25">
      <c r="A1026" t="s">
        <v>3654</v>
      </c>
    </row>
    <row r="1027" spans="1:1" x14ac:dyDescent="0.25">
      <c r="A1027" t="s">
        <v>3655</v>
      </c>
    </row>
    <row r="1028" spans="1:1" x14ac:dyDescent="0.25">
      <c r="A1028" t="s">
        <v>3656</v>
      </c>
    </row>
    <row r="1029" spans="1:1" x14ac:dyDescent="0.25">
      <c r="A1029" t="s">
        <v>3657</v>
      </c>
    </row>
    <row r="1030" spans="1:1" x14ac:dyDescent="0.25">
      <c r="A1030" t="s">
        <v>3658</v>
      </c>
    </row>
    <row r="1031" spans="1:1" x14ac:dyDescent="0.25">
      <c r="A1031" t="s">
        <v>3659</v>
      </c>
    </row>
    <row r="1032" spans="1:1" x14ac:dyDescent="0.25">
      <c r="A1032" t="s">
        <v>3660</v>
      </c>
    </row>
    <row r="1033" spans="1:1" x14ac:dyDescent="0.25">
      <c r="A1033" t="s">
        <v>3661</v>
      </c>
    </row>
    <row r="1034" spans="1:1" x14ac:dyDescent="0.25">
      <c r="A1034" t="s">
        <v>3662</v>
      </c>
    </row>
    <row r="1035" spans="1:1" x14ac:dyDescent="0.25">
      <c r="A1035" t="s">
        <v>3663</v>
      </c>
    </row>
    <row r="1036" spans="1:1" x14ac:dyDescent="0.25">
      <c r="A1036" t="s">
        <v>3664</v>
      </c>
    </row>
    <row r="1037" spans="1:1" x14ac:dyDescent="0.25">
      <c r="A1037" t="s">
        <v>3665</v>
      </c>
    </row>
    <row r="1038" spans="1:1" x14ac:dyDescent="0.25">
      <c r="A1038" t="s">
        <v>3666</v>
      </c>
    </row>
    <row r="1039" spans="1:1" x14ac:dyDescent="0.25">
      <c r="A1039" t="s">
        <v>3667</v>
      </c>
    </row>
    <row r="1040" spans="1:1" x14ac:dyDescent="0.25">
      <c r="A1040" t="s">
        <v>3668</v>
      </c>
    </row>
    <row r="1041" spans="1:1" x14ac:dyDescent="0.25">
      <c r="A1041" t="s">
        <v>3669</v>
      </c>
    </row>
    <row r="1042" spans="1:1" x14ac:dyDescent="0.25">
      <c r="A1042" t="s">
        <v>3670</v>
      </c>
    </row>
    <row r="1043" spans="1:1" x14ac:dyDescent="0.25">
      <c r="A1043" t="s">
        <v>3671</v>
      </c>
    </row>
    <row r="1044" spans="1:1" x14ac:dyDescent="0.25">
      <c r="A1044" t="s">
        <v>3672</v>
      </c>
    </row>
    <row r="1045" spans="1:1" x14ac:dyDescent="0.25">
      <c r="A1045" t="s">
        <v>3673</v>
      </c>
    </row>
    <row r="1046" spans="1:1" x14ac:dyDescent="0.25">
      <c r="A1046" t="s">
        <v>3674</v>
      </c>
    </row>
    <row r="1047" spans="1:1" x14ac:dyDescent="0.25">
      <c r="A1047" t="s">
        <v>3675</v>
      </c>
    </row>
    <row r="1048" spans="1:1" x14ac:dyDescent="0.25">
      <c r="A1048" t="s">
        <v>3676</v>
      </c>
    </row>
    <row r="1049" spans="1:1" x14ac:dyDescent="0.25">
      <c r="A1049" t="s">
        <v>3677</v>
      </c>
    </row>
    <row r="1050" spans="1:1" x14ac:dyDescent="0.25">
      <c r="A1050" t="s">
        <v>3678</v>
      </c>
    </row>
    <row r="1051" spans="1:1" x14ac:dyDescent="0.25">
      <c r="A1051" t="s">
        <v>3679</v>
      </c>
    </row>
    <row r="1052" spans="1:1" x14ac:dyDescent="0.25">
      <c r="A1052" t="s">
        <v>3680</v>
      </c>
    </row>
    <row r="1053" spans="1:1" x14ac:dyDescent="0.25">
      <c r="A1053" t="s">
        <v>3681</v>
      </c>
    </row>
    <row r="1054" spans="1:1" x14ac:dyDescent="0.25">
      <c r="A1054" t="s">
        <v>3682</v>
      </c>
    </row>
    <row r="1055" spans="1:1" x14ac:dyDescent="0.25">
      <c r="A1055" t="s">
        <v>3683</v>
      </c>
    </row>
    <row r="1056" spans="1:1" x14ac:dyDescent="0.25">
      <c r="A1056" t="s">
        <v>3684</v>
      </c>
    </row>
    <row r="1057" spans="1:1" x14ac:dyDescent="0.25">
      <c r="A1057" t="s">
        <v>3685</v>
      </c>
    </row>
    <row r="1058" spans="1:1" x14ac:dyDescent="0.25">
      <c r="A1058" t="s">
        <v>3686</v>
      </c>
    </row>
    <row r="1059" spans="1:1" x14ac:dyDescent="0.25">
      <c r="A1059" t="s">
        <v>3687</v>
      </c>
    </row>
    <row r="1060" spans="1:1" x14ac:dyDescent="0.25">
      <c r="A1060" t="s">
        <v>3688</v>
      </c>
    </row>
    <row r="1061" spans="1:1" x14ac:dyDescent="0.25">
      <c r="A1061" t="s">
        <v>3689</v>
      </c>
    </row>
    <row r="1062" spans="1:1" x14ac:dyDescent="0.25">
      <c r="A1062" t="s">
        <v>3690</v>
      </c>
    </row>
    <row r="1063" spans="1:1" x14ac:dyDescent="0.25">
      <c r="A1063" t="s">
        <v>3691</v>
      </c>
    </row>
    <row r="1064" spans="1:1" x14ac:dyDescent="0.25">
      <c r="A1064" t="s">
        <v>3692</v>
      </c>
    </row>
    <row r="1065" spans="1:1" x14ac:dyDescent="0.25">
      <c r="A1065" t="s">
        <v>3693</v>
      </c>
    </row>
    <row r="1066" spans="1:1" x14ac:dyDescent="0.25">
      <c r="A1066" t="s">
        <v>3694</v>
      </c>
    </row>
    <row r="1067" spans="1:1" x14ac:dyDescent="0.25">
      <c r="A1067" t="s">
        <v>3695</v>
      </c>
    </row>
    <row r="1068" spans="1:1" x14ac:dyDescent="0.25">
      <c r="A1068" t="s">
        <v>3696</v>
      </c>
    </row>
    <row r="1069" spans="1:1" x14ac:dyDescent="0.25">
      <c r="A1069" t="s">
        <v>3697</v>
      </c>
    </row>
    <row r="1070" spans="1:1" x14ac:dyDescent="0.25">
      <c r="A1070" t="s">
        <v>3698</v>
      </c>
    </row>
    <row r="1071" spans="1:1" x14ac:dyDescent="0.25">
      <c r="A1071" t="s">
        <v>3699</v>
      </c>
    </row>
    <row r="1072" spans="1:1" x14ac:dyDescent="0.25">
      <c r="A1072" t="s">
        <v>3700</v>
      </c>
    </row>
    <row r="1073" spans="1:1" x14ac:dyDescent="0.25">
      <c r="A1073" t="s">
        <v>3701</v>
      </c>
    </row>
    <row r="1074" spans="1:1" x14ac:dyDescent="0.25">
      <c r="A1074" t="s">
        <v>3702</v>
      </c>
    </row>
    <row r="1075" spans="1:1" x14ac:dyDescent="0.25">
      <c r="A1075" t="s">
        <v>3703</v>
      </c>
    </row>
    <row r="1076" spans="1:1" x14ac:dyDescent="0.25">
      <c r="A1076" t="s">
        <v>3704</v>
      </c>
    </row>
    <row r="1077" spans="1:1" x14ac:dyDescent="0.25">
      <c r="A1077" t="s">
        <v>3705</v>
      </c>
    </row>
    <row r="1078" spans="1:1" x14ac:dyDescent="0.25">
      <c r="A1078" t="s">
        <v>3706</v>
      </c>
    </row>
    <row r="1079" spans="1:1" x14ac:dyDescent="0.25">
      <c r="A1079" t="s">
        <v>3707</v>
      </c>
    </row>
    <row r="1080" spans="1:1" x14ac:dyDescent="0.25">
      <c r="A1080" t="s">
        <v>3708</v>
      </c>
    </row>
    <row r="1081" spans="1:1" x14ac:dyDescent="0.25">
      <c r="A1081" t="s">
        <v>3709</v>
      </c>
    </row>
    <row r="1082" spans="1:1" x14ac:dyDescent="0.25">
      <c r="A1082" t="s">
        <v>3710</v>
      </c>
    </row>
    <row r="1083" spans="1:1" x14ac:dyDescent="0.25">
      <c r="A1083" t="s">
        <v>3711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2</vt:i4>
      </vt:variant>
    </vt:vector>
  </HeadingPairs>
  <TitlesOfParts>
    <vt:vector size="10" baseType="lpstr">
      <vt:lpstr>SRX</vt:lpstr>
      <vt:lpstr>Fantom-S Waves</vt:lpstr>
      <vt:lpstr>SonicCell Waves</vt:lpstr>
      <vt:lpstr>Fantom-S SonicCell Shift Tables</vt:lpstr>
      <vt:lpstr>Fantom-S Patches</vt:lpstr>
      <vt:lpstr>Fantom-XR Patches</vt:lpstr>
      <vt:lpstr>SonicCell Patches</vt:lpstr>
      <vt:lpstr>XV-5050</vt:lpstr>
      <vt:lpstr>'Fantom-S SonicCell Shift Tables'!Print_Area</vt:lpstr>
      <vt:lpstr>'Fantom-S SonicCell Shift Tables'!Print_Titles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Jani Kasurinen</dc:creator>
  <cp:lastModifiedBy>Jani Kasurinen</cp:lastModifiedBy>
  <cp:lastPrinted>2025-01-12T11:21:23Z</cp:lastPrinted>
  <dcterms:created xsi:type="dcterms:W3CDTF">2025-01-05T16:10:45Z</dcterms:created>
  <dcterms:modified xsi:type="dcterms:W3CDTF">2025-01-20T15:24:30Z</dcterms:modified>
</cp:coreProperties>
</file>